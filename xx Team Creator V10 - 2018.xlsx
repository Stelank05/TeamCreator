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GEM Game\Sim\"/>
    </mc:Choice>
  </mc:AlternateContent>
  <xr:revisionPtr revIDLastSave="0" documentId="13_ncr:1_{7AB5AF26-5452-4A57-A84E-7BEDC96ADB3A}" xr6:coauthVersionLast="47" xr6:coauthVersionMax="47" xr10:uidLastSave="{00000000-0000-0000-0000-000000000000}"/>
  <bookViews>
    <workbookView xWindow="-108" yWindow="-108" windowWidth="23256" windowHeight="13176" tabRatio="999" firstSheet="1" activeTab="12" xr2:uid="{D4CA20E7-A69D-43E7-8F87-A36C925FF94A}"/>
  </bookViews>
  <sheets>
    <sheet name="Costs (2)" sheetId="13" state="hidden" r:id="rId1"/>
    <sheet name="Costs" sheetId="1" r:id="rId2"/>
    <sheet name="Miscellaneous" sheetId="7" r:id="rId3"/>
    <sheet name="Series + Driver Rules" sheetId="3" r:id="rId4"/>
    <sheet name="Series + Driver Rules (2)" sheetId="15" state="hidden" r:id="rId5"/>
    <sheet name="Calendars" sheetId="4" r:id="rId6"/>
    <sheet name="Calendars (2)" sheetId="14" state="hidden" r:id="rId7"/>
    <sheet name="Car Purchase" sheetId="5" r:id="rId8"/>
    <sheet name="Full Season Entries" sheetId="6" r:id="rId9"/>
    <sheet name="One-Off Entries" sheetId="10" r:id="rId10"/>
    <sheet name="Lineup Legality - FS" sheetId="8" state="hidden" r:id="rId11"/>
    <sheet name="Lineup Legality - OOE" sheetId="11" state="hidden" r:id="rId12"/>
    <sheet name="Setup Bonuses" sheetId="12" r:id="rId13"/>
    <sheet name="Total Costs" sheetId="9" r:id="rId14"/>
  </sheets>
  <definedNames>
    <definedName name="asmClasses">Miscellaneous!$F$25:$G$27</definedName>
    <definedName name="asmCosts">Miscellaneous!$AG$29:$AK$31</definedName>
    <definedName name="asmSupplier">'Car Purchase'!$O$33:$P$35</definedName>
    <definedName name="bronzePayments" localSheetId="0">'Costs (2)'!$L$14:$M$21</definedName>
    <definedName name="bronzePayments">Costs!$L$14:$M$21</definedName>
    <definedName name="classIndexes">Miscellaneous!$J$4:$K$22</definedName>
    <definedName name="driverCosts" localSheetId="0">'Costs (2)'!$L$5:$M$7</definedName>
    <definedName name="driverCosts">Costs!$L$5:$M$7</definedName>
    <definedName name="euemClasses">Miscellaneous!$F$15:$G$17</definedName>
    <definedName name="euemCosts">Miscellaneous!$AG$21:$AK$23</definedName>
    <definedName name="euemSupplier">'Car Purchase'!$O$19:$P$21</definedName>
    <definedName name="gemClasses">Miscellaneous!$F$5:$G$8</definedName>
    <definedName name="gemCosts">Miscellaneous!$AG$5:$AK$8</definedName>
    <definedName name="gemSupplier">'Car Purchase'!$O$7:$P$10</definedName>
    <definedName name="modelData" localSheetId="0">'Costs (2)'!$B$5:$I$46</definedName>
    <definedName name="modelData">Costs!$B$5:$I$41</definedName>
    <definedName name="nasccClasses">Miscellaneous!$F$10:$G$13</definedName>
    <definedName name="nasccCosts">Miscellaneous!$AG$9:$AK$12</definedName>
    <definedName name="nasccEcCosts">Miscellaneous!$AG$17:$AK$20</definedName>
    <definedName name="nasccScCosts">Miscellaneous!$AG$13:$AK$16</definedName>
    <definedName name="nasccSupplier">'Car Purchase'!$O$13:$P$16</definedName>
    <definedName name="oneOffs">Miscellaneous!$AN$5:$AP$14</definedName>
    <definedName name="purchasedCars">'Car Purchase'!$B$5:$D$49</definedName>
    <definedName name="seriesClasses">Miscellaneous!$B$5:$C$13</definedName>
    <definedName name="seriesCodeClasses">Miscellaneous!$B$17:$C$23</definedName>
    <definedName name="setupCostsAero">Miscellaneous!$AW$9:$AX$11</definedName>
    <definedName name="setupCostsChassis">Miscellaneous!$AW$24:$AX$26</definedName>
    <definedName name="setupCostsFrontSusp">Miscellaneous!$AW$14:$AX$16</definedName>
    <definedName name="setupCostsGeneral">Miscellaneous!$AW$4:$AX$6</definedName>
    <definedName name="setupCostsRearSusp">Miscellaneous!$AW$19:$AX$21</definedName>
    <definedName name="setupCostsReliability">Miscellaneous!$AW$34:$AX$38</definedName>
    <definedName name="setupCostsTyres">Miscellaneous!$AW$29:$AX$31</definedName>
    <definedName name="t_asmGT3">Miscellaneous!$R$47:$S$47</definedName>
    <definedName name="t_asmGT4">Miscellaneous!$R$49:$S$49</definedName>
    <definedName name="t_asmLMP3">Miscellaneous!$R$45:$S$45</definedName>
    <definedName name="t_euemLMGTE">Miscellaneous!$R$31:$S$32</definedName>
    <definedName name="t_euemLMP2">Miscellaneous!$R$26:$S$27</definedName>
    <definedName name="t_euemLMP3">Miscellaneous!$R$29:$S$29</definedName>
    <definedName name="t_gemLMGTE">Miscellaneous!$R$11:$S$12</definedName>
    <definedName name="t_gemLMP1">Miscellaneous!$R$5:$S$6</definedName>
    <definedName name="t_gemLMP2">Miscellaneous!$R$8:$S$9</definedName>
    <definedName name="t_nasccDPi">Miscellaneous!$R$14:$S$15</definedName>
    <definedName name="t_nasccGTD">Miscellaneous!$R$23:$S$24</definedName>
    <definedName name="t_nasccGTLM">Miscellaneous!$R$20:$S$21</definedName>
    <definedName name="t_nasccLMP2">Miscellaneous!$R$17:$S$18</definedName>
    <definedName name="t_wgtmGT3A">Miscellaneous!$R$41:$S$41</definedName>
    <definedName name="t_wgtmGT3P">Miscellaneous!$R$38:$S$39</definedName>
    <definedName name="t_wgtmGT4">Miscellaneous!$R$43:$S$43</definedName>
    <definedName name="t_wgtssGT3">Miscellaneous!$R$34:$S$34</definedName>
    <definedName name="t_wgtssGT4">Miscellaneous!$R$36:$S$36</definedName>
    <definedName name="wgtmClasses">Miscellaneous!$F$22:$G$23</definedName>
    <definedName name="wgtmCosts">Miscellaneous!$AG$26:$AK$28</definedName>
    <definedName name="wgtmSupplier">'Car Purchase'!$O$28:$P$30</definedName>
    <definedName name="wgtssClasses">Miscellaneous!$F$19:$G$20</definedName>
    <definedName name="wgtssCosts">Miscellaneous!$AG$24:$AK$25</definedName>
    <definedName name="wgtssSupplier">'Car Purchase'!$O$24:$P$25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12" l="1"/>
  <c r="Y8" i="12"/>
  <c r="Y7" i="12"/>
  <c r="Y6" i="12"/>
  <c r="Y5" i="12"/>
  <c r="T15" i="12"/>
  <c r="T14" i="12"/>
  <c r="O14" i="12"/>
  <c r="J14" i="12"/>
  <c r="T13" i="12"/>
  <c r="O13" i="12"/>
  <c r="J13" i="12"/>
  <c r="T7" i="12"/>
  <c r="O7" i="12"/>
  <c r="J7" i="12"/>
  <c r="T6" i="12"/>
  <c r="O6" i="12"/>
  <c r="J6" i="12"/>
  <c r="T5" i="12"/>
  <c r="O5" i="12"/>
  <c r="J5" i="12"/>
  <c r="O15" i="12"/>
  <c r="J15" i="12"/>
  <c r="BB12" i="11" l="1"/>
  <c r="BB16" i="11"/>
  <c r="BB20" i="11"/>
  <c r="BB24" i="11"/>
  <c r="BB28" i="11"/>
  <c r="BB32" i="11"/>
  <c r="BB36" i="11"/>
  <c r="BB40" i="11"/>
  <c r="BB44" i="11"/>
  <c r="BB48" i="11"/>
  <c r="BB52" i="11"/>
  <c r="BB56" i="11"/>
  <c r="BB60" i="11"/>
  <c r="BB64" i="11"/>
  <c r="BB68" i="11"/>
  <c r="BB72" i="11"/>
  <c r="BB76" i="11"/>
  <c r="BB80" i="11"/>
  <c r="BB84" i="11"/>
  <c r="BB88" i="11"/>
  <c r="BB92" i="11"/>
  <c r="BB96" i="11"/>
  <c r="BB100" i="11"/>
  <c r="BB104" i="11"/>
  <c r="BB108" i="11"/>
  <c r="BB112" i="11"/>
  <c r="BB116" i="11"/>
  <c r="BB120" i="11"/>
  <c r="BB124" i="11"/>
  <c r="BB128" i="11"/>
  <c r="BB132" i="11"/>
  <c r="BB136" i="11"/>
  <c r="BB140" i="11"/>
  <c r="BB144" i="11"/>
  <c r="BB8" i="11"/>
  <c r="B6" i="6"/>
  <c r="E11" i="12"/>
  <c r="E10" i="12"/>
  <c r="E9" i="12"/>
  <c r="E8" i="12"/>
  <c r="E7" i="12"/>
  <c r="E6" i="12"/>
  <c r="D11" i="12"/>
  <c r="D10" i="12"/>
  <c r="D9" i="12"/>
  <c r="D8" i="12"/>
  <c r="D7" i="12"/>
  <c r="D6" i="12"/>
  <c r="E5" i="12"/>
  <c r="D5" i="12"/>
  <c r="AS40" i="10"/>
  <c r="W40" i="10" s="1"/>
  <c r="AS39" i="10"/>
  <c r="W39" i="10" s="1"/>
  <c r="AS38" i="10"/>
  <c r="W38" i="10" s="1"/>
  <c r="AS37" i="10"/>
  <c r="W37" i="10" s="1"/>
  <c r="AS36" i="10"/>
  <c r="W36" i="10" s="1"/>
  <c r="AS35" i="10"/>
  <c r="W35" i="10" s="1"/>
  <c r="AS34" i="10"/>
  <c r="W34" i="10" s="1"/>
  <c r="AS33" i="10"/>
  <c r="W33" i="10" s="1"/>
  <c r="AS32" i="10"/>
  <c r="W32" i="10" s="1"/>
  <c r="AS31" i="10"/>
  <c r="W31" i="10" s="1"/>
  <c r="AS30" i="10"/>
  <c r="W30" i="10" s="1"/>
  <c r="AS29" i="10"/>
  <c r="W29" i="10" s="1"/>
  <c r="AS28" i="10"/>
  <c r="W28" i="10" s="1"/>
  <c r="AS27" i="10"/>
  <c r="W27" i="10" s="1"/>
  <c r="AS26" i="10"/>
  <c r="W26" i="10" s="1"/>
  <c r="AS25" i="10"/>
  <c r="W25" i="10" s="1"/>
  <c r="AS24" i="10"/>
  <c r="W24" i="10" s="1"/>
  <c r="AS23" i="10"/>
  <c r="W23" i="10" s="1"/>
  <c r="AS22" i="10"/>
  <c r="W22" i="10" s="1"/>
  <c r="AS21" i="10"/>
  <c r="W21" i="10" s="1"/>
  <c r="AS20" i="10"/>
  <c r="W20" i="10" s="1"/>
  <c r="AS19" i="10"/>
  <c r="W19" i="10" s="1"/>
  <c r="AS18" i="10"/>
  <c r="W18" i="10" s="1"/>
  <c r="AS17" i="10"/>
  <c r="W17" i="10" s="1"/>
  <c r="AS16" i="10"/>
  <c r="W16" i="10" s="1"/>
  <c r="AS15" i="10"/>
  <c r="W15" i="10" s="1"/>
  <c r="AS14" i="10"/>
  <c r="W14" i="10" s="1"/>
  <c r="AS13" i="10"/>
  <c r="W13" i="10" s="1"/>
  <c r="AS12" i="10"/>
  <c r="W12" i="10" s="1"/>
  <c r="AS11" i="10"/>
  <c r="W11" i="10" s="1"/>
  <c r="AS10" i="10"/>
  <c r="W10" i="10" s="1"/>
  <c r="CJ39" i="9"/>
  <c r="BI39" i="9" s="1"/>
  <c r="CI39" i="9"/>
  <c r="CG39" i="9" s="1"/>
  <c r="BH39" i="9" s="1"/>
  <c r="CH39" i="9"/>
  <c r="CF39" i="9"/>
  <c r="CD39" i="9" s="1"/>
  <c r="BG39" i="9" s="1"/>
  <c r="CE39" i="9"/>
  <c r="CJ38" i="9"/>
  <c r="BI38" i="9" s="1"/>
  <c r="CI38" i="9"/>
  <c r="CG38" i="9" s="1"/>
  <c r="BH38" i="9" s="1"/>
  <c r="CH38" i="9"/>
  <c r="CF38" i="9"/>
  <c r="CD38" i="9" s="1"/>
  <c r="BG38" i="9" s="1"/>
  <c r="CE38" i="9"/>
  <c r="CJ37" i="9"/>
  <c r="BI37" i="9" s="1"/>
  <c r="CI37" i="9"/>
  <c r="CG37" i="9" s="1"/>
  <c r="BH37" i="9" s="1"/>
  <c r="CH37" i="9"/>
  <c r="CF37" i="9"/>
  <c r="CD37" i="9" s="1"/>
  <c r="BG37" i="9" s="1"/>
  <c r="CE37" i="9"/>
  <c r="CJ36" i="9"/>
  <c r="BI36" i="9" s="1"/>
  <c r="CI36" i="9"/>
  <c r="CG36" i="9" s="1"/>
  <c r="BH36" i="9" s="1"/>
  <c r="CH36" i="9"/>
  <c r="CF36" i="9"/>
  <c r="CD36" i="9" s="1"/>
  <c r="BG36" i="9" s="1"/>
  <c r="CE36" i="9"/>
  <c r="CJ35" i="9"/>
  <c r="BI35" i="9" s="1"/>
  <c r="CI35" i="9"/>
  <c r="CG35" i="9" s="1"/>
  <c r="BH35" i="9" s="1"/>
  <c r="CH35" i="9"/>
  <c r="CF35" i="9"/>
  <c r="CD35" i="9" s="1"/>
  <c r="BG35" i="9" s="1"/>
  <c r="CE35" i="9"/>
  <c r="CJ34" i="9"/>
  <c r="BI34" i="9" s="1"/>
  <c r="CI34" i="9"/>
  <c r="CG34" i="9" s="1"/>
  <c r="BH34" i="9" s="1"/>
  <c r="CH34" i="9"/>
  <c r="CF34" i="9"/>
  <c r="CD34" i="9" s="1"/>
  <c r="BG34" i="9" s="1"/>
  <c r="CE34" i="9"/>
  <c r="CJ33" i="9"/>
  <c r="BI33" i="9" s="1"/>
  <c r="CI33" i="9"/>
  <c r="CG33" i="9" s="1"/>
  <c r="BH33" i="9" s="1"/>
  <c r="CH33" i="9"/>
  <c r="CF33" i="9"/>
  <c r="CD33" i="9" s="1"/>
  <c r="BG33" i="9" s="1"/>
  <c r="CE33" i="9"/>
  <c r="CJ32" i="9"/>
  <c r="BI32" i="9" s="1"/>
  <c r="CI32" i="9"/>
  <c r="CG32" i="9" s="1"/>
  <c r="BH32" i="9" s="1"/>
  <c r="CH32" i="9"/>
  <c r="CF32" i="9"/>
  <c r="CD32" i="9" s="1"/>
  <c r="BG32" i="9" s="1"/>
  <c r="CE32" i="9"/>
  <c r="CJ31" i="9"/>
  <c r="BI31" i="9" s="1"/>
  <c r="CI31" i="9"/>
  <c r="CG31" i="9" s="1"/>
  <c r="BH31" i="9" s="1"/>
  <c r="CH31" i="9"/>
  <c r="CF31" i="9"/>
  <c r="CD31" i="9" s="1"/>
  <c r="BG31" i="9" s="1"/>
  <c r="CE31" i="9"/>
  <c r="CJ30" i="9"/>
  <c r="BI30" i="9" s="1"/>
  <c r="CI30" i="9"/>
  <c r="CG30" i="9" s="1"/>
  <c r="BH30" i="9" s="1"/>
  <c r="CH30" i="9"/>
  <c r="CF30" i="9"/>
  <c r="CD30" i="9" s="1"/>
  <c r="BG30" i="9" s="1"/>
  <c r="CE30" i="9"/>
  <c r="CJ29" i="9"/>
  <c r="BI29" i="9" s="1"/>
  <c r="CI29" i="9"/>
  <c r="CG29" i="9" s="1"/>
  <c r="BH29" i="9" s="1"/>
  <c r="CH29" i="9"/>
  <c r="CF29" i="9"/>
  <c r="CD29" i="9" s="1"/>
  <c r="BG29" i="9" s="1"/>
  <c r="CE29" i="9"/>
  <c r="CJ28" i="9"/>
  <c r="BI28" i="9" s="1"/>
  <c r="CI28" i="9"/>
  <c r="CG28" i="9" s="1"/>
  <c r="BH28" i="9" s="1"/>
  <c r="CH28" i="9"/>
  <c r="CF28" i="9"/>
  <c r="CD28" i="9" s="1"/>
  <c r="BG28" i="9" s="1"/>
  <c r="CE28" i="9"/>
  <c r="CJ27" i="9"/>
  <c r="BI27" i="9" s="1"/>
  <c r="CI27" i="9"/>
  <c r="CG27" i="9" s="1"/>
  <c r="BH27" i="9" s="1"/>
  <c r="CH27" i="9"/>
  <c r="CF27" i="9"/>
  <c r="CD27" i="9" s="1"/>
  <c r="BG27" i="9" s="1"/>
  <c r="CE27" i="9"/>
  <c r="CJ26" i="9"/>
  <c r="BI26" i="9" s="1"/>
  <c r="CI26" i="9"/>
  <c r="CG26" i="9" s="1"/>
  <c r="BH26" i="9" s="1"/>
  <c r="CH26" i="9"/>
  <c r="CF26" i="9"/>
  <c r="CD26" i="9" s="1"/>
  <c r="BG26" i="9" s="1"/>
  <c r="CE26" i="9"/>
  <c r="CJ25" i="9"/>
  <c r="BI25" i="9" s="1"/>
  <c r="CI25" i="9"/>
  <c r="CG25" i="9" s="1"/>
  <c r="BH25" i="9" s="1"/>
  <c r="CH25" i="9"/>
  <c r="CF25" i="9"/>
  <c r="CD25" i="9" s="1"/>
  <c r="BG25" i="9" s="1"/>
  <c r="CE25" i="9"/>
  <c r="CJ24" i="9"/>
  <c r="BI24" i="9" s="1"/>
  <c r="CI24" i="9"/>
  <c r="CG24" i="9" s="1"/>
  <c r="BH24" i="9" s="1"/>
  <c r="CH24" i="9"/>
  <c r="CF24" i="9"/>
  <c r="CD24" i="9" s="1"/>
  <c r="BG24" i="9" s="1"/>
  <c r="CE24" i="9"/>
  <c r="CJ23" i="9"/>
  <c r="BI23" i="9" s="1"/>
  <c r="CI23" i="9"/>
  <c r="CG23" i="9" s="1"/>
  <c r="BH23" i="9" s="1"/>
  <c r="CH23" i="9"/>
  <c r="CF23" i="9"/>
  <c r="CD23" i="9" s="1"/>
  <c r="BG23" i="9" s="1"/>
  <c r="CE23" i="9"/>
  <c r="CJ22" i="9"/>
  <c r="BI22" i="9" s="1"/>
  <c r="CI22" i="9"/>
  <c r="CG22" i="9" s="1"/>
  <c r="BH22" i="9" s="1"/>
  <c r="CH22" i="9"/>
  <c r="CF22" i="9"/>
  <c r="CD22" i="9" s="1"/>
  <c r="BG22" i="9" s="1"/>
  <c r="CE22" i="9"/>
  <c r="CJ21" i="9"/>
  <c r="BI21" i="9" s="1"/>
  <c r="CI21" i="9"/>
  <c r="CG21" i="9" s="1"/>
  <c r="BH21" i="9" s="1"/>
  <c r="CH21" i="9"/>
  <c r="CF21" i="9"/>
  <c r="CD21" i="9" s="1"/>
  <c r="BG21" i="9" s="1"/>
  <c r="CE21" i="9"/>
  <c r="CJ20" i="9"/>
  <c r="BI20" i="9" s="1"/>
  <c r="CI20" i="9"/>
  <c r="CG20" i="9" s="1"/>
  <c r="BH20" i="9" s="1"/>
  <c r="CH20" i="9"/>
  <c r="CF20" i="9"/>
  <c r="CD20" i="9" s="1"/>
  <c r="BG20" i="9" s="1"/>
  <c r="CE20" i="9"/>
  <c r="CJ19" i="9"/>
  <c r="BI19" i="9" s="1"/>
  <c r="CI19" i="9"/>
  <c r="CG19" i="9" s="1"/>
  <c r="BH19" i="9" s="1"/>
  <c r="CH19" i="9"/>
  <c r="CF19" i="9"/>
  <c r="CD19" i="9" s="1"/>
  <c r="BG19" i="9" s="1"/>
  <c r="CE19" i="9"/>
  <c r="CJ18" i="9"/>
  <c r="BI18" i="9" s="1"/>
  <c r="CI18" i="9"/>
  <c r="CG18" i="9" s="1"/>
  <c r="BH18" i="9" s="1"/>
  <c r="CH18" i="9"/>
  <c r="CF18" i="9"/>
  <c r="CD18" i="9" s="1"/>
  <c r="BG18" i="9" s="1"/>
  <c r="CE18" i="9"/>
  <c r="CJ17" i="9"/>
  <c r="BI17" i="9" s="1"/>
  <c r="CI17" i="9"/>
  <c r="CG17" i="9" s="1"/>
  <c r="BH17" i="9" s="1"/>
  <c r="CH17" i="9"/>
  <c r="CF17" i="9"/>
  <c r="CD17" i="9" s="1"/>
  <c r="BG17" i="9" s="1"/>
  <c r="CE17" i="9"/>
  <c r="CJ16" i="9"/>
  <c r="BI16" i="9" s="1"/>
  <c r="CI16" i="9"/>
  <c r="CG16" i="9" s="1"/>
  <c r="BH16" i="9" s="1"/>
  <c r="CH16" i="9"/>
  <c r="CF16" i="9"/>
  <c r="CD16" i="9" s="1"/>
  <c r="BG16" i="9" s="1"/>
  <c r="CE16" i="9"/>
  <c r="CJ15" i="9"/>
  <c r="BI15" i="9" s="1"/>
  <c r="CI15" i="9"/>
  <c r="CG15" i="9" s="1"/>
  <c r="BH15" i="9" s="1"/>
  <c r="CH15" i="9"/>
  <c r="CF15" i="9"/>
  <c r="CD15" i="9" s="1"/>
  <c r="BG15" i="9" s="1"/>
  <c r="CE15" i="9"/>
  <c r="CJ14" i="9"/>
  <c r="BI14" i="9" s="1"/>
  <c r="CI14" i="9"/>
  <c r="CG14" i="9" s="1"/>
  <c r="BH14" i="9" s="1"/>
  <c r="CH14" i="9"/>
  <c r="CF14" i="9"/>
  <c r="CD14" i="9" s="1"/>
  <c r="BG14" i="9" s="1"/>
  <c r="CE14" i="9"/>
  <c r="CJ13" i="9"/>
  <c r="BI13" i="9" s="1"/>
  <c r="CI13" i="9"/>
  <c r="CG13" i="9" s="1"/>
  <c r="BH13" i="9" s="1"/>
  <c r="CH13" i="9"/>
  <c r="CF13" i="9"/>
  <c r="CD13" i="9" s="1"/>
  <c r="BG13" i="9" s="1"/>
  <c r="CE13" i="9"/>
  <c r="CJ12" i="9"/>
  <c r="BI12" i="9" s="1"/>
  <c r="CI12" i="9"/>
  <c r="CG12" i="9" s="1"/>
  <c r="BH12" i="9" s="1"/>
  <c r="CH12" i="9"/>
  <c r="CF12" i="9"/>
  <c r="CD12" i="9" s="1"/>
  <c r="BG12" i="9" s="1"/>
  <c r="CE12" i="9"/>
  <c r="CJ11" i="9"/>
  <c r="BI11" i="9" s="1"/>
  <c r="CI11" i="9"/>
  <c r="CG11" i="9" s="1"/>
  <c r="BH11" i="9" s="1"/>
  <c r="CH11" i="9"/>
  <c r="CF11" i="9"/>
  <c r="CD11" i="9" s="1"/>
  <c r="BG11" i="9" s="1"/>
  <c r="CE11" i="9"/>
  <c r="CJ10" i="9"/>
  <c r="BI10" i="9" s="1"/>
  <c r="CI10" i="9"/>
  <c r="CG10" i="9" s="1"/>
  <c r="BH10" i="9" s="1"/>
  <c r="CH10" i="9"/>
  <c r="CF10" i="9"/>
  <c r="CD10" i="9" s="1"/>
  <c r="BG10" i="9" s="1"/>
  <c r="CE10" i="9"/>
  <c r="CJ9" i="9"/>
  <c r="BI9" i="9" s="1"/>
  <c r="CI9" i="9"/>
  <c r="CG9" i="9" s="1"/>
  <c r="BH9" i="9" s="1"/>
  <c r="CH9" i="9"/>
  <c r="CF9" i="9"/>
  <c r="CD9" i="9" s="1"/>
  <c r="BG9" i="9" s="1"/>
  <c r="CE9" i="9"/>
  <c r="CJ8" i="9"/>
  <c r="BI8" i="9" s="1"/>
  <c r="CI8" i="9"/>
  <c r="CG8" i="9" s="1"/>
  <c r="BH8" i="9" s="1"/>
  <c r="CH8" i="9"/>
  <c r="CF8" i="9"/>
  <c r="CD8" i="9" s="1"/>
  <c r="BG8" i="9" s="1"/>
  <c r="CE8" i="9"/>
  <c r="CJ7" i="9"/>
  <c r="BI7" i="9" s="1"/>
  <c r="CI7" i="9"/>
  <c r="CG7" i="9" s="1"/>
  <c r="BH7" i="9" s="1"/>
  <c r="CH7" i="9"/>
  <c r="CF7" i="9"/>
  <c r="CD7" i="9" s="1"/>
  <c r="BG7" i="9" s="1"/>
  <c r="CE7" i="9"/>
  <c r="CJ6" i="9"/>
  <c r="BI6" i="9" s="1"/>
  <c r="CI6" i="9"/>
  <c r="CG6" i="9" s="1"/>
  <c r="BH6" i="9" s="1"/>
  <c r="CH6" i="9"/>
  <c r="CF6" i="9"/>
  <c r="CE6" i="9"/>
  <c r="CH5" i="9"/>
  <c r="CE5" i="9"/>
  <c r="CJ5" i="9"/>
  <c r="BI5" i="9" s="1"/>
  <c r="CI5" i="9"/>
  <c r="CF5" i="9"/>
  <c r="AP40" i="6"/>
  <c r="U40" i="6" s="1"/>
  <c r="AP39" i="6"/>
  <c r="U39" i="6" s="1"/>
  <c r="AP38" i="6"/>
  <c r="U38" i="6" s="1"/>
  <c r="AP37" i="6"/>
  <c r="U37" i="6" s="1"/>
  <c r="AP36" i="6"/>
  <c r="U36" i="6" s="1"/>
  <c r="AP35" i="6"/>
  <c r="U35" i="6" s="1"/>
  <c r="AP34" i="6"/>
  <c r="U34" i="6" s="1"/>
  <c r="AP33" i="6"/>
  <c r="U33" i="6" s="1"/>
  <c r="AP32" i="6"/>
  <c r="U32" i="6" s="1"/>
  <c r="AP31" i="6"/>
  <c r="U31" i="6" s="1"/>
  <c r="AW39" i="9"/>
  <c r="V39" i="9" s="1"/>
  <c r="AV39" i="9"/>
  <c r="AT39" i="9" s="1"/>
  <c r="U39" i="9" s="1"/>
  <c r="AU39" i="9"/>
  <c r="AS39" i="9"/>
  <c r="AQ39" i="9" s="1"/>
  <c r="T39" i="9" s="1"/>
  <c r="AR39" i="9"/>
  <c r="AW38" i="9"/>
  <c r="V38" i="9" s="1"/>
  <c r="AV38" i="9"/>
  <c r="AT38" i="9" s="1"/>
  <c r="U38" i="9" s="1"/>
  <c r="AU38" i="9"/>
  <c r="AS38" i="9"/>
  <c r="AQ38" i="9" s="1"/>
  <c r="T38" i="9" s="1"/>
  <c r="AR38" i="9"/>
  <c r="AW37" i="9"/>
  <c r="V37" i="9" s="1"/>
  <c r="AV37" i="9"/>
  <c r="AT37" i="9" s="1"/>
  <c r="U37" i="9" s="1"/>
  <c r="AU37" i="9"/>
  <c r="AS37" i="9"/>
  <c r="AQ37" i="9" s="1"/>
  <c r="T37" i="9" s="1"/>
  <c r="AR37" i="9"/>
  <c r="AW36" i="9"/>
  <c r="V36" i="9" s="1"/>
  <c r="AV36" i="9"/>
  <c r="AT36" i="9" s="1"/>
  <c r="U36" i="9" s="1"/>
  <c r="AU36" i="9"/>
  <c r="AS36" i="9"/>
  <c r="AQ36" i="9" s="1"/>
  <c r="T36" i="9" s="1"/>
  <c r="AR36" i="9"/>
  <c r="AW35" i="9"/>
  <c r="V35" i="9" s="1"/>
  <c r="AV35" i="9"/>
  <c r="AT35" i="9" s="1"/>
  <c r="U35" i="9" s="1"/>
  <c r="AU35" i="9"/>
  <c r="AS35" i="9"/>
  <c r="AQ35" i="9" s="1"/>
  <c r="T35" i="9" s="1"/>
  <c r="AR35" i="9"/>
  <c r="AW34" i="9"/>
  <c r="V34" i="9" s="1"/>
  <c r="AV34" i="9"/>
  <c r="AT34" i="9" s="1"/>
  <c r="U34" i="9" s="1"/>
  <c r="AU34" i="9"/>
  <c r="AS34" i="9"/>
  <c r="AQ34" i="9" s="1"/>
  <c r="T34" i="9" s="1"/>
  <c r="AR34" i="9"/>
  <c r="AW33" i="9"/>
  <c r="V33" i="9" s="1"/>
  <c r="AV33" i="9"/>
  <c r="AT33" i="9" s="1"/>
  <c r="U33" i="9" s="1"/>
  <c r="AU33" i="9"/>
  <c r="AS33" i="9"/>
  <c r="AQ33" i="9" s="1"/>
  <c r="T33" i="9" s="1"/>
  <c r="AR33" i="9"/>
  <c r="AW32" i="9"/>
  <c r="V32" i="9" s="1"/>
  <c r="AV32" i="9"/>
  <c r="AT32" i="9" s="1"/>
  <c r="U32" i="9" s="1"/>
  <c r="AU32" i="9"/>
  <c r="AS32" i="9"/>
  <c r="AQ32" i="9" s="1"/>
  <c r="T32" i="9" s="1"/>
  <c r="AR32" i="9"/>
  <c r="AW31" i="9"/>
  <c r="V31" i="9" s="1"/>
  <c r="AV31" i="9"/>
  <c r="AT31" i="9" s="1"/>
  <c r="U31" i="9" s="1"/>
  <c r="AU31" i="9"/>
  <c r="AS31" i="9"/>
  <c r="AQ31" i="9" s="1"/>
  <c r="T31" i="9" s="1"/>
  <c r="AR31" i="9"/>
  <c r="AW30" i="9"/>
  <c r="V30" i="9" s="1"/>
  <c r="AV30" i="9"/>
  <c r="AT30" i="9" s="1"/>
  <c r="U30" i="9" s="1"/>
  <c r="AU30" i="9"/>
  <c r="AS30" i="9"/>
  <c r="AQ30" i="9" s="1"/>
  <c r="T30" i="9" s="1"/>
  <c r="AR30" i="9"/>
  <c r="AW29" i="9"/>
  <c r="V29" i="9" s="1"/>
  <c r="AV29" i="9"/>
  <c r="AT29" i="9" s="1"/>
  <c r="U29" i="9" s="1"/>
  <c r="AU29" i="9"/>
  <c r="AS29" i="9"/>
  <c r="AQ29" i="9" s="1"/>
  <c r="T29" i="9" s="1"/>
  <c r="AR29" i="9"/>
  <c r="AW28" i="9"/>
  <c r="V28" i="9" s="1"/>
  <c r="AV28" i="9"/>
  <c r="AT28" i="9" s="1"/>
  <c r="U28" i="9" s="1"/>
  <c r="AU28" i="9"/>
  <c r="AS28" i="9"/>
  <c r="AQ28" i="9" s="1"/>
  <c r="T28" i="9" s="1"/>
  <c r="AR28" i="9"/>
  <c r="AW27" i="9"/>
  <c r="V27" i="9" s="1"/>
  <c r="AV27" i="9"/>
  <c r="AT27" i="9" s="1"/>
  <c r="U27" i="9" s="1"/>
  <c r="AU27" i="9"/>
  <c r="AS27" i="9"/>
  <c r="AQ27" i="9" s="1"/>
  <c r="T27" i="9" s="1"/>
  <c r="AR27" i="9"/>
  <c r="AW26" i="9"/>
  <c r="V26" i="9" s="1"/>
  <c r="AV26" i="9"/>
  <c r="AT26" i="9" s="1"/>
  <c r="U26" i="9" s="1"/>
  <c r="AU26" i="9"/>
  <c r="AS26" i="9"/>
  <c r="AQ26" i="9" s="1"/>
  <c r="T26" i="9" s="1"/>
  <c r="AR26" i="9"/>
  <c r="AW25" i="9"/>
  <c r="V25" i="9" s="1"/>
  <c r="AV25" i="9"/>
  <c r="AT25" i="9" s="1"/>
  <c r="U25" i="9" s="1"/>
  <c r="AU25" i="9"/>
  <c r="AS25" i="9"/>
  <c r="AQ25" i="9" s="1"/>
  <c r="T25" i="9" s="1"/>
  <c r="AR25" i="9"/>
  <c r="AW24" i="9"/>
  <c r="V24" i="9" s="1"/>
  <c r="AV24" i="9"/>
  <c r="AT24" i="9" s="1"/>
  <c r="U24" i="9" s="1"/>
  <c r="AU24" i="9"/>
  <c r="AS24" i="9"/>
  <c r="AQ24" i="9" s="1"/>
  <c r="T24" i="9" s="1"/>
  <c r="AR24" i="9"/>
  <c r="AW23" i="9"/>
  <c r="V23" i="9" s="1"/>
  <c r="AV23" i="9"/>
  <c r="AT23" i="9" s="1"/>
  <c r="U23" i="9" s="1"/>
  <c r="AU23" i="9"/>
  <c r="AS23" i="9"/>
  <c r="AQ23" i="9" s="1"/>
  <c r="T23" i="9" s="1"/>
  <c r="AR23" i="9"/>
  <c r="AW22" i="9"/>
  <c r="V22" i="9" s="1"/>
  <c r="AV22" i="9"/>
  <c r="AT22" i="9" s="1"/>
  <c r="U22" i="9" s="1"/>
  <c r="AU22" i="9"/>
  <c r="AS22" i="9"/>
  <c r="AQ22" i="9" s="1"/>
  <c r="T22" i="9" s="1"/>
  <c r="AR22" i="9"/>
  <c r="AW21" i="9"/>
  <c r="V21" i="9" s="1"/>
  <c r="AV21" i="9"/>
  <c r="AT21" i="9" s="1"/>
  <c r="U21" i="9" s="1"/>
  <c r="AU21" i="9"/>
  <c r="AS21" i="9"/>
  <c r="AQ21" i="9" s="1"/>
  <c r="T21" i="9" s="1"/>
  <c r="AR21" i="9"/>
  <c r="AW20" i="9"/>
  <c r="V20" i="9" s="1"/>
  <c r="AV20" i="9"/>
  <c r="AT20" i="9" s="1"/>
  <c r="U20" i="9" s="1"/>
  <c r="AU20" i="9"/>
  <c r="AS20" i="9"/>
  <c r="AQ20" i="9" s="1"/>
  <c r="T20" i="9" s="1"/>
  <c r="AR20" i="9"/>
  <c r="AW19" i="9"/>
  <c r="V19" i="9" s="1"/>
  <c r="AV19" i="9"/>
  <c r="AT19" i="9" s="1"/>
  <c r="U19" i="9" s="1"/>
  <c r="AU19" i="9"/>
  <c r="AS19" i="9"/>
  <c r="AQ19" i="9" s="1"/>
  <c r="T19" i="9" s="1"/>
  <c r="AR19" i="9"/>
  <c r="AW18" i="9"/>
  <c r="V18" i="9" s="1"/>
  <c r="AV18" i="9"/>
  <c r="AT18" i="9" s="1"/>
  <c r="U18" i="9" s="1"/>
  <c r="AU18" i="9"/>
  <c r="AS18" i="9"/>
  <c r="AQ18" i="9" s="1"/>
  <c r="T18" i="9" s="1"/>
  <c r="AR18" i="9"/>
  <c r="AW17" i="9"/>
  <c r="V17" i="9" s="1"/>
  <c r="AV17" i="9"/>
  <c r="AT17" i="9" s="1"/>
  <c r="U17" i="9" s="1"/>
  <c r="AU17" i="9"/>
  <c r="AS17" i="9"/>
  <c r="AQ17" i="9" s="1"/>
  <c r="T17" i="9" s="1"/>
  <c r="AR17" i="9"/>
  <c r="AW16" i="9"/>
  <c r="V16" i="9" s="1"/>
  <c r="AV16" i="9"/>
  <c r="AT16" i="9" s="1"/>
  <c r="U16" i="9" s="1"/>
  <c r="AU16" i="9"/>
  <c r="AS16" i="9"/>
  <c r="AQ16" i="9" s="1"/>
  <c r="T16" i="9" s="1"/>
  <c r="AR16" i="9"/>
  <c r="AW15" i="9"/>
  <c r="V15" i="9" s="1"/>
  <c r="AV15" i="9"/>
  <c r="AT15" i="9" s="1"/>
  <c r="U15" i="9" s="1"/>
  <c r="AU15" i="9"/>
  <c r="AS15" i="9"/>
  <c r="AQ15" i="9" s="1"/>
  <c r="T15" i="9" s="1"/>
  <c r="AR15" i="9"/>
  <c r="AW14" i="9"/>
  <c r="V14" i="9" s="1"/>
  <c r="AV14" i="9"/>
  <c r="AT14" i="9" s="1"/>
  <c r="U14" i="9" s="1"/>
  <c r="AU14" i="9"/>
  <c r="AS14" i="9"/>
  <c r="AQ14" i="9" s="1"/>
  <c r="T14" i="9" s="1"/>
  <c r="AR14" i="9"/>
  <c r="AW13" i="9"/>
  <c r="V13" i="9" s="1"/>
  <c r="AV13" i="9"/>
  <c r="AT13" i="9" s="1"/>
  <c r="U13" i="9" s="1"/>
  <c r="AU13" i="9"/>
  <c r="AS13" i="9"/>
  <c r="AR13" i="9"/>
  <c r="AW12" i="9"/>
  <c r="V12" i="9" s="1"/>
  <c r="AV12" i="9"/>
  <c r="AT12" i="9" s="1"/>
  <c r="U12" i="9" s="1"/>
  <c r="AU12" i="9"/>
  <c r="AS12" i="9"/>
  <c r="AQ12" i="9" s="1"/>
  <c r="T12" i="9" s="1"/>
  <c r="AR12" i="9"/>
  <c r="AW11" i="9"/>
  <c r="V11" i="9" s="1"/>
  <c r="AV11" i="9"/>
  <c r="AU11" i="9"/>
  <c r="AS11" i="9"/>
  <c r="AR11" i="9"/>
  <c r="AW10" i="9"/>
  <c r="V10" i="9" s="1"/>
  <c r="AV10" i="9"/>
  <c r="AU10" i="9"/>
  <c r="AS10" i="9"/>
  <c r="AR10" i="9"/>
  <c r="AW9" i="9"/>
  <c r="V9" i="9" s="1"/>
  <c r="AW8" i="9"/>
  <c r="V8" i="9" s="1"/>
  <c r="AW7" i="9"/>
  <c r="V7" i="9" s="1"/>
  <c r="AW6" i="9"/>
  <c r="V6" i="9" s="1"/>
  <c r="AW5" i="9"/>
  <c r="V5" i="9" s="1"/>
  <c r="AV9" i="9"/>
  <c r="AU9" i="9"/>
  <c r="AV8" i="9"/>
  <c r="AU8" i="9"/>
  <c r="AV7" i="9"/>
  <c r="AU7" i="9"/>
  <c r="AV6" i="9"/>
  <c r="AU6" i="9"/>
  <c r="AV5" i="9"/>
  <c r="AU5" i="9"/>
  <c r="AR5" i="9"/>
  <c r="AS9" i="9"/>
  <c r="AS8" i="9"/>
  <c r="AS7" i="9"/>
  <c r="AS6" i="9"/>
  <c r="AS5" i="9"/>
  <c r="AR6" i="9"/>
  <c r="AR7" i="9"/>
  <c r="AR8" i="9"/>
  <c r="AR9" i="9"/>
  <c r="AT11" i="9" l="1"/>
  <c r="U11" i="9" s="1"/>
  <c r="AT9" i="9"/>
  <c r="U9" i="9" s="1"/>
  <c r="AQ9" i="9"/>
  <c r="T9" i="9" s="1"/>
  <c r="AQ13" i="9"/>
  <c r="T13" i="9" s="1"/>
  <c r="AQ11" i="9"/>
  <c r="T11" i="9" s="1"/>
  <c r="AT7" i="9"/>
  <c r="U7" i="9" s="1"/>
  <c r="AQ5" i="9"/>
  <c r="T5" i="9" s="1"/>
  <c r="CD6" i="9"/>
  <c r="BG6" i="9" s="1"/>
  <c r="CD5" i="9"/>
  <c r="BG5" i="9" s="1"/>
  <c r="CG5" i="9"/>
  <c r="BH5" i="9" s="1"/>
  <c r="AT10" i="9"/>
  <c r="U10" i="9" s="1"/>
  <c r="AT8" i="9"/>
  <c r="U8" i="9" s="1"/>
  <c r="AQ6" i="9"/>
  <c r="T6" i="9" s="1"/>
  <c r="AQ8" i="9"/>
  <c r="T8" i="9" s="1"/>
  <c r="AQ10" i="9"/>
  <c r="T10" i="9" s="1"/>
  <c r="AT5" i="9"/>
  <c r="U5" i="9" s="1"/>
  <c r="AT6" i="9"/>
  <c r="U6" i="9" s="1"/>
  <c r="AQ7" i="9"/>
  <c r="T7" i="9" s="1"/>
  <c r="D12" i="12"/>
  <c r="R39" i="9"/>
  <c r="R38" i="9"/>
  <c r="R37" i="9"/>
  <c r="R36" i="9"/>
  <c r="R35" i="9"/>
  <c r="R34" i="9"/>
  <c r="R33" i="9"/>
  <c r="R32" i="9"/>
  <c r="R31" i="9"/>
  <c r="R30" i="9"/>
  <c r="E12" i="12" l="1"/>
  <c r="C13" i="9"/>
  <c r="D13" i="9" s="1"/>
  <c r="C14" i="9"/>
  <c r="D14" i="9" s="1"/>
  <c r="G49" i="9"/>
  <c r="G48" i="9"/>
  <c r="G47" i="9"/>
  <c r="G46" i="9"/>
  <c r="G45" i="9"/>
  <c r="G44" i="9"/>
  <c r="J43" i="9"/>
  <c r="I43" i="9"/>
  <c r="H43" i="9"/>
  <c r="G43" i="9"/>
  <c r="G42" i="9"/>
  <c r="G41" i="9"/>
  <c r="G40" i="9"/>
  <c r="BF39" i="9"/>
  <c r="BE39" i="9"/>
  <c r="BD39" i="9"/>
  <c r="BC39" i="9"/>
  <c r="S39" i="9"/>
  <c r="Q39" i="9"/>
  <c r="P39" i="9"/>
  <c r="G39" i="9"/>
  <c r="BO38" i="9"/>
  <c r="BM38" i="9" s="1"/>
  <c r="BF38" i="9"/>
  <c r="BE38" i="9"/>
  <c r="BD38" i="9"/>
  <c r="BC38" i="9"/>
  <c r="S38" i="9"/>
  <c r="Q38" i="9"/>
  <c r="P38" i="9"/>
  <c r="G38" i="9"/>
  <c r="BO37" i="9"/>
  <c r="BM37" i="9" s="1"/>
  <c r="BF37" i="9"/>
  <c r="BE37" i="9"/>
  <c r="BD37" i="9"/>
  <c r="BC37" i="9"/>
  <c r="S37" i="9"/>
  <c r="Q37" i="9"/>
  <c r="P37" i="9"/>
  <c r="G37" i="9"/>
  <c r="BO36" i="9"/>
  <c r="BM36" i="9" s="1"/>
  <c r="BF36" i="9"/>
  <c r="BE36" i="9"/>
  <c r="BD36" i="9"/>
  <c r="BC36" i="9"/>
  <c r="S36" i="9"/>
  <c r="Q36" i="9"/>
  <c r="P36" i="9"/>
  <c r="G36" i="9"/>
  <c r="BO35" i="9"/>
  <c r="BM35" i="9" s="1"/>
  <c r="BF35" i="9"/>
  <c r="BE35" i="9"/>
  <c r="BD35" i="9"/>
  <c r="BC35" i="9"/>
  <c r="S35" i="9"/>
  <c r="Q35" i="9"/>
  <c r="P35" i="9"/>
  <c r="G35" i="9"/>
  <c r="BO34" i="9"/>
  <c r="BM34" i="9" s="1"/>
  <c r="BF34" i="9"/>
  <c r="BE34" i="9"/>
  <c r="BD34" i="9"/>
  <c r="BC34" i="9"/>
  <c r="S34" i="9"/>
  <c r="Q34" i="9"/>
  <c r="P34" i="9"/>
  <c r="G34" i="9"/>
  <c r="BO33" i="9"/>
  <c r="BM33" i="9" s="1"/>
  <c r="BF33" i="9"/>
  <c r="BE33" i="9"/>
  <c r="BD33" i="9"/>
  <c r="BC33" i="9"/>
  <c r="S33" i="9"/>
  <c r="Q33" i="9"/>
  <c r="P33" i="9"/>
  <c r="G33" i="9"/>
  <c r="BO32" i="9"/>
  <c r="BM32" i="9" s="1"/>
  <c r="BF32" i="9"/>
  <c r="BE32" i="9"/>
  <c r="BD32" i="9"/>
  <c r="BC32" i="9"/>
  <c r="S32" i="9"/>
  <c r="Q32" i="9"/>
  <c r="P32" i="9"/>
  <c r="G32" i="9"/>
  <c r="BO31" i="9"/>
  <c r="BM31" i="9" s="1"/>
  <c r="BF31" i="9"/>
  <c r="BE31" i="9"/>
  <c r="BD31" i="9"/>
  <c r="BC31" i="9"/>
  <c r="G31" i="9"/>
  <c r="BO30" i="9"/>
  <c r="BM30" i="9" s="1"/>
  <c r="BF30" i="9"/>
  <c r="BE30" i="9"/>
  <c r="BD30" i="9"/>
  <c r="BC30" i="9"/>
  <c r="G30" i="9"/>
  <c r="BO29" i="9"/>
  <c r="BM29" i="9" s="1"/>
  <c r="BF29" i="9"/>
  <c r="BE29" i="9"/>
  <c r="BD29" i="9"/>
  <c r="BC29" i="9"/>
  <c r="G29" i="9"/>
  <c r="G28" i="9"/>
  <c r="G27" i="9"/>
  <c r="G26" i="9"/>
  <c r="G25" i="9"/>
  <c r="G24" i="9"/>
  <c r="BF23" i="9"/>
  <c r="BE23" i="9"/>
  <c r="BD23" i="9"/>
  <c r="BC23" i="9"/>
  <c r="G23" i="9"/>
  <c r="BO22" i="9"/>
  <c r="BM22" i="9" s="1"/>
  <c r="BF22" i="9"/>
  <c r="BE22" i="9"/>
  <c r="BD22" i="9"/>
  <c r="BC22" i="9"/>
  <c r="G22" i="9"/>
  <c r="G21" i="9"/>
  <c r="G20" i="9"/>
  <c r="G19" i="9"/>
  <c r="G18" i="9"/>
  <c r="G17" i="9"/>
  <c r="G16" i="9"/>
  <c r="G15" i="9"/>
  <c r="G14" i="9"/>
  <c r="BF13" i="9"/>
  <c r="G13" i="9"/>
  <c r="BO12" i="9"/>
  <c r="BM12" i="9" s="1"/>
  <c r="BF12" i="9"/>
  <c r="BD12" i="9"/>
  <c r="BC12" i="9"/>
  <c r="G12" i="9"/>
  <c r="G11" i="9"/>
  <c r="G10" i="9"/>
  <c r="G9" i="9"/>
  <c r="G8" i="9"/>
  <c r="G7" i="9"/>
  <c r="G6" i="9"/>
  <c r="G5" i="9"/>
  <c r="C5" i="9" l="1"/>
  <c r="AI12" i="7" l="1"/>
  <c r="AI11" i="7"/>
  <c r="AI10" i="7"/>
  <c r="AI9" i="7"/>
  <c r="I5" i="5" l="1" a="1"/>
  <c r="J38" i="9" l="1"/>
  <c r="J34" i="9"/>
  <c r="I38" i="9"/>
  <c r="I34" i="9"/>
  <c r="J31" i="9"/>
  <c r="H32" i="9"/>
  <c r="H30" i="9"/>
  <c r="H38" i="9"/>
  <c r="H34" i="9"/>
  <c r="I31" i="9"/>
  <c r="H31" i="9"/>
  <c r="I36" i="9"/>
  <c r="J30" i="9"/>
  <c r="J39" i="9"/>
  <c r="J35" i="9"/>
  <c r="H37" i="9"/>
  <c r="I39" i="9"/>
  <c r="I35" i="9"/>
  <c r="J33" i="9"/>
  <c r="H33" i="9"/>
  <c r="H39" i="9"/>
  <c r="H35" i="9"/>
  <c r="I32" i="9"/>
  <c r="J37" i="9"/>
  <c r="J36" i="9"/>
  <c r="J32" i="9"/>
  <c r="I30" i="9"/>
  <c r="H36" i="9"/>
  <c r="I37" i="9"/>
  <c r="I33" i="9"/>
  <c r="J23" i="9"/>
  <c r="I23" i="9"/>
  <c r="H23" i="9"/>
  <c r="I5" i="5"/>
  <c r="I13" i="9"/>
  <c r="H13" i="9"/>
  <c r="J13" i="9"/>
  <c r="H40" i="9"/>
  <c r="I40" i="9"/>
  <c r="J40" i="9"/>
  <c r="H41" i="9"/>
  <c r="I41" i="9"/>
  <c r="J41" i="9"/>
  <c r="H42" i="9"/>
  <c r="I42" i="9"/>
  <c r="J42" i="9"/>
  <c r="H44" i="9"/>
  <c r="I44" i="9"/>
  <c r="J44" i="9"/>
  <c r="H45" i="9"/>
  <c r="I45" i="9"/>
  <c r="J45" i="9"/>
  <c r="H46" i="9"/>
  <c r="I46" i="9"/>
  <c r="J46" i="9"/>
  <c r="H47" i="9"/>
  <c r="I47" i="9"/>
  <c r="J47" i="9"/>
  <c r="H48" i="9"/>
  <c r="I48" i="9"/>
  <c r="J48" i="9"/>
  <c r="H49" i="9"/>
  <c r="I49" i="9"/>
  <c r="J49" i="9"/>
  <c r="C40" i="5"/>
  <c r="H40" i="5"/>
  <c r="C41" i="5"/>
  <c r="H41" i="5"/>
  <c r="C42" i="5"/>
  <c r="H42" i="5"/>
  <c r="C43" i="5"/>
  <c r="H43" i="5"/>
  <c r="C44" i="5"/>
  <c r="H44" i="5"/>
  <c r="C45" i="5"/>
  <c r="H45" i="5"/>
  <c r="C46" i="5"/>
  <c r="H46" i="5"/>
  <c r="C47" i="5"/>
  <c r="H47" i="5"/>
  <c r="C48" i="5"/>
  <c r="H48" i="5"/>
  <c r="C49" i="5"/>
  <c r="H49" i="5"/>
  <c r="F141" i="11"/>
  <c r="J141" i="11" s="1"/>
  <c r="F137" i="11"/>
  <c r="H137" i="11" s="1"/>
  <c r="F133" i="11"/>
  <c r="I133" i="11" s="1"/>
  <c r="F129" i="11"/>
  <c r="J129" i="11" s="1"/>
  <c r="F125" i="11"/>
  <c r="J125" i="11" s="1"/>
  <c r="F121" i="11"/>
  <c r="H121" i="11" s="1"/>
  <c r="F117" i="11"/>
  <c r="F113" i="11"/>
  <c r="G113" i="11" s="1"/>
  <c r="F109" i="11"/>
  <c r="J109" i="11" s="1"/>
  <c r="F105" i="11"/>
  <c r="I105" i="11" s="1"/>
  <c r="F101" i="11"/>
  <c r="J101" i="11" s="1"/>
  <c r="F97" i="11"/>
  <c r="J97" i="11" s="1"/>
  <c r="F93" i="11"/>
  <c r="J93" i="11" s="1"/>
  <c r="F89" i="11"/>
  <c r="G89" i="11" s="1"/>
  <c r="F85" i="11"/>
  <c r="J85" i="11" s="1"/>
  <c r="F81" i="11"/>
  <c r="J81" i="11" s="1"/>
  <c r="F77" i="11"/>
  <c r="J77" i="11" s="1"/>
  <c r="F73" i="11"/>
  <c r="J73" i="11" s="1"/>
  <c r="F69" i="11"/>
  <c r="J69" i="11" s="1"/>
  <c r="F65" i="11"/>
  <c r="F61" i="11"/>
  <c r="J61" i="11" s="1"/>
  <c r="F57" i="11"/>
  <c r="F53" i="11"/>
  <c r="J53" i="11" s="1"/>
  <c r="F49" i="11"/>
  <c r="I49" i="11" s="1"/>
  <c r="F45" i="11"/>
  <c r="I45" i="11" s="1"/>
  <c r="F41" i="11"/>
  <c r="I41" i="11" s="1"/>
  <c r="F37" i="11"/>
  <c r="F33" i="11"/>
  <c r="J33" i="11" s="1"/>
  <c r="F29" i="11"/>
  <c r="I29" i="11" s="1"/>
  <c r="F25" i="11"/>
  <c r="I25" i="11" s="1"/>
  <c r="F21" i="11"/>
  <c r="J21" i="11" s="1"/>
  <c r="F17" i="11"/>
  <c r="F13" i="11"/>
  <c r="J13" i="11" s="1"/>
  <c r="F9" i="11"/>
  <c r="J9" i="11" s="1"/>
  <c r="F142" i="11"/>
  <c r="J142" i="11" s="1"/>
  <c r="F138" i="11"/>
  <c r="H138" i="11" s="1"/>
  <c r="F134" i="11"/>
  <c r="J134" i="11" s="1"/>
  <c r="F130" i="11"/>
  <c r="J130" i="11" s="1"/>
  <c r="F126" i="11"/>
  <c r="F122" i="11"/>
  <c r="J122" i="11" s="1"/>
  <c r="F118" i="11"/>
  <c r="J118" i="11" s="1"/>
  <c r="F114" i="11"/>
  <c r="I114" i="11" s="1"/>
  <c r="F110" i="11"/>
  <c r="H110" i="11" s="1"/>
  <c r="F106" i="11"/>
  <c r="F102" i="11"/>
  <c r="I102" i="11" s="1"/>
  <c r="F98" i="11"/>
  <c r="J98" i="11" s="1"/>
  <c r="F94" i="11"/>
  <c r="J94" i="11" s="1"/>
  <c r="F90" i="11"/>
  <c r="H90" i="11" s="1"/>
  <c r="F86" i="11"/>
  <c r="F82" i="11"/>
  <c r="F78" i="11"/>
  <c r="J78" i="11" s="1"/>
  <c r="F74" i="11"/>
  <c r="H74" i="11" s="1"/>
  <c r="F70" i="11"/>
  <c r="J70" i="11" s="1"/>
  <c r="F66" i="11"/>
  <c r="H66" i="11" s="1"/>
  <c r="F62" i="11"/>
  <c r="H62" i="11" s="1"/>
  <c r="F58" i="11"/>
  <c r="H58" i="11" s="1"/>
  <c r="F54" i="11"/>
  <c r="F50" i="11"/>
  <c r="G50" i="11" s="1"/>
  <c r="F46" i="11"/>
  <c r="G46" i="11" s="1"/>
  <c r="F42" i="11"/>
  <c r="H42" i="11" s="1"/>
  <c r="F38" i="11"/>
  <c r="F34" i="11"/>
  <c r="J34" i="11" s="1"/>
  <c r="F30" i="11"/>
  <c r="J30" i="11" s="1"/>
  <c r="F26" i="11"/>
  <c r="H26" i="11" s="1"/>
  <c r="F22" i="11"/>
  <c r="J22" i="11" s="1"/>
  <c r="F18" i="11"/>
  <c r="J18" i="11" s="1"/>
  <c r="F14" i="11"/>
  <c r="G14" i="11" s="1"/>
  <c r="F10" i="11"/>
  <c r="J10" i="11" s="1"/>
  <c r="F144" i="11"/>
  <c r="F143" i="11"/>
  <c r="J143" i="11" s="1"/>
  <c r="F140" i="11"/>
  <c r="J140" i="11" s="1"/>
  <c r="Q140" i="11" s="1"/>
  <c r="F139" i="11"/>
  <c r="H139" i="11" s="1"/>
  <c r="F136" i="11"/>
  <c r="H136" i="11" s="1"/>
  <c r="F135" i="11"/>
  <c r="F132" i="11"/>
  <c r="J132" i="11" s="1"/>
  <c r="Q132" i="11" s="1"/>
  <c r="F131" i="11"/>
  <c r="J131" i="11" s="1"/>
  <c r="F128" i="11"/>
  <c r="H128" i="11" s="1"/>
  <c r="F127" i="11"/>
  <c r="F124" i="11"/>
  <c r="J124" i="11" s="1"/>
  <c r="Q124" i="11" s="1"/>
  <c r="F123" i="11"/>
  <c r="H123" i="11" s="1"/>
  <c r="F120" i="11"/>
  <c r="J120" i="11" s="1"/>
  <c r="Q120" i="11" s="1"/>
  <c r="F119" i="11"/>
  <c r="H119" i="11" s="1"/>
  <c r="F116" i="11"/>
  <c r="J116" i="11" s="1"/>
  <c r="Q116" i="11" s="1"/>
  <c r="F115" i="11"/>
  <c r="J115" i="11" s="1"/>
  <c r="F112" i="11"/>
  <c r="J112" i="11" s="1"/>
  <c r="Q112" i="11" s="1"/>
  <c r="F111" i="11"/>
  <c r="H111" i="11" s="1"/>
  <c r="F108" i="11"/>
  <c r="G108" i="11" s="1"/>
  <c r="F107" i="11"/>
  <c r="H107" i="11" s="1"/>
  <c r="F104" i="11"/>
  <c r="I104" i="11" s="1"/>
  <c r="F103" i="11"/>
  <c r="J103" i="11" s="1"/>
  <c r="F100" i="11"/>
  <c r="F99" i="11"/>
  <c r="H99" i="11" s="1"/>
  <c r="F96" i="11"/>
  <c r="J96" i="11" s="1"/>
  <c r="Q96" i="11" s="1"/>
  <c r="F95" i="11"/>
  <c r="F92" i="11"/>
  <c r="I92" i="11" s="1"/>
  <c r="F91" i="11"/>
  <c r="J91" i="11" s="1"/>
  <c r="F88" i="11"/>
  <c r="F87" i="11"/>
  <c r="J87" i="11" s="1"/>
  <c r="F84" i="11"/>
  <c r="J84" i="11" s="1"/>
  <c r="Q84" i="11" s="1"/>
  <c r="F83" i="11"/>
  <c r="I83" i="11" s="1"/>
  <c r="F80" i="11"/>
  <c r="J80" i="11" s="1"/>
  <c r="Q80" i="11" s="1"/>
  <c r="F79" i="11"/>
  <c r="J79" i="11" s="1"/>
  <c r="F76" i="11"/>
  <c r="J76" i="11" s="1"/>
  <c r="Q76" i="11" s="1"/>
  <c r="F75" i="11"/>
  <c r="F72" i="11"/>
  <c r="I72" i="11" s="1"/>
  <c r="F71" i="11"/>
  <c r="J71" i="11" s="1"/>
  <c r="F68" i="11"/>
  <c r="G68" i="11" s="1"/>
  <c r="F67" i="11"/>
  <c r="G67" i="11" s="1"/>
  <c r="F64" i="11"/>
  <c r="J64" i="11" s="1"/>
  <c r="Q64" i="11" s="1"/>
  <c r="F63" i="11"/>
  <c r="J63" i="11" s="1"/>
  <c r="F60" i="11"/>
  <c r="H60" i="11" s="1"/>
  <c r="F59" i="11"/>
  <c r="G59" i="11" s="1"/>
  <c r="F56" i="11"/>
  <c r="F55" i="11"/>
  <c r="F52" i="11"/>
  <c r="J52" i="11" s="1"/>
  <c r="Q52" i="11" s="1"/>
  <c r="F51" i="11"/>
  <c r="J51" i="11" s="1"/>
  <c r="F48" i="11"/>
  <c r="J48" i="11" s="1"/>
  <c r="Q48" i="11" s="1"/>
  <c r="F47" i="11"/>
  <c r="J47" i="11" s="1"/>
  <c r="F44" i="11"/>
  <c r="H44" i="11" s="1"/>
  <c r="F43" i="11"/>
  <c r="J43" i="11" s="1"/>
  <c r="F40" i="11"/>
  <c r="J40" i="11" s="1"/>
  <c r="Q40" i="11" s="1"/>
  <c r="F39" i="11"/>
  <c r="J39" i="11" s="1"/>
  <c r="F36" i="11"/>
  <c r="J36" i="11" s="1"/>
  <c r="Q36" i="11" s="1"/>
  <c r="F35" i="11"/>
  <c r="J35" i="11" s="1"/>
  <c r="F32" i="11"/>
  <c r="G32" i="11" s="1"/>
  <c r="F31" i="11"/>
  <c r="I31" i="11" s="1"/>
  <c r="F28" i="11"/>
  <c r="F27" i="11"/>
  <c r="F24" i="11"/>
  <c r="H24" i="11" s="1"/>
  <c r="F23" i="11"/>
  <c r="G23" i="11" s="1"/>
  <c r="F20" i="11"/>
  <c r="I20" i="11" s="1"/>
  <c r="F19" i="11"/>
  <c r="G19" i="11" s="1"/>
  <c r="F16" i="11"/>
  <c r="H16" i="11" s="1"/>
  <c r="F15" i="11"/>
  <c r="F12" i="11"/>
  <c r="J12" i="11" s="1"/>
  <c r="Q12" i="11" s="1"/>
  <c r="F11" i="11"/>
  <c r="I11" i="11" s="1"/>
  <c r="F8" i="11"/>
  <c r="G8" i="11" s="1"/>
  <c r="F7" i="11"/>
  <c r="J7" i="11" s="1"/>
  <c r="Q7" i="11" s="1"/>
  <c r="F6" i="11"/>
  <c r="J6" i="11" s="1"/>
  <c r="AO6" i="11" s="1"/>
  <c r="F5" i="11"/>
  <c r="I5" i="11" s="1"/>
  <c r="G127" i="11"/>
  <c r="I127" i="11"/>
  <c r="J123" i="11"/>
  <c r="BF28" i="9"/>
  <c r="BF27" i="9"/>
  <c r="BF26" i="9"/>
  <c r="BF25" i="9"/>
  <c r="BF24" i="9"/>
  <c r="BC24" i="9"/>
  <c r="BF21" i="9"/>
  <c r="BC21" i="9"/>
  <c r="BF20" i="9"/>
  <c r="BF19" i="9"/>
  <c r="BE19" i="9"/>
  <c r="BF18" i="9"/>
  <c r="BF17" i="9"/>
  <c r="BF16" i="9"/>
  <c r="BE16" i="9"/>
  <c r="BF15" i="9"/>
  <c r="BF14" i="9"/>
  <c r="BF11" i="9"/>
  <c r="BF8" i="9"/>
  <c r="BF6" i="9"/>
  <c r="BO39" i="9"/>
  <c r="BM39" i="9" s="1"/>
  <c r="BO28" i="9"/>
  <c r="BO27" i="9"/>
  <c r="BO26" i="9"/>
  <c r="BO25" i="9"/>
  <c r="BO24" i="9"/>
  <c r="BO23" i="9"/>
  <c r="BM23" i="9" s="1"/>
  <c r="BO21" i="9"/>
  <c r="BO20" i="9"/>
  <c r="BO19" i="9"/>
  <c r="BO18" i="9"/>
  <c r="BO17" i="9"/>
  <c r="BO16" i="9"/>
  <c r="BO15" i="9"/>
  <c r="BO14" i="9"/>
  <c r="BM14" i="9" s="1"/>
  <c r="BO13" i="9"/>
  <c r="BM13" i="9" s="1"/>
  <c r="BO11" i="9"/>
  <c r="BO10" i="9"/>
  <c r="BO9" i="9"/>
  <c r="BO8" i="9"/>
  <c r="BM8" i="9" s="1"/>
  <c r="BO7" i="9"/>
  <c r="BO6" i="9"/>
  <c r="BM6" i="9" s="1"/>
  <c r="BO5" i="9"/>
  <c r="AH40" i="10"/>
  <c r="AH39" i="10"/>
  <c r="AH38" i="10"/>
  <c r="AH37" i="10"/>
  <c r="AH36" i="10"/>
  <c r="AH35" i="10"/>
  <c r="AH34" i="10"/>
  <c r="AH33" i="10"/>
  <c r="AH32" i="10"/>
  <c r="AH31" i="10"/>
  <c r="AH30" i="10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5" i="10"/>
  <c r="AH14" i="10"/>
  <c r="AH13" i="10"/>
  <c r="AH12" i="10"/>
  <c r="AH11" i="10"/>
  <c r="AH10" i="10"/>
  <c r="AH9" i="10"/>
  <c r="AH8" i="10"/>
  <c r="AH7" i="10"/>
  <c r="AH6" i="10"/>
  <c r="AD40" i="10"/>
  <c r="L40" i="10" s="1"/>
  <c r="BP39" i="9" s="1"/>
  <c r="BL39" i="9" s="1"/>
  <c r="AC40" i="10"/>
  <c r="K40" i="10" s="1"/>
  <c r="CC39" i="9" s="1"/>
  <c r="AD39" i="10"/>
  <c r="L39" i="10" s="1"/>
  <c r="BP38" i="9" s="1"/>
  <c r="BL38" i="9" s="1"/>
  <c r="AC39" i="10"/>
  <c r="K39" i="10" s="1"/>
  <c r="CC38" i="9" s="1"/>
  <c r="AD38" i="10"/>
  <c r="L38" i="10" s="1"/>
  <c r="BP37" i="9" s="1"/>
  <c r="BL37" i="9" s="1"/>
  <c r="AC38" i="10"/>
  <c r="K38" i="10" s="1"/>
  <c r="CC37" i="9" s="1"/>
  <c r="AD37" i="10"/>
  <c r="L37" i="10" s="1"/>
  <c r="BP36" i="9" s="1"/>
  <c r="BL36" i="9" s="1"/>
  <c r="AC37" i="10"/>
  <c r="K37" i="10" s="1"/>
  <c r="CC36" i="9" s="1"/>
  <c r="AD36" i="10"/>
  <c r="L36" i="10" s="1"/>
  <c r="BP35" i="9" s="1"/>
  <c r="BL35" i="9" s="1"/>
  <c r="AD35" i="10"/>
  <c r="L35" i="10" s="1"/>
  <c r="BP34" i="9" s="1"/>
  <c r="BL34" i="9" s="1"/>
  <c r="AD34" i="10"/>
  <c r="L34" i="10" s="1"/>
  <c r="BP33" i="9" s="1"/>
  <c r="BL33" i="9" s="1"/>
  <c r="AD33" i="10"/>
  <c r="L33" i="10" s="1"/>
  <c r="BP32" i="9" s="1"/>
  <c r="BL32" i="9" s="1"/>
  <c r="AD32" i="10"/>
  <c r="L32" i="10" s="1"/>
  <c r="BP31" i="9" s="1"/>
  <c r="BL31" i="9" s="1"/>
  <c r="AD31" i="10"/>
  <c r="L31" i="10" s="1"/>
  <c r="BP30" i="9" s="1"/>
  <c r="BL30" i="9" s="1"/>
  <c r="AD30" i="10"/>
  <c r="L30" i="10" s="1"/>
  <c r="AD29" i="10"/>
  <c r="L29" i="10" s="1"/>
  <c r="BP28" i="9" s="1"/>
  <c r="BL28" i="9" s="1"/>
  <c r="AD28" i="10"/>
  <c r="L28" i="10" s="1"/>
  <c r="BP27" i="9" s="1"/>
  <c r="BL27" i="9" s="1"/>
  <c r="AD27" i="10"/>
  <c r="L27" i="10" s="1"/>
  <c r="BP26" i="9" s="1"/>
  <c r="BL26" i="9" s="1"/>
  <c r="AD26" i="10"/>
  <c r="L26" i="10" s="1"/>
  <c r="BP25" i="9" s="1"/>
  <c r="BL25" i="9" s="1"/>
  <c r="AD25" i="10"/>
  <c r="L25" i="10" s="1"/>
  <c r="BP24" i="9" s="1"/>
  <c r="BL24" i="9" s="1"/>
  <c r="AD24" i="10"/>
  <c r="L24" i="10" s="1"/>
  <c r="BP23" i="9" s="1"/>
  <c r="BL23" i="9" s="1"/>
  <c r="AD23" i="10"/>
  <c r="L23" i="10" s="1"/>
  <c r="AD22" i="10"/>
  <c r="L22" i="10" s="1"/>
  <c r="BP21" i="9" s="1"/>
  <c r="BL21" i="9" s="1"/>
  <c r="AD21" i="10"/>
  <c r="L21" i="10" s="1"/>
  <c r="BP20" i="9" s="1"/>
  <c r="BL20" i="9" s="1"/>
  <c r="AD20" i="10"/>
  <c r="L20" i="10" s="1"/>
  <c r="BP19" i="9" s="1"/>
  <c r="BL19" i="9" s="1"/>
  <c r="AD19" i="10"/>
  <c r="L19" i="10" s="1"/>
  <c r="BP18" i="9" s="1"/>
  <c r="BL18" i="9" s="1"/>
  <c r="AD18" i="10"/>
  <c r="L18" i="10" s="1"/>
  <c r="BP17" i="9" s="1"/>
  <c r="BL17" i="9" s="1"/>
  <c r="AD17" i="10"/>
  <c r="L17" i="10" s="1"/>
  <c r="BP16" i="9" s="1"/>
  <c r="BL16" i="9" s="1"/>
  <c r="AD16" i="10"/>
  <c r="L16" i="10" s="1"/>
  <c r="BP15" i="9" s="1"/>
  <c r="BL15" i="9" s="1"/>
  <c r="AD15" i="10"/>
  <c r="L15" i="10" s="1"/>
  <c r="BP14" i="9" s="1"/>
  <c r="BL14" i="9" s="1"/>
  <c r="AD14" i="10"/>
  <c r="L14" i="10" s="1"/>
  <c r="BP13" i="9" s="1"/>
  <c r="BL13" i="9" s="1"/>
  <c r="AD13" i="10"/>
  <c r="L13" i="10" s="1"/>
  <c r="AD12" i="10"/>
  <c r="L12" i="10" s="1"/>
  <c r="BP11" i="9" s="1"/>
  <c r="BL11" i="9" s="1"/>
  <c r="AD11" i="10"/>
  <c r="L11" i="10" s="1"/>
  <c r="BP10" i="9" s="1"/>
  <c r="BL10" i="9" s="1"/>
  <c r="AD10" i="10"/>
  <c r="L10" i="10" s="1"/>
  <c r="BP9" i="9" s="1"/>
  <c r="BL9" i="9" s="1"/>
  <c r="AD9" i="10"/>
  <c r="L9" i="10" s="1"/>
  <c r="BP8" i="9" s="1"/>
  <c r="BL8" i="9" s="1"/>
  <c r="AD8" i="10"/>
  <c r="L8" i="10" s="1"/>
  <c r="BP7" i="9" s="1"/>
  <c r="BL7" i="9" s="1"/>
  <c r="AD7" i="10"/>
  <c r="L7" i="10" s="1"/>
  <c r="BP6" i="9" s="1"/>
  <c r="BL6" i="9" s="1"/>
  <c r="AD6" i="10"/>
  <c r="L6" i="10" s="1"/>
  <c r="BP5" i="9" s="1"/>
  <c r="BL5" i="9" s="1"/>
  <c r="J29" i="9"/>
  <c r="J28" i="9"/>
  <c r="J27" i="9"/>
  <c r="J26" i="9"/>
  <c r="J25" i="9"/>
  <c r="J24" i="9"/>
  <c r="J22" i="9"/>
  <c r="J21" i="9"/>
  <c r="J20" i="9"/>
  <c r="J19" i="9"/>
  <c r="J18" i="9"/>
  <c r="H48" i="11" l="1"/>
  <c r="AS35" i="11"/>
  <c r="AT35" i="11"/>
  <c r="AT131" i="11"/>
  <c r="AS131" i="11"/>
  <c r="AS39" i="11"/>
  <c r="AT39" i="11"/>
  <c r="AT71" i="11"/>
  <c r="AS71" i="11"/>
  <c r="AT103" i="11"/>
  <c r="AS103" i="11"/>
  <c r="AY118" i="11"/>
  <c r="AX118" i="11"/>
  <c r="AW118" i="11"/>
  <c r="AO118" i="11"/>
  <c r="AT43" i="11"/>
  <c r="AS43" i="11"/>
  <c r="AY122" i="11"/>
  <c r="AX122" i="11"/>
  <c r="AW122" i="11"/>
  <c r="AO122" i="11"/>
  <c r="J32" i="11"/>
  <c r="Q32" i="11" s="1"/>
  <c r="AT47" i="11"/>
  <c r="AS47" i="11"/>
  <c r="AT79" i="11"/>
  <c r="AS79" i="11"/>
  <c r="AY130" i="11"/>
  <c r="AX130" i="11"/>
  <c r="AW130" i="11"/>
  <c r="AO130" i="11"/>
  <c r="AY70" i="11"/>
  <c r="AX70" i="11"/>
  <c r="AW70" i="11"/>
  <c r="AO70" i="11"/>
  <c r="AY134" i="11"/>
  <c r="AX134" i="11"/>
  <c r="AW134" i="11"/>
  <c r="AO134" i="11"/>
  <c r="G102" i="11"/>
  <c r="AT51" i="11"/>
  <c r="AS51" i="11"/>
  <c r="AT115" i="11"/>
  <c r="AS115" i="11"/>
  <c r="J102" i="11"/>
  <c r="AT102" i="11" s="1"/>
  <c r="AY78" i="11"/>
  <c r="AX78" i="11"/>
  <c r="AW78" i="11"/>
  <c r="AO78" i="11"/>
  <c r="AY142" i="11"/>
  <c r="AX142" i="11"/>
  <c r="AW142" i="11"/>
  <c r="AO142" i="11"/>
  <c r="I112" i="11"/>
  <c r="AT87" i="11"/>
  <c r="AS87" i="11"/>
  <c r="AY18" i="11"/>
  <c r="AW18" i="11"/>
  <c r="AX18" i="11"/>
  <c r="AO18" i="11"/>
  <c r="AT123" i="11"/>
  <c r="AS123" i="11"/>
  <c r="AY22" i="11"/>
  <c r="AX22" i="11"/>
  <c r="AW22" i="11"/>
  <c r="AO22" i="11"/>
  <c r="AT91" i="11"/>
  <c r="AS91" i="11"/>
  <c r="AY30" i="11"/>
  <c r="AX30" i="11"/>
  <c r="AW30" i="11"/>
  <c r="AO30" i="11"/>
  <c r="AY94" i="11"/>
  <c r="AX94" i="11"/>
  <c r="AW94" i="11"/>
  <c r="AO94" i="11"/>
  <c r="AT63" i="11"/>
  <c r="AS63" i="11"/>
  <c r="AY34" i="11"/>
  <c r="AX34" i="11"/>
  <c r="AW34" i="11"/>
  <c r="AO34" i="11"/>
  <c r="AY98" i="11"/>
  <c r="AX98" i="11"/>
  <c r="AW98" i="11"/>
  <c r="AO98" i="11"/>
  <c r="AT143" i="11"/>
  <c r="AS143" i="11"/>
  <c r="AO10" i="11"/>
  <c r="AY10" i="11"/>
  <c r="AX10" i="11"/>
  <c r="AW10" i="11"/>
  <c r="AD94" i="11"/>
  <c r="AF94" i="11"/>
  <c r="Q94" i="11"/>
  <c r="Q143" i="11"/>
  <c r="Q93" i="11"/>
  <c r="Q35" i="11"/>
  <c r="Q131" i="11"/>
  <c r="Q33" i="11"/>
  <c r="Q97" i="11"/>
  <c r="AD30" i="11"/>
  <c r="Q30" i="11"/>
  <c r="AF30" i="11"/>
  <c r="Q6" i="11"/>
  <c r="AW6" i="11"/>
  <c r="AX6" i="11"/>
  <c r="AY6" i="11"/>
  <c r="Q101" i="11"/>
  <c r="Q39" i="11"/>
  <c r="Q71" i="11"/>
  <c r="Q103" i="11"/>
  <c r="Q118" i="11"/>
  <c r="AF118" i="11"/>
  <c r="AD118" i="11"/>
  <c r="Q109" i="11"/>
  <c r="Q43" i="11"/>
  <c r="Q122" i="11"/>
  <c r="AD122" i="11"/>
  <c r="AF122" i="11"/>
  <c r="Q53" i="11"/>
  <c r="Q61" i="11"/>
  <c r="Q47" i="11"/>
  <c r="Q79" i="11"/>
  <c r="Q130" i="11"/>
  <c r="AF130" i="11"/>
  <c r="AD130" i="11"/>
  <c r="Q70" i="11"/>
  <c r="AF70" i="11"/>
  <c r="AD70" i="11"/>
  <c r="Q134" i="11"/>
  <c r="AF134" i="11"/>
  <c r="AD134" i="11"/>
  <c r="Q51" i="11"/>
  <c r="Q115" i="11"/>
  <c r="Q10" i="11"/>
  <c r="Q129" i="11"/>
  <c r="AF78" i="11"/>
  <c r="AD78" i="11"/>
  <c r="Q78" i="11"/>
  <c r="Q142" i="11"/>
  <c r="AF142" i="11"/>
  <c r="AD142" i="11"/>
  <c r="Q69" i="11"/>
  <c r="Q123" i="11"/>
  <c r="Q87" i="11"/>
  <c r="AF18" i="11"/>
  <c r="AD18" i="11"/>
  <c r="Q18" i="11"/>
  <c r="Q9" i="11"/>
  <c r="Q73" i="11"/>
  <c r="AF22" i="11"/>
  <c r="Q22" i="11"/>
  <c r="AD22" i="11"/>
  <c r="Q13" i="11"/>
  <c r="Q77" i="11"/>
  <c r="P80" i="11" s="1"/>
  <c r="Q141" i="11"/>
  <c r="Q125" i="11"/>
  <c r="Q91" i="11"/>
  <c r="Q81" i="11"/>
  <c r="Q85" i="11"/>
  <c r="Q21" i="11"/>
  <c r="Q63" i="11"/>
  <c r="Q34" i="11"/>
  <c r="AF34" i="11"/>
  <c r="AD34" i="11"/>
  <c r="Q98" i="11"/>
  <c r="AF98" i="11"/>
  <c r="AD98" i="11"/>
  <c r="AF10" i="11"/>
  <c r="AD10" i="11"/>
  <c r="BD13" i="9"/>
  <c r="BC13" i="9"/>
  <c r="BZ38" i="9"/>
  <c r="CA38" i="9"/>
  <c r="BY38" i="9"/>
  <c r="BX38" i="9"/>
  <c r="BP29" i="9"/>
  <c r="BL29" i="9" s="1"/>
  <c r="BY36" i="9"/>
  <c r="BZ36" i="9"/>
  <c r="BX36" i="9"/>
  <c r="CA36" i="9"/>
  <c r="BP22" i="9"/>
  <c r="BL22" i="9" s="1"/>
  <c r="CA37" i="9"/>
  <c r="BZ37" i="9"/>
  <c r="BX37" i="9"/>
  <c r="BY37" i="9"/>
  <c r="BP12" i="9"/>
  <c r="BL12" i="9" s="1"/>
  <c r="CA39" i="9"/>
  <c r="BZ39" i="9"/>
  <c r="BY39" i="9"/>
  <c r="BX39" i="9"/>
  <c r="BE17" i="9"/>
  <c r="BM17" i="9"/>
  <c r="BD15" i="9"/>
  <c r="BM15" i="9"/>
  <c r="BC16" i="9"/>
  <c r="BM16" i="9"/>
  <c r="BE20" i="9"/>
  <c r="BM20" i="9"/>
  <c r="BE21" i="9"/>
  <c r="BM21" i="9"/>
  <c r="BE18" i="9"/>
  <c r="BM18" i="9"/>
  <c r="BD19" i="9"/>
  <c r="BM19" i="9"/>
  <c r="BM5" i="9"/>
  <c r="BF5" i="9" s="1"/>
  <c r="BD24" i="9"/>
  <c r="BM24" i="9"/>
  <c r="BE7" i="9"/>
  <c r="BM7" i="9"/>
  <c r="BF7" i="9" s="1"/>
  <c r="BD25" i="9"/>
  <c r="BM25" i="9"/>
  <c r="BE26" i="9"/>
  <c r="BM26" i="9"/>
  <c r="BM9" i="9"/>
  <c r="BD9" i="9" s="1"/>
  <c r="BC27" i="9"/>
  <c r="BM27" i="9"/>
  <c r="BF10" i="9"/>
  <c r="BM10" i="9"/>
  <c r="BD28" i="9"/>
  <c r="BM28" i="9"/>
  <c r="BD11" i="9"/>
  <c r="BM11" i="9"/>
  <c r="D13" i="10"/>
  <c r="AI13" i="10" s="1"/>
  <c r="C33" i="11" s="1"/>
  <c r="P34" i="11" s="1"/>
  <c r="D29" i="10"/>
  <c r="AI29" i="10" s="1"/>
  <c r="AF29" i="10" s="1"/>
  <c r="H29" i="10" s="1"/>
  <c r="D30" i="10"/>
  <c r="AI30" i="10" s="1"/>
  <c r="C101" i="11" s="1"/>
  <c r="P102" i="11" s="1"/>
  <c r="D15" i="10"/>
  <c r="AI15" i="10" s="1"/>
  <c r="AF15" i="10" s="1"/>
  <c r="H15" i="10" s="1"/>
  <c r="D31" i="10"/>
  <c r="AI31" i="10" s="1"/>
  <c r="C105" i="11" s="1"/>
  <c r="P106" i="11" s="1"/>
  <c r="D16" i="10"/>
  <c r="AI16" i="10" s="1"/>
  <c r="AF16" i="10" s="1"/>
  <c r="H16" i="10" s="1"/>
  <c r="D32" i="10"/>
  <c r="AI32" i="10" s="1"/>
  <c r="D17" i="10"/>
  <c r="AI17" i="10" s="1"/>
  <c r="D33" i="10"/>
  <c r="AI33" i="10" s="1"/>
  <c r="C113" i="11" s="1"/>
  <c r="P114" i="11" s="1"/>
  <c r="D18" i="10"/>
  <c r="AI18" i="10" s="1"/>
  <c r="AF18" i="10" s="1"/>
  <c r="H18" i="10" s="1"/>
  <c r="D34" i="10"/>
  <c r="AI34" i="10" s="1"/>
  <c r="D19" i="10"/>
  <c r="AI19" i="10" s="1"/>
  <c r="AF19" i="10" s="1"/>
  <c r="H19" i="10" s="1"/>
  <c r="D35" i="10"/>
  <c r="AI35" i="10" s="1"/>
  <c r="C121" i="11" s="1"/>
  <c r="P122" i="11" s="1"/>
  <c r="D20" i="10"/>
  <c r="AI20" i="10" s="1"/>
  <c r="AF20" i="10" s="1"/>
  <c r="H20" i="10" s="1"/>
  <c r="D36" i="10"/>
  <c r="AI36" i="10" s="1"/>
  <c r="C125" i="11" s="1"/>
  <c r="P126" i="11" s="1"/>
  <c r="D21" i="10"/>
  <c r="AI21" i="10" s="1"/>
  <c r="D37" i="10"/>
  <c r="AI37" i="10" s="1"/>
  <c r="AK37" i="10" s="1"/>
  <c r="D14" i="10"/>
  <c r="AI14" i="10" s="1"/>
  <c r="BQ13" i="9" s="1"/>
  <c r="D6" i="10"/>
  <c r="D22" i="10"/>
  <c r="AI22" i="10" s="1"/>
  <c r="AF22" i="10" s="1"/>
  <c r="H22" i="10" s="1"/>
  <c r="D38" i="10"/>
  <c r="AI38" i="10" s="1"/>
  <c r="C133" i="11" s="1"/>
  <c r="P134" i="11" s="1"/>
  <c r="D7" i="10"/>
  <c r="AI7" i="10" s="1"/>
  <c r="D23" i="10"/>
  <c r="AI23" i="10" s="1"/>
  <c r="C73" i="11" s="1"/>
  <c r="P74" i="11" s="1"/>
  <c r="D39" i="10"/>
  <c r="AI39" i="10" s="1"/>
  <c r="D8" i="10"/>
  <c r="AI8" i="10" s="1"/>
  <c r="D24" i="10"/>
  <c r="AI24" i="10" s="1"/>
  <c r="AF24" i="10" s="1"/>
  <c r="H24" i="10" s="1"/>
  <c r="D40" i="10"/>
  <c r="AI40" i="10" s="1"/>
  <c r="AF40" i="10" s="1"/>
  <c r="H40" i="10" s="1"/>
  <c r="D9" i="10"/>
  <c r="AI9" i="10" s="1"/>
  <c r="C17" i="11" s="1"/>
  <c r="P18" i="11" s="1"/>
  <c r="D25" i="10"/>
  <c r="AI25" i="10" s="1"/>
  <c r="AF25" i="10" s="1"/>
  <c r="H25" i="10" s="1"/>
  <c r="D10" i="10"/>
  <c r="AI10" i="10" s="1"/>
  <c r="C21" i="11" s="1"/>
  <c r="P22" i="11" s="1"/>
  <c r="D26" i="10"/>
  <c r="AI26" i="10" s="1"/>
  <c r="AF26" i="10" s="1"/>
  <c r="H26" i="10" s="1"/>
  <c r="D11" i="10"/>
  <c r="AI11" i="10" s="1"/>
  <c r="D27" i="10"/>
  <c r="AI27" i="10" s="1"/>
  <c r="AF27" i="10" s="1"/>
  <c r="H27" i="10" s="1"/>
  <c r="D12" i="10"/>
  <c r="AI12" i="10" s="1"/>
  <c r="C29" i="11" s="1"/>
  <c r="P30" i="11" s="1"/>
  <c r="D28" i="10"/>
  <c r="AI28" i="10" s="1"/>
  <c r="AF28" i="10" s="1"/>
  <c r="H28" i="10" s="1"/>
  <c r="I60" i="11"/>
  <c r="G60" i="11"/>
  <c r="I16" i="11"/>
  <c r="BC18" i="9"/>
  <c r="BD27" i="9"/>
  <c r="BF9" i="9"/>
  <c r="BC10" i="9"/>
  <c r="BC28" i="9"/>
  <c r="BC19" i="9"/>
  <c r="BC20" i="9"/>
  <c r="BC25" i="9"/>
  <c r="BD21" i="9"/>
  <c r="BC26" i="9"/>
  <c r="BC17" i="9"/>
  <c r="BD26" i="9"/>
  <c r="BD17" i="9"/>
  <c r="AK143" i="11"/>
  <c r="AJ143" i="11"/>
  <c r="Z143" i="11"/>
  <c r="H10" i="11"/>
  <c r="Z131" i="11"/>
  <c r="AK131" i="11"/>
  <c r="AJ131" i="11"/>
  <c r="I67" i="11"/>
  <c r="AK123" i="11"/>
  <c r="AJ123" i="11"/>
  <c r="Z123" i="11"/>
  <c r="Z115" i="11"/>
  <c r="AK115" i="11"/>
  <c r="AJ115" i="11"/>
  <c r="AK103" i="11"/>
  <c r="AJ103" i="11"/>
  <c r="Z103" i="11"/>
  <c r="H102" i="11"/>
  <c r="Z91" i="11"/>
  <c r="AK91" i="11"/>
  <c r="AJ91" i="11"/>
  <c r="AK87" i="11"/>
  <c r="AJ87" i="11"/>
  <c r="Z87" i="11"/>
  <c r="AK79" i="11"/>
  <c r="AJ79" i="11"/>
  <c r="Z79" i="11"/>
  <c r="I78" i="11"/>
  <c r="I73" i="11"/>
  <c r="Z71" i="11"/>
  <c r="AK71" i="11"/>
  <c r="AJ71" i="11"/>
  <c r="AK63" i="11"/>
  <c r="AJ63" i="11"/>
  <c r="Z63" i="11"/>
  <c r="Z39" i="11"/>
  <c r="AK39" i="11"/>
  <c r="AJ39" i="11"/>
  <c r="Z43" i="11"/>
  <c r="AK43" i="11"/>
  <c r="AJ43" i="11"/>
  <c r="Z47" i="11"/>
  <c r="AK47" i="11"/>
  <c r="AJ47" i="11"/>
  <c r="AJ51" i="11"/>
  <c r="AK51" i="11"/>
  <c r="Z51" i="11"/>
  <c r="AK35" i="11"/>
  <c r="AJ35" i="11"/>
  <c r="Z35" i="11"/>
  <c r="AF6" i="11"/>
  <c r="AD6" i="11"/>
  <c r="AK7" i="11"/>
  <c r="AJ7" i="11"/>
  <c r="Z7" i="11"/>
  <c r="AT7" i="11"/>
  <c r="AS7" i="11"/>
  <c r="G101" i="11"/>
  <c r="H101" i="11"/>
  <c r="I132" i="11"/>
  <c r="H132" i="11"/>
  <c r="G16" i="11"/>
  <c r="I103" i="11"/>
  <c r="J111" i="11"/>
  <c r="G40" i="11"/>
  <c r="I74" i="11"/>
  <c r="I123" i="11"/>
  <c r="H40" i="11"/>
  <c r="C61" i="11"/>
  <c r="P62" i="11" s="1"/>
  <c r="I62" i="11"/>
  <c r="J104" i="11"/>
  <c r="Q104" i="11" s="1"/>
  <c r="G104" i="11"/>
  <c r="J92" i="11"/>
  <c r="Q92" i="11" s="1"/>
  <c r="I79" i="11"/>
  <c r="C117" i="11"/>
  <c r="P118" i="11" s="1"/>
  <c r="G12" i="11"/>
  <c r="G48" i="11"/>
  <c r="I12" i="11"/>
  <c r="J138" i="11"/>
  <c r="C141" i="11"/>
  <c r="P142" i="11" s="1"/>
  <c r="G47" i="11"/>
  <c r="BC5" i="9"/>
  <c r="BC11" i="9"/>
  <c r="I24" i="11"/>
  <c r="I51" i="11"/>
  <c r="G118" i="11"/>
  <c r="I118" i="11"/>
  <c r="G80" i="11"/>
  <c r="H118" i="11"/>
  <c r="I80" i="11"/>
  <c r="I136" i="11"/>
  <c r="J105" i="11"/>
  <c r="G109" i="11"/>
  <c r="G111" i="11"/>
  <c r="I23" i="11"/>
  <c r="J5" i="11"/>
  <c r="I42" i="11"/>
  <c r="H105" i="11"/>
  <c r="I101" i="11"/>
  <c r="I22" i="11"/>
  <c r="I66" i="11"/>
  <c r="J66" i="11"/>
  <c r="J113" i="11"/>
  <c r="I18" i="11"/>
  <c r="G98" i="11"/>
  <c r="H98" i="11"/>
  <c r="I98" i="11"/>
  <c r="H129" i="11"/>
  <c r="I33" i="11"/>
  <c r="I81" i="11"/>
  <c r="G129" i="11"/>
  <c r="G33" i="11"/>
  <c r="I129" i="11"/>
  <c r="H22" i="11"/>
  <c r="G22" i="11"/>
  <c r="H130" i="11"/>
  <c r="G103" i="11"/>
  <c r="I43" i="11"/>
  <c r="G87" i="11"/>
  <c r="H87" i="11"/>
  <c r="I87" i="11"/>
  <c r="H18" i="11"/>
  <c r="G62" i="11"/>
  <c r="H92" i="11"/>
  <c r="G138" i="11"/>
  <c r="G13" i="11"/>
  <c r="J24" i="11"/>
  <c r="Q24" i="11" s="1"/>
  <c r="H33" i="11"/>
  <c r="G49" i="11"/>
  <c r="J62" i="11"/>
  <c r="J74" i="11"/>
  <c r="H83" i="11"/>
  <c r="I111" i="11"/>
  <c r="I113" i="11"/>
  <c r="H127" i="11"/>
  <c r="I138" i="11"/>
  <c r="H49" i="11"/>
  <c r="J83" i="11"/>
  <c r="J127" i="11"/>
  <c r="I13" i="11"/>
  <c r="J49" i="11"/>
  <c r="G58" i="11"/>
  <c r="H68" i="11"/>
  <c r="H114" i="11"/>
  <c r="H13" i="11"/>
  <c r="H8" i="11"/>
  <c r="J25" i="11"/>
  <c r="I58" i="11"/>
  <c r="I68" i="11"/>
  <c r="H108" i="11"/>
  <c r="J114" i="11"/>
  <c r="I139" i="11"/>
  <c r="I8" i="11"/>
  <c r="G41" i="11"/>
  <c r="H45" i="11"/>
  <c r="H50" i="11"/>
  <c r="J58" i="11"/>
  <c r="H89" i="11"/>
  <c r="I99" i="11"/>
  <c r="I108" i="11"/>
  <c r="J133" i="11"/>
  <c r="J139" i="11"/>
  <c r="J8" i="11"/>
  <c r="Q8" i="11" s="1"/>
  <c r="H14" i="11"/>
  <c r="H41" i="11"/>
  <c r="J45" i="11"/>
  <c r="I50" i="11"/>
  <c r="I89" i="11"/>
  <c r="G96" i="11"/>
  <c r="J99" i="11"/>
  <c r="J108" i="11"/>
  <c r="Q108" i="11" s="1"/>
  <c r="G120" i="11"/>
  <c r="G128" i="11"/>
  <c r="I14" i="11"/>
  <c r="J41" i="11"/>
  <c r="H59" i="11"/>
  <c r="H96" i="11"/>
  <c r="H120" i="11"/>
  <c r="G25" i="11"/>
  <c r="G51" i="11"/>
  <c r="I59" i="11"/>
  <c r="G66" i="11"/>
  <c r="H76" i="11"/>
  <c r="I90" i="11"/>
  <c r="I96" i="11"/>
  <c r="H109" i="11"/>
  <c r="I120" i="11"/>
  <c r="G10" i="11"/>
  <c r="H80" i="11"/>
  <c r="J90" i="11"/>
  <c r="I109" i="11"/>
  <c r="G136" i="11"/>
  <c r="H36" i="11"/>
  <c r="G43" i="11"/>
  <c r="G73" i="11"/>
  <c r="G78" i="11"/>
  <c r="I97" i="11"/>
  <c r="G121" i="11"/>
  <c r="J136" i="11"/>
  <c r="Q136" i="11" s="1"/>
  <c r="J16" i="11"/>
  <c r="Q16" i="11" s="1"/>
  <c r="H32" i="11"/>
  <c r="H43" i="11"/>
  <c r="J60" i="11"/>
  <c r="H73" i="11"/>
  <c r="H78" i="11"/>
  <c r="I121" i="11"/>
  <c r="H12" i="11"/>
  <c r="H23" i="11"/>
  <c r="I32" i="11"/>
  <c r="G81" i="11"/>
  <c r="G105" i="11"/>
  <c r="G112" i="11"/>
  <c r="J121" i="11"/>
  <c r="I130" i="11"/>
  <c r="J137" i="11"/>
  <c r="H11" i="11"/>
  <c r="I19" i="11"/>
  <c r="H31" i="11"/>
  <c r="I75" i="11"/>
  <c r="H75" i="11"/>
  <c r="J75" i="11"/>
  <c r="G75" i="11"/>
  <c r="J95" i="11"/>
  <c r="I95" i="11"/>
  <c r="H95" i="11"/>
  <c r="G95" i="11"/>
  <c r="G30" i="11"/>
  <c r="H9" i="11"/>
  <c r="I10" i="11"/>
  <c r="J14" i="11"/>
  <c r="G20" i="11"/>
  <c r="J23" i="11"/>
  <c r="G29" i="11"/>
  <c r="H30" i="11"/>
  <c r="I40" i="11"/>
  <c r="J46" i="11"/>
  <c r="I46" i="11"/>
  <c r="H46" i="11"/>
  <c r="I9" i="11"/>
  <c r="J17" i="11"/>
  <c r="H17" i="11"/>
  <c r="H20" i="11"/>
  <c r="I27" i="11"/>
  <c r="G27" i="11"/>
  <c r="I28" i="11"/>
  <c r="G28" i="11"/>
  <c r="H29" i="11"/>
  <c r="I30" i="11"/>
  <c r="J65" i="11"/>
  <c r="I65" i="11"/>
  <c r="H65" i="11"/>
  <c r="G9" i="11"/>
  <c r="G17" i="11"/>
  <c r="J20" i="11"/>
  <c r="Q20" i="11" s="1"/>
  <c r="H27" i="11"/>
  <c r="H28" i="11"/>
  <c r="J29" i="11"/>
  <c r="BC6" i="9"/>
  <c r="G7" i="11"/>
  <c r="I17" i="11"/>
  <c r="J27" i="11"/>
  <c r="J28" i="11"/>
  <c r="Q28" i="11" s="1"/>
  <c r="J56" i="11"/>
  <c r="Q56" i="11" s="1"/>
  <c r="I56" i="11"/>
  <c r="J11" i="11"/>
  <c r="J31" i="11"/>
  <c r="G65" i="11"/>
  <c r="BC15" i="9"/>
  <c r="H7" i="11"/>
  <c r="I15" i="11"/>
  <c r="G15" i="11"/>
  <c r="G21" i="11"/>
  <c r="G39" i="11"/>
  <c r="G56" i="11"/>
  <c r="G31" i="11"/>
  <c r="G6" i="11"/>
  <c r="I7" i="11"/>
  <c r="H15" i="11"/>
  <c r="H21" i="11"/>
  <c r="H39" i="11"/>
  <c r="H56" i="11"/>
  <c r="J37" i="11"/>
  <c r="I37" i="11"/>
  <c r="H37" i="11"/>
  <c r="G37" i="11"/>
  <c r="BC7" i="9"/>
  <c r="G5" i="11"/>
  <c r="H6" i="11"/>
  <c r="J15" i="11"/>
  <c r="I21" i="11"/>
  <c r="I39" i="11"/>
  <c r="H19" i="11"/>
  <c r="J19" i="11"/>
  <c r="H5" i="11"/>
  <c r="I6" i="11"/>
  <c r="AN6" i="11" s="1"/>
  <c r="G18" i="11"/>
  <c r="G11" i="11"/>
  <c r="J38" i="11"/>
  <c r="I38" i="11"/>
  <c r="H38" i="11"/>
  <c r="G71" i="11"/>
  <c r="I71" i="11"/>
  <c r="J26" i="11"/>
  <c r="I26" i="11"/>
  <c r="G26" i="11"/>
  <c r="G38" i="11"/>
  <c r="H67" i="11"/>
  <c r="J67" i="11"/>
  <c r="H71" i="11"/>
  <c r="J55" i="11"/>
  <c r="I55" i="11"/>
  <c r="G55" i="11"/>
  <c r="G36" i="11"/>
  <c r="G42" i="11"/>
  <c r="J44" i="11"/>
  <c r="Q44" i="11" s="1"/>
  <c r="G44" i="11"/>
  <c r="H55" i="11"/>
  <c r="J57" i="11"/>
  <c r="G57" i="11"/>
  <c r="H88" i="11"/>
  <c r="I88" i="11"/>
  <c r="G35" i="11"/>
  <c r="I36" i="11"/>
  <c r="J42" i="11"/>
  <c r="I44" i="11"/>
  <c r="H47" i="11"/>
  <c r="H57" i="11"/>
  <c r="G88" i="11"/>
  <c r="H35" i="11"/>
  <c r="I47" i="11"/>
  <c r="I57" i="11"/>
  <c r="J88" i="11"/>
  <c r="Q88" i="11" s="1"/>
  <c r="H25" i="11"/>
  <c r="G34" i="11"/>
  <c r="I35" i="11"/>
  <c r="J54" i="11"/>
  <c r="I54" i="11"/>
  <c r="H54" i="11"/>
  <c r="G54" i="11"/>
  <c r="G24" i="11"/>
  <c r="H34" i="11"/>
  <c r="H79" i="11"/>
  <c r="G79" i="11"/>
  <c r="H97" i="11"/>
  <c r="G97" i="11"/>
  <c r="I34" i="11"/>
  <c r="G45" i="11"/>
  <c r="I48" i="11"/>
  <c r="J50" i="11"/>
  <c r="J59" i="11"/>
  <c r="J68" i="11"/>
  <c r="Q68" i="11" s="1"/>
  <c r="I84" i="11"/>
  <c r="H84" i="11"/>
  <c r="G64" i="11"/>
  <c r="G70" i="11"/>
  <c r="G84" i="11"/>
  <c r="H64" i="11"/>
  <c r="H70" i="11"/>
  <c r="G63" i="11"/>
  <c r="I64" i="11"/>
  <c r="I70" i="11"/>
  <c r="G85" i="11"/>
  <c r="G53" i="11"/>
  <c r="H63" i="11"/>
  <c r="G76" i="11"/>
  <c r="H85" i="11"/>
  <c r="H53" i="11"/>
  <c r="I63" i="11"/>
  <c r="I85" i="11"/>
  <c r="J86" i="11"/>
  <c r="I86" i="11"/>
  <c r="G86" i="11"/>
  <c r="G52" i="11"/>
  <c r="I53" i="11"/>
  <c r="G61" i="11"/>
  <c r="G69" i="11"/>
  <c r="G72" i="11"/>
  <c r="I76" i="11"/>
  <c r="G77" i="11"/>
  <c r="H86" i="11"/>
  <c r="J100" i="11"/>
  <c r="Q100" i="11" s="1"/>
  <c r="I100" i="11"/>
  <c r="H100" i="11"/>
  <c r="G100" i="11"/>
  <c r="H52" i="11"/>
  <c r="H61" i="11"/>
  <c r="H69" i="11"/>
  <c r="H72" i="11"/>
  <c r="H77" i="11"/>
  <c r="I52" i="11"/>
  <c r="I61" i="11"/>
  <c r="I69" i="11"/>
  <c r="J72" i="11"/>
  <c r="Q72" i="11" s="1"/>
  <c r="I77" i="11"/>
  <c r="K102" i="11"/>
  <c r="H51" i="11"/>
  <c r="J82" i="11"/>
  <c r="I82" i="11"/>
  <c r="G82" i="11"/>
  <c r="H82" i="11"/>
  <c r="J89" i="11"/>
  <c r="G94" i="11"/>
  <c r="J117" i="11"/>
  <c r="I117" i="11"/>
  <c r="H117" i="11"/>
  <c r="G93" i="11"/>
  <c r="H94" i="11"/>
  <c r="G117" i="11"/>
  <c r="H93" i="11"/>
  <c r="I94" i="11"/>
  <c r="I106" i="11"/>
  <c r="H106" i="11"/>
  <c r="G106" i="11"/>
  <c r="J107" i="11"/>
  <c r="I107" i="11"/>
  <c r="G110" i="11"/>
  <c r="G119" i="11"/>
  <c r="G74" i="11"/>
  <c r="G83" i="11"/>
  <c r="G92" i="11"/>
  <c r="I93" i="11"/>
  <c r="J106" i="11"/>
  <c r="G107" i="11"/>
  <c r="I110" i="11"/>
  <c r="I119" i="11"/>
  <c r="J110" i="11"/>
  <c r="J119" i="11"/>
  <c r="J144" i="11"/>
  <c r="Q144" i="11" s="1"/>
  <c r="I144" i="11"/>
  <c r="H144" i="11"/>
  <c r="G144" i="11"/>
  <c r="G91" i="11"/>
  <c r="H91" i="11"/>
  <c r="J126" i="11"/>
  <c r="I126" i="11"/>
  <c r="H126" i="11"/>
  <c r="G126" i="11"/>
  <c r="H81" i="11"/>
  <c r="G90" i="11"/>
  <c r="I91" i="11"/>
  <c r="G99" i="11"/>
  <c r="I128" i="11"/>
  <c r="J135" i="11"/>
  <c r="I135" i="11"/>
  <c r="H135" i="11"/>
  <c r="G135" i="11"/>
  <c r="G137" i="11"/>
  <c r="J128" i="11"/>
  <c r="Q128" i="11" s="1"/>
  <c r="I137" i="11"/>
  <c r="G116" i="11"/>
  <c r="G125" i="11"/>
  <c r="H116" i="11"/>
  <c r="H125" i="11"/>
  <c r="G134" i="11"/>
  <c r="G143" i="11"/>
  <c r="G115" i="11"/>
  <c r="I116" i="11"/>
  <c r="G124" i="11"/>
  <c r="I125" i="11"/>
  <c r="G133" i="11"/>
  <c r="H134" i="11"/>
  <c r="H143" i="11"/>
  <c r="H115" i="11"/>
  <c r="H124" i="11"/>
  <c r="H133" i="11"/>
  <c r="I134" i="11"/>
  <c r="G142" i="11"/>
  <c r="I143" i="11"/>
  <c r="G114" i="11"/>
  <c r="I115" i="11"/>
  <c r="G123" i="11"/>
  <c r="I124" i="11"/>
  <c r="G132" i="11"/>
  <c r="G141" i="11"/>
  <c r="H142" i="11"/>
  <c r="H141" i="11"/>
  <c r="I142" i="11"/>
  <c r="H104" i="11"/>
  <c r="H113" i="11"/>
  <c r="G122" i="11"/>
  <c r="G131" i="11"/>
  <c r="G140" i="11"/>
  <c r="I141" i="11"/>
  <c r="H122" i="11"/>
  <c r="H131" i="11"/>
  <c r="H140" i="11"/>
  <c r="H103" i="11"/>
  <c r="H112" i="11"/>
  <c r="I122" i="11"/>
  <c r="G130" i="11"/>
  <c r="I131" i="11"/>
  <c r="G139" i="11"/>
  <c r="I140" i="11"/>
  <c r="BC8" i="9"/>
  <c r="BC14" i="9"/>
  <c r="AK40" i="10"/>
  <c r="AL40" i="10" s="1"/>
  <c r="Z102" i="11" l="1"/>
  <c r="AJ102" i="11"/>
  <c r="AK102" i="11"/>
  <c r="AI6" i="10"/>
  <c r="B6" i="10"/>
  <c r="AD102" i="11"/>
  <c r="AN102" i="11"/>
  <c r="AF102" i="11"/>
  <c r="AS102" i="11"/>
  <c r="Q102" i="11"/>
  <c r="P104" i="11" s="1"/>
  <c r="BQ39" i="9"/>
  <c r="BQ18" i="9"/>
  <c r="AZ18" i="9" s="1"/>
  <c r="AT86" i="11"/>
  <c r="AS86" i="11"/>
  <c r="AN86" i="11"/>
  <c r="AY82" i="11"/>
  <c r="AX82" i="11"/>
  <c r="AW82" i="11"/>
  <c r="AO82" i="11"/>
  <c r="AT75" i="11"/>
  <c r="AS75" i="11"/>
  <c r="AY58" i="11"/>
  <c r="AX58" i="11"/>
  <c r="AW58" i="11"/>
  <c r="AO58" i="11"/>
  <c r="AT142" i="11"/>
  <c r="AS142" i="11"/>
  <c r="AN142" i="11"/>
  <c r="AY46" i="11"/>
  <c r="AX46" i="11"/>
  <c r="AW46" i="11"/>
  <c r="AO46" i="11"/>
  <c r="AY38" i="11"/>
  <c r="AX38" i="11"/>
  <c r="AW38" i="11"/>
  <c r="AO38" i="11"/>
  <c r="AT126" i="11"/>
  <c r="AS126" i="11"/>
  <c r="AN126" i="11"/>
  <c r="AT54" i="11"/>
  <c r="AS54" i="11"/>
  <c r="AN54" i="11"/>
  <c r="AY50" i="11"/>
  <c r="AX50" i="11"/>
  <c r="AW50" i="11"/>
  <c r="AO50" i="11"/>
  <c r="AT46" i="11"/>
  <c r="AS46" i="11"/>
  <c r="AN46" i="11"/>
  <c r="AT135" i="11"/>
  <c r="AS135" i="11"/>
  <c r="AT119" i="11"/>
  <c r="AS119" i="11"/>
  <c r="AT106" i="11"/>
  <c r="AS106" i="11"/>
  <c r="AN106" i="11"/>
  <c r="AT38" i="11"/>
  <c r="AN38" i="11"/>
  <c r="AS38" i="11"/>
  <c r="AT127" i="11"/>
  <c r="AS127" i="11"/>
  <c r="AT98" i="11"/>
  <c r="AS98" i="11"/>
  <c r="AN98" i="11"/>
  <c r="AT34" i="11"/>
  <c r="AN34" i="11"/>
  <c r="AS34" i="11"/>
  <c r="AT122" i="11"/>
  <c r="AS122" i="11"/>
  <c r="AN122" i="11"/>
  <c r="AD31" i="11"/>
  <c r="AS31" i="11"/>
  <c r="AT31" i="11"/>
  <c r="AT110" i="11"/>
  <c r="AS110" i="11"/>
  <c r="AN110" i="11"/>
  <c r="AT30" i="11"/>
  <c r="AN30" i="11"/>
  <c r="AS30" i="11"/>
  <c r="AT23" i="11"/>
  <c r="AS23" i="11"/>
  <c r="AT90" i="11"/>
  <c r="AS90" i="11"/>
  <c r="AN90" i="11"/>
  <c r="AT138" i="11"/>
  <c r="AS138" i="11"/>
  <c r="AN138" i="11"/>
  <c r="AN18" i="11"/>
  <c r="AT18" i="11"/>
  <c r="AS18" i="11"/>
  <c r="AT78" i="11"/>
  <c r="AS78" i="11"/>
  <c r="AN78" i="11"/>
  <c r="AT70" i="11"/>
  <c r="AS70" i="11"/>
  <c r="AN70" i="11"/>
  <c r="AT50" i="11"/>
  <c r="AS50" i="11"/>
  <c r="AN50" i="11"/>
  <c r="AY114" i="11"/>
  <c r="AX114" i="11"/>
  <c r="AW114" i="11"/>
  <c r="AO114" i="11"/>
  <c r="AT118" i="11"/>
  <c r="AS118" i="11"/>
  <c r="AN118" i="11"/>
  <c r="AT130" i="11"/>
  <c r="AS130" i="11"/>
  <c r="AN130" i="11"/>
  <c r="AY66" i="11"/>
  <c r="AX66" i="11"/>
  <c r="AW66" i="11"/>
  <c r="AO66" i="11"/>
  <c r="AT66" i="11"/>
  <c r="AS66" i="11"/>
  <c r="AN66" i="11"/>
  <c r="AT62" i="11"/>
  <c r="AS62" i="11"/>
  <c r="AN62" i="11"/>
  <c r="AN114" i="11"/>
  <c r="AY106" i="11"/>
  <c r="AX106" i="11"/>
  <c r="AW106" i="11"/>
  <c r="AO106" i="11"/>
  <c r="AT55" i="11"/>
  <c r="AS55" i="11"/>
  <c r="AT19" i="11"/>
  <c r="AS19" i="11"/>
  <c r="AS27" i="11"/>
  <c r="AT27" i="11"/>
  <c r="AY42" i="11"/>
  <c r="AX42" i="11"/>
  <c r="AW42" i="11"/>
  <c r="AO42" i="11"/>
  <c r="AT67" i="11"/>
  <c r="AS67" i="11"/>
  <c r="AT58" i="11"/>
  <c r="AS58" i="11"/>
  <c r="AN58" i="11"/>
  <c r="AT22" i="11"/>
  <c r="AN22" i="11"/>
  <c r="AS22" i="11"/>
  <c r="AY102" i="11"/>
  <c r="AX102" i="11"/>
  <c r="AW102" i="11"/>
  <c r="AR102" i="11"/>
  <c r="AO102" i="11"/>
  <c r="AS114" i="11"/>
  <c r="AY74" i="11"/>
  <c r="AX74" i="11"/>
  <c r="AW74" i="11"/>
  <c r="AO74" i="11"/>
  <c r="AT114" i="11"/>
  <c r="AT99" i="11"/>
  <c r="AS99" i="11"/>
  <c r="AT134" i="11"/>
  <c r="AS134" i="11"/>
  <c r="AN134" i="11"/>
  <c r="AY126" i="11"/>
  <c r="AX126" i="11"/>
  <c r="AW126" i="11"/>
  <c r="AO126" i="11"/>
  <c r="AY86" i="11"/>
  <c r="AX86" i="11"/>
  <c r="AW86" i="11"/>
  <c r="AO86" i="11"/>
  <c r="AT139" i="11"/>
  <c r="AS139" i="11"/>
  <c r="AY62" i="11"/>
  <c r="AX62" i="11"/>
  <c r="AW62" i="11"/>
  <c r="AO62" i="11"/>
  <c r="AT83" i="11"/>
  <c r="AS83" i="11"/>
  <c r="AT42" i="11"/>
  <c r="AS42" i="11"/>
  <c r="AN42" i="11"/>
  <c r="AT74" i="11"/>
  <c r="AS74" i="11"/>
  <c r="AN74" i="11"/>
  <c r="AY54" i="11"/>
  <c r="AX54" i="11"/>
  <c r="AW54" i="11"/>
  <c r="AO54" i="11"/>
  <c r="AN26" i="11"/>
  <c r="AS26" i="11"/>
  <c r="AT26" i="11"/>
  <c r="AY110" i="11"/>
  <c r="AX110" i="11"/>
  <c r="AW110" i="11"/>
  <c r="AO110" i="11"/>
  <c r="AY26" i="11"/>
  <c r="AX26" i="11"/>
  <c r="AW26" i="11"/>
  <c r="AO26" i="11"/>
  <c r="AT95" i="11"/>
  <c r="AS95" i="11"/>
  <c r="AY138" i="11"/>
  <c r="AX138" i="11"/>
  <c r="AW138" i="11"/>
  <c r="AO138" i="11"/>
  <c r="AT111" i="11"/>
  <c r="AS111" i="11"/>
  <c r="AT94" i="11"/>
  <c r="AS94" i="11"/>
  <c r="AN94" i="11"/>
  <c r="AT107" i="11"/>
  <c r="AS107" i="11"/>
  <c r="AT82" i="11"/>
  <c r="AS82" i="11"/>
  <c r="AN82" i="11"/>
  <c r="AT59" i="11"/>
  <c r="AS59" i="11"/>
  <c r="AY90" i="11"/>
  <c r="AX90" i="11"/>
  <c r="AW90" i="11"/>
  <c r="AO90" i="11"/>
  <c r="BQ17" i="9"/>
  <c r="BA17" i="9" s="1"/>
  <c r="AT10" i="11"/>
  <c r="AS10" i="11"/>
  <c r="AN10" i="11"/>
  <c r="Q15" i="11"/>
  <c r="AT15" i="11"/>
  <c r="AS15" i="11"/>
  <c r="AT14" i="11"/>
  <c r="AS14" i="11"/>
  <c r="AN14" i="11"/>
  <c r="Q11" i="11"/>
  <c r="P12" i="11" s="1"/>
  <c r="AT11" i="11"/>
  <c r="AS11" i="11"/>
  <c r="AY14" i="11"/>
  <c r="AX14" i="11"/>
  <c r="AW14" i="11"/>
  <c r="AO14" i="11"/>
  <c r="C81" i="11"/>
  <c r="P82" i="11" s="1"/>
  <c r="AD131" i="11"/>
  <c r="AF131" i="11"/>
  <c r="Q135" i="11"/>
  <c r="Q119" i="11"/>
  <c r="AE102" i="11"/>
  <c r="AC102" i="11"/>
  <c r="AF75" i="11"/>
  <c r="AD75" i="11"/>
  <c r="K60" i="11"/>
  <c r="W60" i="11" s="1"/>
  <c r="Q60" i="11"/>
  <c r="Q127" i="11"/>
  <c r="AF46" i="11"/>
  <c r="AD46" i="11"/>
  <c r="Q46" i="11"/>
  <c r="AF47" i="11"/>
  <c r="AD47" i="11"/>
  <c r="AF38" i="11"/>
  <c r="AD38" i="11"/>
  <c r="Q38" i="11"/>
  <c r="Q37" i="11"/>
  <c r="P40" i="11" s="1"/>
  <c r="Q31" i="11"/>
  <c r="Q99" i="11"/>
  <c r="P100" i="11" s="1"/>
  <c r="Q83" i="11"/>
  <c r="AF119" i="11"/>
  <c r="AD119" i="11"/>
  <c r="Q65" i="11"/>
  <c r="AD19" i="11"/>
  <c r="AF19" i="11"/>
  <c r="AF87" i="11"/>
  <c r="AD87" i="11"/>
  <c r="AF110" i="11"/>
  <c r="AD110" i="11"/>
  <c r="Q110" i="11"/>
  <c r="Q23" i="11"/>
  <c r="AF139" i="11"/>
  <c r="AD139" i="11"/>
  <c r="AF79" i="11"/>
  <c r="AD79" i="11"/>
  <c r="AF55" i="11"/>
  <c r="AD55" i="11"/>
  <c r="Q137" i="11"/>
  <c r="AF114" i="11"/>
  <c r="AD114" i="11"/>
  <c r="Q114" i="11"/>
  <c r="Q113" i="11"/>
  <c r="AF31" i="11"/>
  <c r="AF91" i="11"/>
  <c r="AD91" i="11"/>
  <c r="AD106" i="11"/>
  <c r="Q106" i="11"/>
  <c r="AF106" i="11"/>
  <c r="Q55" i="11"/>
  <c r="Q14" i="11"/>
  <c r="P16" i="11" s="1"/>
  <c r="Q45" i="11"/>
  <c r="AF43" i="11"/>
  <c r="AD43" i="11"/>
  <c r="Q66" i="11"/>
  <c r="AF66" i="11"/>
  <c r="AD66" i="11"/>
  <c r="AF135" i="11"/>
  <c r="AD135" i="11"/>
  <c r="AD115" i="11"/>
  <c r="AF115" i="11"/>
  <c r="Q19" i="11"/>
  <c r="Q27" i="11"/>
  <c r="Q121" i="11"/>
  <c r="P124" i="11" s="1"/>
  <c r="AF59" i="11"/>
  <c r="AD59" i="11"/>
  <c r="AF111" i="11"/>
  <c r="AD111" i="11"/>
  <c r="AD51" i="11"/>
  <c r="AF51" i="11"/>
  <c r="P144" i="11"/>
  <c r="AD127" i="11"/>
  <c r="AF103" i="11"/>
  <c r="AD103" i="11"/>
  <c r="AF143" i="11"/>
  <c r="AD143" i="11"/>
  <c r="AD42" i="11"/>
  <c r="Q42" i="11"/>
  <c r="AF42" i="11"/>
  <c r="X67" i="11"/>
  <c r="Q67" i="11"/>
  <c r="P24" i="11"/>
  <c r="AF27" i="11"/>
  <c r="AD27" i="11"/>
  <c r="Q25" i="11"/>
  <c r="AD74" i="11"/>
  <c r="Q74" i="11"/>
  <c r="AF74" i="11"/>
  <c r="Q105" i="11"/>
  <c r="AF86" i="11"/>
  <c r="AD86" i="11"/>
  <c r="Q86" i="11"/>
  <c r="P88" i="11" s="1"/>
  <c r="Q139" i="11"/>
  <c r="AD62" i="11"/>
  <c r="AF62" i="11"/>
  <c r="Q62" i="11"/>
  <c r="P64" i="11" s="1"/>
  <c r="AF83" i="11"/>
  <c r="Q29" i="11"/>
  <c r="Q133" i="11"/>
  <c r="P136" i="11" s="1"/>
  <c r="AF127" i="11"/>
  <c r="P72" i="11"/>
  <c r="AF63" i="11"/>
  <c r="AD63" i="11"/>
  <c r="AF95" i="11"/>
  <c r="AD95" i="11"/>
  <c r="Q5" i="11"/>
  <c r="P8" i="11" s="1"/>
  <c r="AF123" i="11"/>
  <c r="AD123" i="11"/>
  <c r="AD83" i="11"/>
  <c r="P36" i="11"/>
  <c r="Q126" i="11"/>
  <c r="AF126" i="11"/>
  <c r="AD126" i="11"/>
  <c r="AF35" i="11"/>
  <c r="AD35" i="11"/>
  <c r="Q26" i="11"/>
  <c r="AF26" i="11"/>
  <c r="AD26" i="11"/>
  <c r="Q95" i="11"/>
  <c r="P96" i="11" s="1"/>
  <c r="Q41" i="11"/>
  <c r="AF99" i="11"/>
  <c r="AD99" i="11"/>
  <c r="AF23" i="11"/>
  <c r="AD23" i="11"/>
  <c r="P132" i="11"/>
  <c r="Q117" i="11"/>
  <c r="AF54" i="11"/>
  <c r="Q54" i="11"/>
  <c r="AD54" i="11"/>
  <c r="AF107" i="11"/>
  <c r="AD107" i="11"/>
  <c r="Q107" i="11"/>
  <c r="Q59" i="11"/>
  <c r="Q57" i="11"/>
  <c r="AD71" i="11"/>
  <c r="AF71" i="11"/>
  <c r="Q90" i="11"/>
  <c r="AF90" i="11"/>
  <c r="AD90" i="11"/>
  <c r="AD138" i="11"/>
  <c r="Q138" i="11"/>
  <c r="AF138" i="11"/>
  <c r="AD67" i="11"/>
  <c r="AF67" i="11"/>
  <c r="AD39" i="11"/>
  <c r="AF39" i="11"/>
  <c r="Q89" i="11"/>
  <c r="Q17" i="11"/>
  <c r="AF82" i="11"/>
  <c r="AD82" i="11"/>
  <c r="Q82" i="11"/>
  <c r="AF50" i="11"/>
  <c r="AD50" i="11"/>
  <c r="Q50" i="11"/>
  <c r="Q75" i="11"/>
  <c r="Q58" i="11"/>
  <c r="AD58" i="11"/>
  <c r="AF58" i="11"/>
  <c r="Q49" i="11"/>
  <c r="Q111" i="11"/>
  <c r="P112" i="11" s="1"/>
  <c r="BQ28" i="9"/>
  <c r="BA28" i="9" s="1"/>
  <c r="BQ14" i="9"/>
  <c r="AZ14" i="9" s="1"/>
  <c r="BQ19" i="9"/>
  <c r="AZ19" i="9" s="1"/>
  <c r="C41" i="11"/>
  <c r="P42" i="11" s="1"/>
  <c r="C69" i="11"/>
  <c r="P70" i="11" s="1"/>
  <c r="C57" i="11"/>
  <c r="P58" i="11" s="1"/>
  <c r="AK38" i="10"/>
  <c r="AN38" i="10" s="1"/>
  <c r="C37" i="11"/>
  <c r="P38" i="11" s="1"/>
  <c r="C85" i="11"/>
  <c r="P86" i="11" s="1"/>
  <c r="BQ24" i="9"/>
  <c r="BA24" i="9" s="1"/>
  <c r="C129" i="11"/>
  <c r="P130" i="11" s="1"/>
  <c r="C97" i="11"/>
  <c r="P98" i="11" s="1"/>
  <c r="BQ27" i="9"/>
  <c r="AZ27" i="9" s="1"/>
  <c r="C93" i="11"/>
  <c r="P94" i="11" s="1"/>
  <c r="C89" i="11"/>
  <c r="P90" i="11" s="1"/>
  <c r="AF15" i="11"/>
  <c r="AD15" i="11"/>
  <c r="AF14" i="11"/>
  <c r="AD14" i="11"/>
  <c r="X11" i="11"/>
  <c r="AD11" i="11"/>
  <c r="AF11" i="11"/>
  <c r="B7" i="10"/>
  <c r="BQ8" i="9"/>
  <c r="BC9" i="9"/>
  <c r="BQ9" i="9"/>
  <c r="BA9" i="9" s="1"/>
  <c r="BQ15" i="9"/>
  <c r="BA15" i="9" s="1"/>
  <c r="BQ26" i="9"/>
  <c r="BA26" i="9" s="1"/>
  <c r="C45" i="11"/>
  <c r="P46" i="11" s="1"/>
  <c r="BQ25" i="9"/>
  <c r="AZ25" i="9" s="1"/>
  <c r="C77" i="11"/>
  <c r="P78" i="11" s="1"/>
  <c r="C53" i="11"/>
  <c r="P54" i="11" s="1"/>
  <c r="BQ11" i="9"/>
  <c r="BA11" i="9" s="1"/>
  <c r="B8" i="10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AF33" i="10"/>
  <c r="H33" i="10" s="1"/>
  <c r="BQ32" i="9"/>
  <c r="BQ16" i="9"/>
  <c r="BA16" i="9" s="1"/>
  <c r="AF17" i="10"/>
  <c r="H17" i="10" s="1"/>
  <c r="BQ22" i="9"/>
  <c r="AF23" i="10"/>
  <c r="H23" i="10" s="1"/>
  <c r="AF32" i="10"/>
  <c r="H32" i="10" s="1"/>
  <c r="BQ31" i="9"/>
  <c r="C49" i="11"/>
  <c r="P50" i="11" s="1"/>
  <c r="AF38" i="10"/>
  <c r="H38" i="10" s="1"/>
  <c r="BQ37" i="9"/>
  <c r="AF31" i="10"/>
  <c r="H31" i="10" s="1"/>
  <c r="BQ30" i="9"/>
  <c r="BQ29" i="9"/>
  <c r="AF30" i="10"/>
  <c r="H30" i="10" s="1"/>
  <c r="C109" i="11"/>
  <c r="P110" i="11" s="1"/>
  <c r="BQ6" i="9"/>
  <c r="C137" i="11"/>
  <c r="P138" i="11" s="1"/>
  <c r="AF39" i="10"/>
  <c r="H39" i="10" s="1"/>
  <c r="BQ38" i="9"/>
  <c r="AF37" i="10"/>
  <c r="H37" i="10" s="1"/>
  <c r="BQ36" i="9"/>
  <c r="BQ12" i="9"/>
  <c r="BQ23" i="9"/>
  <c r="AZ23" i="9" s="1"/>
  <c r="C25" i="11"/>
  <c r="P26" i="11" s="1"/>
  <c r="BQ20" i="9"/>
  <c r="AZ20" i="9" s="1"/>
  <c r="AF21" i="10"/>
  <c r="H21" i="10" s="1"/>
  <c r="BQ7" i="9"/>
  <c r="BQ35" i="9"/>
  <c r="AF36" i="10"/>
  <c r="H36" i="10" s="1"/>
  <c r="BQ21" i="9"/>
  <c r="BA21" i="9" s="1"/>
  <c r="BQ34" i="9"/>
  <c r="AF35" i="10"/>
  <c r="H35" i="10" s="1"/>
  <c r="C13" i="11"/>
  <c r="P14" i="11" s="1"/>
  <c r="C9" i="11"/>
  <c r="P10" i="11" s="1"/>
  <c r="BQ33" i="9"/>
  <c r="AF34" i="10"/>
  <c r="H34" i="10" s="1"/>
  <c r="BA18" i="9"/>
  <c r="BA13" i="9"/>
  <c r="BA39" i="9"/>
  <c r="AZ39" i="9"/>
  <c r="AK39" i="10"/>
  <c r="AO39" i="10" s="1"/>
  <c r="C65" i="11"/>
  <c r="P66" i="11" s="1"/>
  <c r="K48" i="11"/>
  <c r="AK48" i="11" s="1"/>
  <c r="BQ10" i="9"/>
  <c r="K123" i="11"/>
  <c r="W123" i="11" s="1"/>
  <c r="K12" i="11"/>
  <c r="AI102" i="11"/>
  <c r="K83" i="11"/>
  <c r="AR83" i="11" s="1"/>
  <c r="K73" i="11"/>
  <c r="AW73" i="11" s="1"/>
  <c r="Z126" i="11"/>
  <c r="AK126" i="11"/>
  <c r="AJ126" i="11"/>
  <c r="AK19" i="11"/>
  <c r="AJ19" i="11"/>
  <c r="Z19" i="11"/>
  <c r="X19" i="11"/>
  <c r="Z127" i="11"/>
  <c r="AK127" i="11"/>
  <c r="AJ127" i="11"/>
  <c r="K104" i="11"/>
  <c r="AK83" i="11"/>
  <c r="AJ83" i="11"/>
  <c r="Z83" i="11"/>
  <c r="K40" i="11"/>
  <c r="X135" i="11"/>
  <c r="K16" i="11"/>
  <c r="X139" i="11"/>
  <c r="AK138" i="11"/>
  <c r="AJ138" i="11"/>
  <c r="Z138" i="11"/>
  <c r="X131" i="11"/>
  <c r="Z135" i="11"/>
  <c r="AK135" i="11"/>
  <c r="AJ135" i="11"/>
  <c r="K127" i="11"/>
  <c r="X143" i="11"/>
  <c r="AK142" i="11"/>
  <c r="AJ142" i="11"/>
  <c r="Z142" i="11"/>
  <c r="Z130" i="11"/>
  <c r="AK130" i="11"/>
  <c r="AJ130" i="11"/>
  <c r="X31" i="11"/>
  <c r="AK134" i="11"/>
  <c r="AJ134" i="11"/>
  <c r="Z134" i="11"/>
  <c r="X83" i="11"/>
  <c r="AJ139" i="11"/>
  <c r="Z139" i="11"/>
  <c r="AK139" i="11"/>
  <c r="X127" i="11"/>
  <c r="X123" i="11"/>
  <c r="K118" i="11"/>
  <c r="AR118" i="11" s="1"/>
  <c r="AK122" i="11"/>
  <c r="AJ122" i="11"/>
  <c r="Z122" i="11"/>
  <c r="X119" i="11"/>
  <c r="AK114" i="11"/>
  <c r="X115" i="11"/>
  <c r="Z114" i="11"/>
  <c r="AK118" i="11"/>
  <c r="AJ118" i="11"/>
  <c r="Z118" i="11"/>
  <c r="AJ114" i="11"/>
  <c r="AK119" i="11"/>
  <c r="Z119" i="11"/>
  <c r="AJ119" i="11"/>
  <c r="Z111" i="11"/>
  <c r="AK111" i="11"/>
  <c r="AJ111" i="11"/>
  <c r="X107" i="11"/>
  <c r="AK107" i="11"/>
  <c r="AJ107" i="11"/>
  <c r="Z107" i="11"/>
  <c r="Z106" i="11"/>
  <c r="AK106" i="11"/>
  <c r="AJ106" i="11"/>
  <c r="W102" i="11"/>
  <c r="Y103" i="11"/>
  <c r="Y102" i="11"/>
  <c r="K101" i="11"/>
  <c r="AS101" i="11" s="1"/>
  <c r="X103" i="11"/>
  <c r="Z110" i="11"/>
  <c r="AK110" i="11"/>
  <c r="AJ110" i="11"/>
  <c r="X111" i="11"/>
  <c r="X99" i="11"/>
  <c r="AJ99" i="11"/>
  <c r="Z99" i="11"/>
  <c r="AK99" i="11"/>
  <c r="AK98" i="11"/>
  <c r="AJ98" i="11"/>
  <c r="Z98" i="11"/>
  <c r="Z90" i="11"/>
  <c r="AK90" i="11"/>
  <c r="AJ90" i="11"/>
  <c r="AK94" i="11"/>
  <c r="AJ94" i="11"/>
  <c r="Z94" i="11"/>
  <c r="X95" i="11"/>
  <c r="X91" i="11"/>
  <c r="Z95" i="11"/>
  <c r="AJ95" i="11"/>
  <c r="AK95" i="11"/>
  <c r="X87" i="11"/>
  <c r="Z86" i="11"/>
  <c r="AK86" i="11"/>
  <c r="AJ86" i="11"/>
  <c r="Z82" i="11"/>
  <c r="AK82" i="11"/>
  <c r="AJ82" i="11"/>
  <c r="X79" i="11"/>
  <c r="AK78" i="11"/>
  <c r="AJ78" i="11"/>
  <c r="Z78" i="11"/>
  <c r="AJ75" i="11"/>
  <c r="Z75" i="11"/>
  <c r="AK75" i="11"/>
  <c r="X75" i="11"/>
  <c r="AK74" i="11"/>
  <c r="AJ74" i="11"/>
  <c r="Z74" i="11"/>
  <c r="K74" i="11"/>
  <c r="AR74" i="11" s="1"/>
  <c r="X71" i="11"/>
  <c r="AK70" i="11"/>
  <c r="AJ70" i="11"/>
  <c r="Z70" i="11"/>
  <c r="X63" i="11"/>
  <c r="Z62" i="11"/>
  <c r="AK62" i="11"/>
  <c r="AJ62" i="11"/>
  <c r="AK59" i="11"/>
  <c r="Z59" i="11"/>
  <c r="AJ59" i="11"/>
  <c r="Z66" i="11"/>
  <c r="AK66" i="11"/>
  <c r="AJ66" i="11"/>
  <c r="AK54" i="11"/>
  <c r="AJ54" i="11"/>
  <c r="Z54" i="11"/>
  <c r="X59" i="11"/>
  <c r="X55" i="11"/>
  <c r="AK58" i="11"/>
  <c r="AJ58" i="11"/>
  <c r="Z58" i="11"/>
  <c r="AK55" i="11"/>
  <c r="AJ55" i="11"/>
  <c r="Z55" i="11"/>
  <c r="Z67" i="11"/>
  <c r="AK67" i="11"/>
  <c r="AJ67" i="11"/>
  <c r="X47" i="11"/>
  <c r="AK50" i="11"/>
  <c r="AJ50" i="11"/>
  <c r="Z50" i="11"/>
  <c r="X43" i="11"/>
  <c r="Z38" i="11"/>
  <c r="AK38" i="11"/>
  <c r="AJ38" i="11"/>
  <c r="AJ46" i="11"/>
  <c r="Z46" i="11"/>
  <c r="AK46" i="11"/>
  <c r="AJ42" i="11"/>
  <c r="Z42" i="11"/>
  <c r="AK42" i="11"/>
  <c r="X51" i="11"/>
  <c r="X39" i="11"/>
  <c r="X35" i="11"/>
  <c r="AK34" i="11"/>
  <c r="AJ34" i="11"/>
  <c r="Z34" i="11"/>
  <c r="X27" i="11"/>
  <c r="AJ27" i="11"/>
  <c r="Z27" i="11"/>
  <c r="AK27" i="11"/>
  <c r="AK26" i="11"/>
  <c r="AJ26" i="11"/>
  <c r="Z26" i="11"/>
  <c r="Z18" i="11"/>
  <c r="AK18" i="11"/>
  <c r="AJ18" i="11"/>
  <c r="AK11" i="11"/>
  <c r="AJ11" i="11"/>
  <c r="Z11" i="11"/>
  <c r="AK30" i="11"/>
  <c r="AJ30" i="11"/>
  <c r="Z30" i="11"/>
  <c r="AK31" i="11"/>
  <c r="AJ31" i="11"/>
  <c r="Z31" i="11"/>
  <c r="AK22" i="11"/>
  <c r="AJ22" i="11"/>
  <c r="Z22" i="11"/>
  <c r="X23" i="11"/>
  <c r="Z23" i="11"/>
  <c r="AK23" i="11"/>
  <c r="AJ23" i="11"/>
  <c r="Z14" i="11"/>
  <c r="AK14" i="11"/>
  <c r="AJ14" i="11"/>
  <c r="AK15" i="11"/>
  <c r="AJ15" i="11"/>
  <c r="Z15" i="11"/>
  <c r="X15" i="11"/>
  <c r="Z10" i="11"/>
  <c r="AK10" i="11"/>
  <c r="AJ10" i="11"/>
  <c r="AS6" i="11"/>
  <c r="AK6" i="11"/>
  <c r="AJ6" i="11"/>
  <c r="Z6" i="11"/>
  <c r="AT6" i="11"/>
  <c r="AF7" i="11"/>
  <c r="AD7" i="11"/>
  <c r="X7" i="11"/>
  <c r="AO37" i="10"/>
  <c r="AN37" i="10"/>
  <c r="AL37" i="10"/>
  <c r="AJ37" i="10" s="1"/>
  <c r="AO40" i="10"/>
  <c r="AN40" i="10"/>
  <c r="K132" i="11"/>
  <c r="K112" i="11"/>
  <c r="K80" i="11"/>
  <c r="K103" i="11"/>
  <c r="K139" i="11"/>
  <c r="AR139" i="11" s="1"/>
  <c r="K130" i="11"/>
  <c r="AR130" i="11" s="1"/>
  <c r="K114" i="11"/>
  <c r="AR114" i="11" s="1"/>
  <c r="K92" i="11"/>
  <c r="K113" i="11"/>
  <c r="AX113" i="11" s="1"/>
  <c r="K136" i="11"/>
  <c r="K105" i="11"/>
  <c r="AW105" i="11" s="1"/>
  <c r="K61" i="11"/>
  <c r="AW61" i="11" s="1"/>
  <c r="K66" i="11"/>
  <c r="AR66" i="11" s="1"/>
  <c r="K108" i="11"/>
  <c r="BQ5" i="9"/>
  <c r="C5" i="11"/>
  <c r="P6" i="11" s="1"/>
  <c r="K96" i="11"/>
  <c r="K99" i="11"/>
  <c r="AR99" i="11" s="1"/>
  <c r="K107" i="11"/>
  <c r="AR107" i="11" s="1"/>
  <c r="K49" i="11"/>
  <c r="AW49" i="11" s="1"/>
  <c r="K62" i="11"/>
  <c r="AR62" i="11" s="1"/>
  <c r="K45" i="11"/>
  <c r="AO45" i="11" s="1"/>
  <c r="K41" i="11"/>
  <c r="AR41" i="11" s="1"/>
  <c r="K22" i="11"/>
  <c r="AR22" i="11" s="1"/>
  <c r="K121" i="11"/>
  <c r="AD121" i="11" s="1"/>
  <c r="K89" i="11"/>
  <c r="AT89" i="11" s="1"/>
  <c r="K81" i="11"/>
  <c r="AO81" i="11" s="1"/>
  <c r="K25" i="11"/>
  <c r="AT25" i="11" s="1"/>
  <c r="K10" i="11"/>
  <c r="AR10" i="11" s="1"/>
  <c r="K98" i="11"/>
  <c r="AR98" i="11" s="1"/>
  <c r="K18" i="11"/>
  <c r="AR18" i="11" s="1"/>
  <c r="K126" i="11"/>
  <c r="AR126" i="11" s="1"/>
  <c r="K46" i="11"/>
  <c r="AR46" i="11" s="1"/>
  <c r="K87" i="11"/>
  <c r="K129" i="11"/>
  <c r="AW129" i="11" s="1"/>
  <c r="K128" i="11"/>
  <c r="K68" i="11"/>
  <c r="K58" i="11"/>
  <c r="AR58" i="11" s="1"/>
  <c r="K117" i="11"/>
  <c r="AR117" i="11" s="1"/>
  <c r="K33" i="11"/>
  <c r="AW33" i="11" s="1"/>
  <c r="K137" i="11"/>
  <c r="AC137" i="11" s="1"/>
  <c r="K86" i="11"/>
  <c r="AR86" i="11" s="1"/>
  <c r="K138" i="11"/>
  <c r="AR138" i="11" s="1"/>
  <c r="K14" i="11"/>
  <c r="AR14" i="11" s="1"/>
  <c r="K43" i="11"/>
  <c r="K135" i="11"/>
  <c r="AR135" i="11" s="1"/>
  <c r="K79" i="11"/>
  <c r="K19" i="11"/>
  <c r="AR19" i="11" s="1"/>
  <c r="K63" i="11"/>
  <c r="K67" i="11"/>
  <c r="AR67" i="11" s="1"/>
  <c r="K111" i="11"/>
  <c r="K52" i="11"/>
  <c r="K124" i="11"/>
  <c r="K76" i="11"/>
  <c r="K8" i="11"/>
  <c r="K11" i="11"/>
  <c r="AR11" i="11" s="1"/>
  <c r="K6" i="11"/>
  <c r="K59" i="11"/>
  <c r="K30" i="11"/>
  <c r="AR30" i="11" s="1"/>
  <c r="K54" i="11"/>
  <c r="AR54" i="11" s="1"/>
  <c r="K35" i="11"/>
  <c r="K78" i="11"/>
  <c r="AR78" i="11" s="1"/>
  <c r="K13" i="11"/>
  <c r="K143" i="11"/>
  <c r="K100" i="11"/>
  <c r="K24" i="11"/>
  <c r="K56" i="11"/>
  <c r="K7" i="11"/>
  <c r="K120" i="11"/>
  <c r="K95" i="11"/>
  <c r="K28" i="11"/>
  <c r="K109" i="11"/>
  <c r="K88" i="11"/>
  <c r="K5" i="11"/>
  <c r="AW5" i="11" s="1"/>
  <c r="K90" i="11"/>
  <c r="AR90" i="11" s="1"/>
  <c r="K51" i="11"/>
  <c r="K55" i="11"/>
  <c r="AR55" i="11" s="1"/>
  <c r="K142" i="11"/>
  <c r="AR142" i="11" s="1"/>
  <c r="K94" i="11"/>
  <c r="AR94" i="11" s="1"/>
  <c r="K97" i="11"/>
  <c r="AW97" i="11" s="1"/>
  <c r="K26" i="11"/>
  <c r="AR26" i="11" s="1"/>
  <c r="K32" i="11"/>
  <c r="K93" i="11"/>
  <c r="AW93" i="11" s="1"/>
  <c r="K115" i="11"/>
  <c r="K57" i="11"/>
  <c r="AR57" i="11" s="1"/>
  <c r="K38" i="11"/>
  <c r="AR38" i="11" s="1"/>
  <c r="K71" i="11"/>
  <c r="K50" i="11"/>
  <c r="AR50" i="11" s="1"/>
  <c r="K47" i="11"/>
  <c r="K84" i="11"/>
  <c r="K34" i="11"/>
  <c r="AR34" i="11" s="1"/>
  <c r="K21" i="11"/>
  <c r="AN21" i="11" s="1"/>
  <c r="K15" i="11"/>
  <c r="AR15" i="11" s="1"/>
  <c r="K131" i="11"/>
  <c r="K64" i="11"/>
  <c r="K65" i="11"/>
  <c r="AF65" i="11" s="1"/>
  <c r="K29" i="11"/>
  <c r="AW29" i="11" s="1"/>
  <c r="K82" i="11"/>
  <c r="AR82" i="11" s="1"/>
  <c r="K44" i="11"/>
  <c r="K27" i="11"/>
  <c r="AR27" i="11" s="1"/>
  <c r="K23" i="11"/>
  <c r="AR23" i="11" s="1"/>
  <c r="K141" i="11"/>
  <c r="AN141" i="11" s="1"/>
  <c r="K70" i="11"/>
  <c r="AR70" i="11" s="1"/>
  <c r="K91" i="11"/>
  <c r="K119" i="11"/>
  <c r="K134" i="11"/>
  <c r="AR134" i="11" s="1"/>
  <c r="K122" i="11"/>
  <c r="AR122" i="11" s="1"/>
  <c r="K125" i="11"/>
  <c r="K144" i="11"/>
  <c r="K110" i="11"/>
  <c r="AR110" i="11" s="1"/>
  <c r="K77" i="11"/>
  <c r="AS77" i="11" s="1"/>
  <c r="K17" i="11"/>
  <c r="AW17" i="11" s="1"/>
  <c r="K20" i="11"/>
  <c r="K75" i="11"/>
  <c r="AR75" i="11" s="1"/>
  <c r="K53" i="11"/>
  <c r="K133" i="11"/>
  <c r="AW133" i="11" s="1"/>
  <c r="K116" i="11"/>
  <c r="K42" i="11"/>
  <c r="AR42" i="11" s="1"/>
  <c r="K37" i="11"/>
  <c r="AC37" i="11" s="1"/>
  <c r="K31" i="11"/>
  <c r="K140" i="11"/>
  <c r="K72" i="11"/>
  <c r="K36" i="11"/>
  <c r="K39" i="11"/>
  <c r="K9" i="11"/>
  <c r="AN9" i="11" s="1"/>
  <c r="K106" i="11"/>
  <c r="AR106" i="11" s="1"/>
  <c r="K69" i="11"/>
  <c r="AS69" i="11" s="1"/>
  <c r="K85" i="11"/>
  <c r="AW85" i="11" s="1"/>
  <c r="AJ40" i="10"/>
  <c r="E40" i="10"/>
  <c r="BT39" i="9" s="1"/>
  <c r="P20" i="11" l="1"/>
  <c r="Z60" i="11"/>
  <c r="AJ60" i="11"/>
  <c r="AK60" i="11"/>
  <c r="X60" i="11"/>
  <c r="Y60" i="11"/>
  <c r="P44" i="11"/>
  <c r="P84" i="11"/>
  <c r="AS129" i="11"/>
  <c r="AY93" i="11"/>
  <c r="AN81" i="11"/>
  <c r="AO93" i="11"/>
  <c r="AO133" i="11"/>
  <c r="AS81" i="11"/>
  <c r="AX29" i="11"/>
  <c r="AT133" i="11"/>
  <c r="AW65" i="11"/>
  <c r="AR113" i="11"/>
  <c r="P76" i="11"/>
  <c r="AO129" i="11"/>
  <c r="AT105" i="11"/>
  <c r="AW101" i="11"/>
  <c r="AY77" i="11"/>
  <c r="P48" i="11"/>
  <c r="AO77" i="11"/>
  <c r="AO121" i="11"/>
  <c r="P52" i="11"/>
  <c r="AT121" i="11"/>
  <c r="P120" i="11"/>
  <c r="AN101" i="11"/>
  <c r="BA8" i="9"/>
  <c r="BA6" i="9"/>
  <c r="AZ17" i="9"/>
  <c r="AY144" i="11"/>
  <c r="AX144" i="11"/>
  <c r="AW144" i="11"/>
  <c r="AT144" i="11"/>
  <c r="AS144" i="11"/>
  <c r="AR144" i="11"/>
  <c r="AO144" i="11"/>
  <c r="AN144" i="11"/>
  <c r="AD125" i="11"/>
  <c r="AR125" i="11"/>
  <c r="AX125" i="11"/>
  <c r="AY48" i="11"/>
  <c r="AX48" i="11"/>
  <c r="AT48" i="11"/>
  <c r="AW48" i="11"/>
  <c r="AS48" i="11"/>
  <c r="AR48" i="11"/>
  <c r="AO48" i="11"/>
  <c r="AN48" i="11"/>
  <c r="AN117" i="11"/>
  <c r="AN37" i="11"/>
  <c r="AY36" i="11"/>
  <c r="AX36" i="11"/>
  <c r="AW36" i="11"/>
  <c r="AT36" i="11"/>
  <c r="AR36" i="11"/>
  <c r="AO36" i="11"/>
  <c r="AN36" i="11"/>
  <c r="AS36" i="11"/>
  <c r="AR81" i="11"/>
  <c r="AX81" i="11"/>
  <c r="AS105" i="11"/>
  <c r="AN105" i="11"/>
  <c r="W48" i="11"/>
  <c r="AY60" i="11"/>
  <c r="AX60" i="11"/>
  <c r="AT60" i="11"/>
  <c r="AW60" i="11"/>
  <c r="AS60" i="11"/>
  <c r="AR60" i="11"/>
  <c r="AO60" i="11"/>
  <c r="AN60" i="11"/>
  <c r="AY129" i="11"/>
  <c r="AY57" i="11"/>
  <c r="AR29" i="11"/>
  <c r="AY41" i="11"/>
  <c r="AS117" i="11"/>
  <c r="AW121" i="11"/>
  <c r="AT93" i="11"/>
  <c r="AS37" i="11"/>
  <c r="AT77" i="11"/>
  <c r="AN137" i="11"/>
  <c r="AW39" i="11"/>
  <c r="AO39" i="11"/>
  <c r="AY39" i="11"/>
  <c r="AN39" i="11"/>
  <c r="AX39" i="11"/>
  <c r="AR39" i="11"/>
  <c r="AY72" i="11"/>
  <c r="AX72" i="11"/>
  <c r="AW72" i="11"/>
  <c r="AT72" i="11"/>
  <c r="AS72" i="11"/>
  <c r="AR72" i="11"/>
  <c r="AO72" i="11"/>
  <c r="AN72" i="11"/>
  <c r="X48" i="11"/>
  <c r="P56" i="11"/>
  <c r="AO57" i="11"/>
  <c r="AY113" i="11"/>
  <c r="AN85" i="11"/>
  <c r="AO41" i="11"/>
  <c r="AN97" i="11"/>
  <c r="AN73" i="11"/>
  <c r="AW77" i="11"/>
  <c r="AS137" i="11"/>
  <c r="AW35" i="11"/>
  <c r="AO35" i="11"/>
  <c r="AY35" i="11"/>
  <c r="AX35" i="11"/>
  <c r="AN35" i="11"/>
  <c r="AR35" i="11"/>
  <c r="AY84" i="11"/>
  <c r="AX84" i="11"/>
  <c r="AW84" i="11"/>
  <c r="AT84" i="11"/>
  <c r="AS84" i="11"/>
  <c r="AR84" i="11"/>
  <c r="AO84" i="11"/>
  <c r="AN84" i="11"/>
  <c r="AW59" i="11"/>
  <c r="AO59" i="11"/>
  <c r="AY59" i="11"/>
  <c r="AX59" i="11"/>
  <c r="AN59" i="11"/>
  <c r="AY136" i="11"/>
  <c r="AX136" i="11"/>
  <c r="AW136" i="11"/>
  <c r="AT136" i="11"/>
  <c r="AS136" i="11"/>
  <c r="AR136" i="11"/>
  <c r="AO136" i="11"/>
  <c r="AN136" i="11"/>
  <c r="AY140" i="11"/>
  <c r="AX140" i="11"/>
  <c r="AW140" i="11"/>
  <c r="AT140" i="11"/>
  <c r="AS140" i="11"/>
  <c r="AR140" i="11"/>
  <c r="AO140" i="11"/>
  <c r="AN140" i="11"/>
  <c r="AW119" i="11"/>
  <c r="AO119" i="11"/>
  <c r="AY119" i="11"/>
  <c r="AX119" i="11"/>
  <c r="AN119" i="11"/>
  <c r="AW47" i="11"/>
  <c r="AO47" i="11"/>
  <c r="AY47" i="11"/>
  <c r="AX47" i="11"/>
  <c r="AN47" i="11"/>
  <c r="AR47" i="11"/>
  <c r="AY88" i="11"/>
  <c r="AX88" i="11"/>
  <c r="AW88" i="11"/>
  <c r="AT88" i="11"/>
  <c r="AS88" i="11"/>
  <c r="AR88" i="11"/>
  <c r="AO88" i="11"/>
  <c r="AN88" i="11"/>
  <c r="Z48" i="11"/>
  <c r="P32" i="11"/>
  <c r="AX89" i="11"/>
  <c r="AT129" i="11"/>
  <c r="AT57" i="11"/>
  <c r="AO89" i="11"/>
  <c r="AS85" i="11"/>
  <c r="AT41" i="11"/>
  <c r="AS97" i="11"/>
  <c r="AY61" i="11"/>
  <c r="AS73" i="11"/>
  <c r="AY85" i="11"/>
  <c r="AF109" i="11"/>
  <c r="AR109" i="11"/>
  <c r="AX109" i="11"/>
  <c r="P128" i="11"/>
  <c r="AR89" i="11"/>
  <c r="AW57" i="11"/>
  <c r="AY33" i="11"/>
  <c r="AY125" i="11"/>
  <c r="AY81" i="11"/>
  <c r="AW41" i="11"/>
  <c r="AX121" i="11"/>
  <c r="AO61" i="11"/>
  <c r="AY29" i="11"/>
  <c r="AO85" i="11"/>
  <c r="AY28" i="11"/>
  <c r="AW28" i="11"/>
  <c r="AX28" i="11"/>
  <c r="AT28" i="11"/>
  <c r="AR28" i="11"/>
  <c r="AO28" i="11"/>
  <c r="AN28" i="11"/>
  <c r="AS28" i="11"/>
  <c r="AX41" i="11"/>
  <c r="AY137" i="11"/>
  <c r="AO33" i="11"/>
  <c r="AO125" i="11"/>
  <c r="AR121" i="11"/>
  <c r="AT61" i="11"/>
  <c r="AY69" i="11"/>
  <c r="AO29" i="11"/>
  <c r="AN57" i="11"/>
  <c r="AT85" i="11"/>
  <c r="AW43" i="11"/>
  <c r="AO43" i="11"/>
  <c r="AY43" i="11"/>
  <c r="AN43" i="11"/>
  <c r="AX43" i="11"/>
  <c r="AR43" i="11"/>
  <c r="AY76" i="11"/>
  <c r="AX76" i="11"/>
  <c r="AT76" i="11"/>
  <c r="AW76" i="11"/>
  <c r="AS76" i="11"/>
  <c r="AR76" i="11"/>
  <c r="AO76" i="11"/>
  <c r="AN76" i="11"/>
  <c r="AN121" i="11"/>
  <c r="AO137" i="11"/>
  <c r="AT33" i="11"/>
  <c r="AT125" i="11"/>
  <c r="AT81" i="11"/>
  <c r="AY25" i="11"/>
  <c r="AN17" i="11"/>
  <c r="AN113" i="11"/>
  <c r="AO69" i="11"/>
  <c r="AT29" i="11"/>
  <c r="AS57" i="11"/>
  <c r="AR119" i="11"/>
  <c r="BA14" i="9"/>
  <c r="AW51" i="11"/>
  <c r="AO51" i="11"/>
  <c r="AY51" i="11"/>
  <c r="AX51" i="11"/>
  <c r="AN51" i="11"/>
  <c r="AR51" i="11"/>
  <c r="AR61" i="11"/>
  <c r="AX61" i="11"/>
  <c r="AW31" i="11"/>
  <c r="AO31" i="11"/>
  <c r="AY31" i="11"/>
  <c r="AN31" i="11"/>
  <c r="AX31" i="11"/>
  <c r="AY8" i="11"/>
  <c r="AW8" i="11"/>
  <c r="AX8" i="11"/>
  <c r="AY116" i="11"/>
  <c r="AX116" i="11"/>
  <c r="AW116" i="11"/>
  <c r="AT116" i="11"/>
  <c r="AS116" i="11"/>
  <c r="AR116" i="11"/>
  <c r="AO116" i="11"/>
  <c r="AN116" i="11"/>
  <c r="AY124" i="11"/>
  <c r="AX124" i="11"/>
  <c r="AW124" i="11"/>
  <c r="AT124" i="11"/>
  <c r="AS124" i="11"/>
  <c r="AR124" i="11"/>
  <c r="AO124" i="11"/>
  <c r="AN124" i="11"/>
  <c r="AY68" i="11"/>
  <c r="AX68" i="11"/>
  <c r="AT68" i="11"/>
  <c r="AW68" i="11"/>
  <c r="AS68" i="11"/>
  <c r="AR68" i="11"/>
  <c r="AO68" i="11"/>
  <c r="AN68" i="11"/>
  <c r="AW139" i="11"/>
  <c r="AO139" i="11"/>
  <c r="AX139" i="11"/>
  <c r="AY139" i="11"/>
  <c r="AN139" i="11"/>
  <c r="AD101" i="11"/>
  <c r="AR101" i="11"/>
  <c r="AX101" i="11"/>
  <c r="AS121" i="11"/>
  <c r="AN109" i="11"/>
  <c r="AT137" i="11"/>
  <c r="AW125" i="11"/>
  <c r="AW81" i="11"/>
  <c r="AX25" i="11"/>
  <c r="AO25" i="11"/>
  <c r="AS17" i="11"/>
  <c r="AS113" i="11"/>
  <c r="AY97" i="11"/>
  <c r="AT69" i="11"/>
  <c r="AY45" i="11"/>
  <c r="AX105" i="11"/>
  <c r="AY109" i="11"/>
  <c r="AY17" i="11"/>
  <c r="AY92" i="11"/>
  <c r="AX92" i="11"/>
  <c r="AW92" i="11"/>
  <c r="AT92" i="11"/>
  <c r="AS92" i="11"/>
  <c r="AR92" i="11"/>
  <c r="AO92" i="11"/>
  <c r="AN92" i="11"/>
  <c r="AY40" i="11"/>
  <c r="AX40" i="11"/>
  <c r="AW40" i="11"/>
  <c r="AT40" i="11"/>
  <c r="AR40" i="11"/>
  <c r="AO40" i="11"/>
  <c r="AN40" i="11"/>
  <c r="AS40" i="11"/>
  <c r="AR141" i="11"/>
  <c r="AX141" i="11"/>
  <c r="AW127" i="11"/>
  <c r="AO127" i="11"/>
  <c r="AX127" i="11"/>
  <c r="AY127" i="11"/>
  <c r="AN127" i="11"/>
  <c r="AW23" i="11"/>
  <c r="AO23" i="11"/>
  <c r="AY23" i="11"/>
  <c r="AX23" i="11"/>
  <c r="AN23" i="11"/>
  <c r="AY120" i="11"/>
  <c r="AX120" i="11"/>
  <c r="AW120" i="11"/>
  <c r="AT120" i="11"/>
  <c r="AS120" i="11"/>
  <c r="AR120" i="11"/>
  <c r="AO120" i="11"/>
  <c r="AN120" i="11"/>
  <c r="AD133" i="11"/>
  <c r="AS133" i="11"/>
  <c r="AN133" i="11"/>
  <c r="AW27" i="11"/>
  <c r="AO27" i="11"/>
  <c r="AY27" i="11"/>
  <c r="AN27" i="11"/>
  <c r="AX27" i="11"/>
  <c r="AW115" i="11"/>
  <c r="AO115" i="11"/>
  <c r="AY115" i="11"/>
  <c r="AN115" i="11"/>
  <c r="AX115" i="11"/>
  <c r="AR115" i="11"/>
  <c r="AY52" i="11"/>
  <c r="AT52" i="11"/>
  <c r="AX52" i="11"/>
  <c r="AW52" i="11"/>
  <c r="AS52" i="11"/>
  <c r="AR52" i="11"/>
  <c r="AO52" i="11"/>
  <c r="AN52" i="11"/>
  <c r="AY128" i="11"/>
  <c r="AX128" i="11"/>
  <c r="AW128" i="11"/>
  <c r="AT128" i="11"/>
  <c r="AS128" i="11"/>
  <c r="AR128" i="11"/>
  <c r="AO128" i="11"/>
  <c r="AN128" i="11"/>
  <c r="AS49" i="11"/>
  <c r="AN49" i="11"/>
  <c r="AW103" i="11"/>
  <c r="AO103" i="11"/>
  <c r="AY103" i="11"/>
  <c r="AN103" i="11"/>
  <c r="AX103" i="11"/>
  <c r="AR103" i="11"/>
  <c r="AX57" i="11"/>
  <c r="AO113" i="11"/>
  <c r="AS109" i="11"/>
  <c r="AW137" i="11"/>
  <c r="AX17" i="11"/>
  <c r="AR25" i="11"/>
  <c r="AX37" i="11"/>
  <c r="AX45" i="11"/>
  <c r="AO97" i="11"/>
  <c r="AX137" i="11"/>
  <c r="AW69" i="11"/>
  <c r="AR31" i="11"/>
  <c r="AR105" i="11"/>
  <c r="AO109" i="11"/>
  <c r="AO17" i="11"/>
  <c r="AS141" i="11"/>
  <c r="AC21" i="11"/>
  <c r="AR21" i="11"/>
  <c r="AX21" i="11"/>
  <c r="AS25" i="11"/>
  <c r="AN25" i="11"/>
  <c r="AW91" i="11"/>
  <c r="AO91" i="11"/>
  <c r="AY91" i="11"/>
  <c r="AX91" i="11"/>
  <c r="AN91" i="11"/>
  <c r="AR91" i="11"/>
  <c r="AR33" i="11"/>
  <c r="AX33" i="11"/>
  <c r="AW71" i="11"/>
  <c r="AO71" i="11"/>
  <c r="AY71" i="11"/>
  <c r="AX71" i="11"/>
  <c r="AN71" i="11"/>
  <c r="AR71" i="11"/>
  <c r="AD41" i="11"/>
  <c r="AS41" i="11"/>
  <c r="AN41" i="11"/>
  <c r="AW95" i="11"/>
  <c r="AO95" i="11"/>
  <c r="AY95" i="11"/>
  <c r="AX95" i="11"/>
  <c r="AN95" i="11"/>
  <c r="AD45" i="11"/>
  <c r="AS45" i="11"/>
  <c r="AN45" i="11"/>
  <c r="AC53" i="11"/>
  <c r="AR53" i="11"/>
  <c r="AX53" i="11"/>
  <c r="AY44" i="11"/>
  <c r="AX44" i="11"/>
  <c r="AW44" i="11"/>
  <c r="AT44" i="11"/>
  <c r="AS44" i="11"/>
  <c r="AR44" i="11"/>
  <c r="AO44" i="11"/>
  <c r="AN44" i="11"/>
  <c r="AR93" i="11"/>
  <c r="AX93" i="11"/>
  <c r="AY56" i="11"/>
  <c r="AX56" i="11"/>
  <c r="AW56" i="11"/>
  <c r="AT56" i="11"/>
  <c r="AS56" i="11"/>
  <c r="AR56" i="11"/>
  <c r="AO56" i="11"/>
  <c r="AN56" i="11"/>
  <c r="AW111" i="11"/>
  <c r="AO111" i="11"/>
  <c r="AY111" i="11"/>
  <c r="AX111" i="11"/>
  <c r="AN111" i="11"/>
  <c r="AR129" i="11"/>
  <c r="AX129" i="11"/>
  <c r="AW107" i="11"/>
  <c r="AO107" i="11"/>
  <c r="AY107" i="11"/>
  <c r="AX107" i="11"/>
  <c r="AN107" i="11"/>
  <c r="AY80" i="11"/>
  <c r="AX80" i="11"/>
  <c r="AW80" i="11"/>
  <c r="AT80" i="11"/>
  <c r="AS80" i="11"/>
  <c r="AR80" i="11"/>
  <c r="AO80" i="11"/>
  <c r="AN80" i="11"/>
  <c r="AY104" i="11"/>
  <c r="AX104" i="11"/>
  <c r="AW104" i="11"/>
  <c r="AT104" i="11"/>
  <c r="AS104" i="11"/>
  <c r="AR104" i="11"/>
  <c r="AO104" i="11"/>
  <c r="AN104" i="11"/>
  <c r="AR111" i="11"/>
  <c r="AR95" i="11"/>
  <c r="AN129" i="11"/>
  <c r="AR17" i="11"/>
  <c r="AS21" i="11"/>
  <c r="AY73" i="11"/>
  <c r="AR37" i="11"/>
  <c r="AW25" i="11"/>
  <c r="AR45" i="11"/>
  <c r="AT97" i="11"/>
  <c r="AR137" i="11"/>
  <c r="AN69" i="11"/>
  <c r="AR127" i="11"/>
  <c r="AT45" i="11"/>
  <c r="AT109" i="11"/>
  <c r="AT17" i="11"/>
  <c r="AN65" i="11"/>
  <c r="AO73" i="11"/>
  <c r="AY141" i="11"/>
  <c r="AN61" i="11"/>
  <c r="AN89" i="11"/>
  <c r="AW45" i="11"/>
  <c r="AW109" i="11"/>
  <c r="AS65" i="11"/>
  <c r="AR59" i="11"/>
  <c r="AY21" i="11"/>
  <c r="AY20" i="11"/>
  <c r="AW20" i="11"/>
  <c r="AX20" i="11"/>
  <c r="AR20" i="11"/>
  <c r="AO20" i="11"/>
  <c r="AN20" i="11"/>
  <c r="AS20" i="11"/>
  <c r="AT20" i="11"/>
  <c r="AS29" i="11"/>
  <c r="AN29" i="11"/>
  <c r="AY100" i="11"/>
  <c r="AX100" i="11"/>
  <c r="AW100" i="11"/>
  <c r="AT100" i="11"/>
  <c r="AS100" i="11"/>
  <c r="AR100" i="11"/>
  <c r="AO100" i="11"/>
  <c r="AN100" i="11"/>
  <c r="AW63" i="11"/>
  <c r="AO63" i="11"/>
  <c r="AY63" i="11"/>
  <c r="AX63" i="11"/>
  <c r="AN63" i="11"/>
  <c r="AR63" i="11"/>
  <c r="AY96" i="11"/>
  <c r="AX96" i="11"/>
  <c r="AW96" i="11"/>
  <c r="AT96" i="11"/>
  <c r="AS96" i="11"/>
  <c r="AR96" i="11"/>
  <c r="AO96" i="11"/>
  <c r="AN96" i="11"/>
  <c r="AY132" i="11"/>
  <c r="AX132" i="11"/>
  <c r="AW132" i="11"/>
  <c r="AT132" i="11"/>
  <c r="AS132" i="11"/>
  <c r="AR132" i="11"/>
  <c r="AO132" i="11"/>
  <c r="AN132" i="11"/>
  <c r="AW83" i="11"/>
  <c r="AO83" i="11"/>
  <c r="AY83" i="11"/>
  <c r="AN83" i="11"/>
  <c r="AX83" i="11"/>
  <c r="AD61" i="11"/>
  <c r="AX133" i="11"/>
  <c r="AO21" i="11"/>
  <c r="AY89" i="11"/>
  <c r="AT73" i="11"/>
  <c r="AO141" i="11"/>
  <c r="AS61" i="11"/>
  <c r="AS89" i="11"/>
  <c r="AY117" i="11"/>
  <c r="AY53" i="11"/>
  <c r="AN33" i="11"/>
  <c r="AY37" i="11"/>
  <c r="AN77" i="11"/>
  <c r="AW55" i="11"/>
  <c r="AO55" i="11"/>
  <c r="AY55" i="11"/>
  <c r="AN55" i="11"/>
  <c r="AX55" i="11"/>
  <c r="AY32" i="11"/>
  <c r="AX32" i="11"/>
  <c r="AW32" i="11"/>
  <c r="AT32" i="11"/>
  <c r="AR32" i="11"/>
  <c r="AO32" i="11"/>
  <c r="AN32" i="11"/>
  <c r="AS32" i="11"/>
  <c r="AW99" i="11"/>
  <c r="AO99" i="11"/>
  <c r="AY99" i="11"/>
  <c r="AN99" i="11"/>
  <c r="AX99" i="11"/>
  <c r="AR133" i="11"/>
  <c r="AT21" i="11"/>
  <c r="AY49" i="11"/>
  <c r="AT141" i="11"/>
  <c r="AN93" i="11"/>
  <c r="AX65" i="11"/>
  <c r="AO117" i="11"/>
  <c r="AY101" i="11"/>
  <c r="AY65" i="11"/>
  <c r="AO53" i="11"/>
  <c r="AN125" i="11"/>
  <c r="AS33" i="11"/>
  <c r="AO37" i="11"/>
  <c r="AF69" i="11"/>
  <c r="AR69" i="11"/>
  <c r="AX69" i="11"/>
  <c r="AR77" i="11"/>
  <c r="AX77" i="11"/>
  <c r="AY64" i="11"/>
  <c r="AX64" i="11"/>
  <c r="AT64" i="11"/>
  <c r="AW64" i="11"/>
  <c r="AS64" i="11"/>
  <c r="AR64" i="11"/>
  <c r="AO64" i="11"/>
  <c r="AN64" i="11"/>
  <c r="AW79" i="11"/>
  <c r="AO79" i="11"/>
  <c r="AY79" i="11"/>
  <c r="AX79" i="11"/>
  <c r="AN79" i="11"/>
  <c r="AR79" i="11"/>
  <c r="AW12" i="11"/>
  <c r="AT12" i="11"/>
  <c r="AS12" i="11"/>
  <c r="AR12" i="11"/>
  <c r="AO12" i="11"/>
  <c r="AY12" i="11"/>
  <c r="AN12" i="11"/>
  <c r="AX12" i="11"/>
  <c r="AT113" i="11"/>
  <c r="AW21" i="11"/>
  <c r="AO49" i="11"/>
  <c r="AY105" i="11"/>
  <c r="AW141" i="11"/>
  <c r="AS93" i="11"/>
  <c r="AN53" i="11"/>
  <c r="AR65" i="11"/>
  <c r="AT117" i="11"/>
  <c r="AO101" i="11"/>
  <c r="AO65" i="11"/>
  <c r="AT53" i="11"/>
  <c r="AS125" i="11"/>
  <c r="AX117" i="11"/>
  <c r="AX49" i="11"/>
  <c r="AT37" i="11"/>
  <c r="AW113" i="11"/>
  <c r="AY16" i="11"/>
  <c r="AX16" i="11"/>
  <c r="AW16" i="11"/>
  <c r="AR16" i="11"/>
  <c r="AO16" i="11"/>
  <c r="AN16" i="11"/>
  <c r="AT16" i="11"/>
  <c r="AS16" i="11"/>
  <c r="AW75" i="11"/>
  <c r="AO75" i="11"/>
  <c r="AY75" i="11"/>
  <c r="AX75" i="11"/>
  <c r="AN75" i="11"/>
  <c r="AY24" i="11"/>
  <c r="AW24" i="11"/>
  <c r="AX24" i="11"/>
  <c r="AT24" i="11"/>
  <c r="AR24" i="11"/>
  <c r="AO24" i="11"/>
  <c r="AN24" i="11"/>
  <c r="AS24" i="11"/>
  <c r="AW67" i="11"/>
  <c r="AO67" i="11"/>
  <c r="AY67" i="11"/>
  <c r="AN67" i="11"/>
  <c r="AX67" i="11"/>
  <c r="AW87" i="11"/>
  <c r="AO87" i="11"/>
  <c r="AY87" i="11"/>
  <c r="AX87" i="11"/>
  <c r="AN87" i="11"/>
  <c r="AR87" i="11"/>
  <c r="AY112" i="11"/>
  <c r="AX112" i="11"/>
  <c r="AW112" i="11"/>
  <c r="AT112" i="11"/>
  <c r="AS112" i="11"/>
  <c r="AR112" i="11"/>
  <c r="AO112" i="11"/>
  <c r="AN112" i="11"/>
  <c r="AE73" i="11"/>
  <c r="AR73" i="11"/>
  <c r="AX73" i="11"/>
  <c r="AD85" i="11"/>
  <c r="AX85" i="11"/>
  <c r="AR85" i="11"/>
  <c r="AD97" i="11"/>
  <c r="AR97" i="11"/>
  <c r="AX97" i="11"/>
  <c r="AX143" i="11"/>
  <c r="AW143" i="11"/>
  <c r="AO143" i="11"/>
  <c r="AN143" i="11"/>
  <c r="AY143" i="11"/>
  <c r="AR143" i="11"/>
  <c r="AW19" i="11"/>
  <c r="AO19" i="11"/>
  <c r="AY19" i="11"/>
  <c r="AX19" i="11"/>
  <c r="AN19" i="11"/>
  <c r="AW131" i="11"/>
  <c r="AN131" i="11"/>
  <c r="AO131" i="11"/>
  <c r="AX131" i="11"/>
  <c r="AY131" i="11"/>
  <c r="AR131" i="11"/>
  <c r="AW135" i="11"/>
  <c r="AN135" i="11"/>
  <c r="AO135" i="11"/>
  <c r="AY135" i="11"/>
  <c r="AX135" i="11"/>
  <c r="AY108" i="11"/>
  <c r="AX108" i="11"/>
  <c r="AW108" i="11"/>
  <c r="AT108" i="11"/>
  <c r="AS108" i="11"/>
  <c r="AR108" i="11"/>
  <c r="AO108" i="11"/>
  <c r="AN108" i="11"/>
  <c r="AW123" i="11"/>
  <c r="AO123" i="11"/>
  <c r="AY123" i="11"/>
  <c r="AX123" i="11"/>
  <c r="AN123" i="11"/>
  <c r="AR123" i="11"/>
  <c r="P92" i="11"/>
  <c r="AW89" i="11"/>
  <c r="AT49" i="11"/>
  <c r="AO105" i="11"/>
  <c r="AY121" i="11"/>
  <c r="AS53" i="11"/>
  <c r="AW117" i="11"/>
  <c r="AT101" i="11"/>
  <c r="AT65" i="11"/>
  <c r="AW53" i="11"/>
  <c r="AY133" i="11"/>
  <c r="AR49" i="11"/>
  <c r="AW37" i="11"/>
  <c r="BA19" i="9"/>
  <c r="AZ28" i="9"/>
  <c r="AX13" i="11"/>
  <c r="AR13" i="11"/>
  <c r="AO13" i="11"/>
  <c r="AT13" i="11"/>
  <c r="AW13" i="11"/>
  <c r="AY13" i="11"/>
  <c r="AS9" i="11"/>
  <c r="AX11" i="11"/>
  <c r="AO11" i="11"/>
  <c r="AW11" i="11"/>
  <c r="AN11" i="11"/>
  <c r="AY11" i="11"/>
  <c r="AX9" i="11"/>
  <c r="AR9" i="11"/>
  <c r="AY15" i="11"/>
  <c r="AX15" i="11"/>
  <c r="AW15" i="11"/>
  <c r="AO15" i="11"/>
  <c r="AN15" i="11"/>
  <c r="AS13" i="11"/>
  <c r="AN13" i="11"/>
  <c r="AI7" i="11"/>
  <c r="AY7" i="11"/>
  <c r="AX7" i="11"/>
  <c r="AW7" i="11"/>
  <c r="AO7" i="11"/>
  <c r="AN7" i="11"/>
  <c r="AY9" i="11"/>
  <c r="AO9" i="11"/>
  <c r="AT9" i="11"/>
  <c r="AW9" i="11"/>
  <c r="BA25" i="9"/>
  <c r="AO38" i="10"/>
  <c r="AL38" i="10"/>
  <c r="AJ38" i="10" s="1"/>
  <c r="AI30" i="11"/>
  <c r="AC30" i="11"/>
  <c r="AE30" i="11"/>
  <c r="AC138" i="11"/>
  <c r="AE138" i="11"/>
  <c r="P81" i="11"/>
  <c r="L81" i="11" s="1"/>
  <c r="AQ25" i="10" s="1"/>
  <c r="P105" i="11"/>
  <c r="L105" i="11" s="1"/>
  <c r="AQ31" i="10" s="1"/>
  <c r="AC105" i="11"/>
  <c r="AE105" i="11"/>
  <c r="AF105" i="11"/>
  <c r="AI104" i="11"/>
  <c r="AF104" i="11"/>
  <c r="AD104" i="11"/>
  <c r="AC109" i="11"/>
  <c r="AD137" i="11"/>
  <c r="AF137" i="11"/>
  <c r="AE97" i="11"/>
  <c r="AF77" i="11"/>
  <c r="AI72" i="11"/>
  <c r="AF72" i="11"/>
  <c r="AD72" i="11"/>
  <c r="AK73" i="11"/>
  <c r="P73" i="11"/>
  <c r="L73" i="11" s="1"/>
  <c r="AQ23" i="10" s="1"/>
  <c r="AE129" i="11"/>
  <c r="AF73" i="11"/>
  <c r="AI90" i="11"/>
  <c r="AC90" i="11"/>
  <c r="AE90" i="11"/>
  <c r="AI140" i="11"/>
  <c r="AF140" i="11"/>
  <c r="AD140" i="11"/>
  <c r="Y113" i="11"/>
  <c r="P113" i="11"/>
  <c r="L113" i="11" s="1"/>
  <c r="AQ33" i="10" s="1"/>
  <c r="AD113" i="11"/>
  <c r="AI83" i="11"/>
  <c r="AC83" i="11"/>
  <c r="AE83" i="11"/>
  <c r="AC141" i="11"/>
  <c r="AF129" i="11"/>
  <c r="AD105" i="11"/>
  <c r="AF97" i="11"/>
  <c r="AE113" i="11"/>
  <c r="AF89" i="11"/>
  <c r="AF57" i="11"/>
  <c r="AI136" i="11"/>
  <c r="AF136" i="11"/>
  <c r="AD136" i="11"/>
  <c r="AI50" i="11"/>
  <c r="AE50" i="11"/>
  <c r="AC50" i="11"/>
  <c r="AI109" i="11"/>
  <c r="P109" i="11"/>
  <c r="L109" i="11" s="1"/>
  <c r="AQ32" i="10" s="1"/>
  <c r="AK33" i="11"/>
  <c r="P33" i="11"/>
  <c r="L33" i="11" s="1"/>
  <c r="AQ13" i="10" s="1"/>
  <c r="AI22" i="11"/>
  <c r="AE22" i="11"/>
  <c r="AC22" i="11"/>
  <c r="X73" i="11"/>
  <c r="AE33" i="11"/>
  <c r="AE141" i="11"/>
  <c r="AD81" i="11"/>
  <c r="AC97" i="11"/>
  <c r="AF113" i="11"/>
  <c r="AC89" i="11"/>
  <c r="AC57" i="11"/>
  <c r="AC125" i="11"/>
  <c r="AI71" i="11"/>
  <c r="AC71" i="11"/>
  <c r="AE71" i="11"/>
  <c r="AI8" i="11"/>
  <c r="X118" i="11"/>
  <c r="P117" i="11"/>
  <c r="L117" i="11" s="1"/>
  <c r="AQ34" i="10" s="1"/>
  <c r="P41" i="11"/>
  <c r="L41" i="11" s="1"/>
  <c r="AQ15" i="10" s="1"/>
  <c r="AF41" i="11"/>
  <c r="AE41" i="11"/>
  <c r="AC41" i="11"/>
  <c r="AI74" i="11"/>
  <c r="AC74" i="11"/>
  <c r="AE74" i="11"/>
  <c r="X12" i="11"/>
  <c r="AF33" i="11"/>
  <c r="AD37" i="11"/>
  <c r="AF85" i="11"/>
  <c r="AD129" i="11"/>
  <c r="AC129" i="11"/>
  <c r="AC61" i="11"/>
  <c r="AC113" i="11"/>
  <c r="AE89" i="11"/>
  <c r="AD69" i="11"/>
  <c r="AE57" i="11"/>
  <c r="AF125" i="11"/>
  <c r="AI36" i="11"/>
  <c r="AF36" i="11"/>
  <c r="AD36" i="11"/>
  <c r="AI91" i="11"/>
  <c r="AE91" i="11"/>
  <c r="AC91" i="11"/>
  <c r="AE95" i="11"/>
  <c r="AC95" i="11"/>
  <c r="AI92" i="11"/>
  <c r="AF92" i="11"/>
  <c r="AD92" i="11"/>
  <c r="AI123" i="11"/>
  <c r="AE123" i="11"/>
  <c r="AC123" i="11"/>
  <c r="AD57" i="11"/>
  <c r="AD21" i="11"/>
  <c r="AF141" i="11"/>
  <c r="AD49" i="11"/>
  <c r="P28" i="11"/>
  <c r="AC17" i="11"/>
  <c r="AD141" i="11"/>
  <c r="AD29" i="11"/>
  <c r="AI28" i="11"/>
  <c r="AF28" i="11"/>
  <c r="AD28" i="11"/>
  <c r="AI116" i="11"/>
  <c r="AD116" i="11"/>
  <c r="AF116" i="11"/>
  <c r="AI68" i="11"/>
  <c r="AF68" i="11"/>
  <c r="AD68" i="11"/>
  <c r="AX5" i="11"/>
  <c r="AF61" i="11"/>
  <c r="AC93" i="11"/>
  <c r="AD93" i="11"/>
  <c r="AD65" i="11"/>
  <c r="AI84" i="11"/>
  <c r="AD84" i="11"/>
  <c r="AF84" i="11"/>
  <c r="X141" i="11"/>
  <c r="P141" i="11"/>
  <c r="L141" i="11" s="1"/>
  <c r="AQ40" i="10" s="1"/>
  <c r="AC58" i="11"/>
  <c r="AE58" i="11"/>
  <c r="AI120" i="11"/>
  <c r="AD120" i="11"/>
  <c r="AF120" i="11"/>
  <c r="AE114" i="11"/>
  <c r="AC114" i="11"/>
  <c r="AI133" i="11"/>
  <c r="P133" i="11"/>
  <c r="L133" i="11" s="1"/>
  <c r="AQ38" i="10" s="1"/>
  <c r="AF133" i="11"/>
  <c r="AE133" i="11"/>
  <c r="AC133" i="11"/>
  <c r="AE27" i="11"/>
  <c r="AC27" i="11"/>
  <c r="AI115" i="11"/>
  <c r="AC115" i="11"/>
  <c r="AE115" i="11"/>
  <c r="AI52" i="11"/>
  <c r="AD52" i="11"/>
  <c r="AF52" i="11"/>
  <c r="AI128" i="11"/>
  <c r="AF128" i="11"/>
  <c r="AD128" i="11"/>
  <c r="P49" i="11"/>
  <c r="L49" i="11" s="1"/>
  <c r="AQ17" i="10" s="1"/>
  <c r="AC49" i="11"/>
  <c r="AF49" i="11"/>
  <c r="AE49" i="11"/>
  <c r="AI130" i="11"/>
  <c r="AE130" i="11"/>
  <c r="AC130" i="11"/>
  <c r="AI48" i="11"/>
  <c r="AD48" i="11"/>
  <c r="AF48" i="11"/>
  <c r="AC33" i="11"/>
  <c r="AE85" i="11"/>
  <c r="AE17" i="11"/>
  <c r="AE61" i="11"/>
  <c r="AF93" i="11"/>
  <c r="AD117" i="11"/>
  <c r="AE125" i="11"/>
  <c r="AE31" i="11"/>
  <c r="AC31" i="11"/>
  <c r="AE38" i="11"/>
  <c r="AC38" i="11"/>
  <c r="AI76" i="11"/>
  <c r="AD76" i="11"/>
  <c r="AF76" i="11"/>
  <c r="X58" i="11"/>
  <c r="P57" i="11"/>
  <c r="L57" i="11" s="1"/>
  <c r="AQ19" i="10" s="1"/>
  <c r="AI124" i="11"/>
  <c r="AF124" i="11"/>
  <c r="AD124" i="11"/>
  <c r="AC62" i="11"/>
  <c r="AE62" i="11"/>
  <c r="AK53" i="11"/>
  <c r="P53" i="11"/>
  <c r="L53" i="11" s="1"/>
  <c r="AQ18" i="10" s="1"/>
  <c r="AI44" i="11"/>
  <c r="AF44" i="11"/>
  <c r="AD44" i="11"/>
  <c r="Z93" i="11"/>
  <c r="P93" i="11"/>
  <c r="L93" i="11" s="1"/>
  <c r="AQ28" i="10" s="1"/>
  <c r="AI56" i="11"/>
  <c r="AF56" i="11"/>
  <c r="AD56" i="11"/>
  <c r="AE111" i="11"/>
  <c r="AC111" i="11"/>
  <c r="X129" i="11"/>
  <c r="P129" i="11"/>
  <c r="L129" i="11" s="1"/>
  <c r="AQ37" i="10" s="1"/>
  <c r="AE107" i="11"/>
  <c r="AC107" i="11"/>
  <c r="AI139" i="11"/>
  <c r="AE139" i="11"/>
  <c r="AC139" i="11"/>
  <c r="P60" i="11"/>
  <c r="AC85" i="11"/>
  <c r="AE21" i="11"/>
  <c r="AC101" i="11"/>
  <c r="AD25" i="11"/>
  <c r="AF17" i="11"/>
  <c r="AE93" i="11"/>
  <c r="P68" i="11"/>
  <c r="AJ89" i="11"/>
  <c r="P89" i="11"/>
  <c r="L89" i="11" s="1"/>
  <c r="AQ27" i="10" s="1"/>
  <c r="AD89" i="11"/>
  <c r="AE119" i="11"/>
  <c r="AC119" i="11"/>
  <c r="AI42" i="11"/>
  <c r="AC42" i="11"/>
  <c r="AE42" i="11"/>
  <c r="P45" i="11"/>
  <c r="L45" i="11" s="1"/>
  <c r="AQ16" i="10" s="1"/>
  <c r="AF45" i="11"/>
  <c r="AE45" i="11"/>
  <c r="AC45" i="11"/>
  <c r="AI23" i="11"/>
  <c r="AE23" i="11"/>
  <c r="AC23" i="11"/>
  <c r="AI75" i="11"/>
  <c r="AE75" i="11"/>
  <c r="AC75" i="11"/>
  <c r="AE82" i="11"/>
  <c r="AC82" i="11"/>
  <c r="AI32" i="11"/>
  <c r="AF32" i="11"/>
  <c r="AD32" i="11"/>
  <c r="AI24" i="11"/>
  <c r="AF24" i="11"/>
  <c r="AD24" i="11"/>
  <c r="AI67" i="11"/>
  <c r="AC67" i="11"/>
  <c r="AE67" i="11"/>
  <c r="AI87" i="11"/>
  <c r="AE87" i="11"/>
  <c r="AC87" i="11"/>
  <c r="AC99" i="11"/>
  <c r="AE99" i="11"/>
  <c r="AI103" i="11"/>
  <c r="AC103" i="11"/>
  <c r="AE103" i="11"/>
  <c r="AE81" i="11"/>
  <c r="AF21" i="11"/>
  <c r="AE101" i="11"/>
  <c r="AE117" i="11"/>
  <c r="AT5" i="11"/>
  <c r="P5" i="11"/>
  <c r="X122" i="11"/>
  <c r="P121" i="11"/>
  <c r="L121" i="11" s="1"/>
  <c r="AQ35" i="10" s="1"/>
  <c r="AI63" i="11"/>
  <c r="AE63" i="11"/>
  <c r="AC63" i="11"/>
  <c r="AI46" i="11"/>
  <c r="AE46" i="11"/>
  <c r="AC46" i="11"/>
  <c r="AI96" i="11"/>
  <c r="AF96" i="11"/>
  <c r="AD96" i="11"/>
  <c r="AI80" i="11"/>
  <c r="AD80" i="11"/>
  <c r="AF80" i="11"/>
  <c r="AF81" i="11"/>
  <c r="AF121" i="11"/>
  <c r="AY5" i="11"/>
  <c r="AD33" i="11"/>
  <c r="AF101" i="11"/>
  <c r="AF117" i="11"/>
  <c r="AC69" i="11"/>
  <c r="X38" i="11"/>
  <c r="P37" i="11"/>
  <c r="L37" i="11" s="1"/>
  <c r="AQ14" i="10" s="1"/>
  <c r="P85" i="11"/>
  <c r="L85" i="11" s="1"/>
  <c r="AQ26" i="10" s="1"/>
  <c r="AI19" i="11"/>
  <c r="AC19" i="11"/>
  <c r="AE19" i="11"/>
  <c r="AI112" i="11"/>
  <c r="AD112" i="11"/>
  <c r="AF112" i="11"/>
  <c r="AI118" i="11"/>
  <c r="AE118" i="11"/>
  <c r="AC118" i="11"/>
  <c r="AC121" i="11"/>
  <c r="AE69" i="11"/>
  <c r="AE65" i="11"/>
  <c r="AE37" i="11"/>
  <c r="AI70" i="11"/>
  <c r="AE70" i="11"/>
  <c r="AC70" i="11"/>
  <c r="AI26" i="11"/>
  <c r="AE26" i="11"/>
  <c r="AC26" i="11"/>
  <c r="AI94" i="11"/>
  <c r="AC94" i="11"/>
  <c r="AE94" i="11"/>
  <c r="AI40" i="11"/>
  <c r="AF40" i="11"/>
  <c r="AD40" i="11"/>
  <c r="AD17" i="11"/>
  <c r="AE121" i="11"/>
  <c r="AC117" i="11"/>
  <c r="AE77" i="11"/>
  <c r="AI60" i="11"/>
  <c r="AF60" i="11"/>
  <c r="AD60" i="11"/>
  <c r="AF37" i="11"/>
  <c r="AI86" i="11"/>
  <c r="AC86" i="11"/>
  <c r="AE86" i="11"/>
  <c r="AI47" i="11"/>
  <c r="AE47" i="11"/>
  <c r="AC47" i="11"/>
  <c r="P29" i="11"/>
  <c r="L29" i="11" s="1"/>
  <c r="AQ12" i="10" s="1"/>
  <c r="AE29" i="11"/>
  <c r="AF29" i="11"/>
  <c r="AC29" i="11"/>
  <c r="X66" i="11"/>
  <c r="P65" i="11"/>
  <c r="L65" i="11" s="1"/>
  <c r="AQ21" i="10" s="1"/>
  <c r="AI126" i="11"/>
  <c r="AC126" i="11"/>
  <c r="AE126" i="11"/>
  <c r="AI64" i="11"/>
  <c r="AF64" i="11"/>
  <c r="AD64" i="11"/>
  <c r="AI79" i="11"/>
  <c r="AE79" i="11"/>
  <c r="AC79" i="11"/>
  <c r="AI106" i="11"/>
  <c r="AC106" i="11"/>
  <c r="AE106" i="11"/>
  <c r="AI78" i="11"/>
  <c r="AE78" i="11"/>
  <c r="AC78" i="11"/>
  <c r="AI98" i="11"/>
  <c r="AE98" i="11"/>
  <c r="AC98" i="11"/>
  <c r="AI108" i="11"/>
  <c r="AF108" i="11"/>
  <c r="AD108" i="11"/>
  <c r="AI127" i="11"/>
  <c r="AE127" i="11"/>
  <c r="AC127" i="11"/>
  <c r="AC81" i="11"/>
  <c r="P108" i="11"/>
  <c r="AC65" i="11"/>
  <c r="AD53" i="11"/>
  <c r="AI34" i="11"/>
  <c r="AE34" i="11"/>
  <c r="AC34" i="11"/>
  <c r="AI59" i="11"/>
  <c r="AE59" i="11"/>
  <c r="AC59" i="11"/>
  <c r="AI88" i="11"/>
  <c r="AF88" i="11"/>
  <c r="AD88" i="11"/>
  <c r="AI100" i="11"/>
  <c r="AF100" i="11"/>
  <c r="AD100" i="11"/>
  <c r="W97" i="11"/>
  <c r="P97" i="11"/>
  <c r="L97" i="11" s="1"/>
  <c r="AQ29" i="10" s="1"/>
  <c r="W69" i="11"/>
  <c r="P69" i="11"/>
  <c r="L69" i="11" s="1"/>
  <c r="AQ22" i="10" s="1"/>
  <c r="AI18" i="11"/>
  <c r="AE18" i="11"/>
  <c r="AC18" i="11"/>
  <c r="AI131" i="11"/>
  <c r="AC131" i="11"/>
  <c r="AE131" i="11"/>
  <c r="AI135" i="11"/>
  <c r="AC135" i="11"/>
  <c r="AE135" i="11"/>
  <c r="AI144" i="11"/>
  <c r="AD144" i="11"/>
  <c r="AF144" i="11"/>
  <c r="AE55" i="11"/>
  <c r="AC55" i="11"/>
  <c r="AI43" i="11"/>
  <c r="AE43" i="11"/>
  <c r="AC43" i="11"/>
  <c r="AI66" i="11"/>
  <c r="AE66" i="11"/>
  <c r="AC66" i="11"/>
  <c r="X101" i="11"/>
  <c r="P101" i="11"/>
  <c r="L101" i="11" s="1"/>
  <c r="AQ30" i="10" s="1"/>
  <c r="AD109" i="11"/>
  <c r="AE53" i="11"/>
  <c r="P140" i="11"/>
  <c r="AI122" i="11"/>
  <c r="AC122" i="11"/>
  <c r="AE122" i="11"/>
  <c r="AI134" i="11"/>
  <c r="AE134" i="11"/>
  <c r="AC134" i="11"/>
  <c r="X138" i="11"/>
  <c r="P137" i="11"/>
  <c r="L137" i="11" s="1"/>
  <c r="AQ39" i="10" s="1"/>
  <c r="AI20" i="11"/>
  <c r="AD20" i="11"/>
  <c r="AF20" i="11"/>
  <c r="X18" i="11"/>
  <c r="P17" i="11"/>
  <c r="AI143" i="11"/>
  <c r="AE143" i="11"/>
  <c r="AC143" i="11"/>
  <c r="AK77" i="11"/>
  <c r="P77" i="11"/>
  <c r="L77" i="11" s="1"/>
  <c r="AQ24" i="10" s="1"/>
  <c r="P13" i="11"/>
  <c r="AI132" i="11"/>
  <c r="AF132" i="11"/>
  <c r="AD132" i="11"/>
  <c r="AI110" i="11"/>
  <c r="AE110" i="11"/>
  <c r="AC110" i="11"/>
  <c r="AI142" i="11"/>
  <c r="AE142" i="11"/>
  <c r="AC142" i="11"/>
  <c r="P9" i="11"/>
  <c r="AI35" i="11"/>
  <c r="AE35" i="11"/>
  <c r="AC35" i="11"/>
  <c r="AI39" i="11"/>
  <c r="AC39" i="11"/>
  <c r="AE39" i="11"/>
  <c r="P125" i="11"/>
  <c r="L125" i="11" s="1"/>
  <c r="AQ36" i="10" s="1"/>
  <c r="X21" i="11"/>
  <c r="P21" i="11"/>
  <c r="L21" i="11" s="1"/>
  <c r="AQ10" i="10" s="1"/>
  <c r="AI51" i="11"/>
  <c r="AC51" i="11"/>
  <c r="AE51" i="11"/>
  <c r="AE54" i="11"/>
  <c r="AC54" i="11"/>
  <c r="P25" i="11"/>
  <c r="L25" i="11" s="1"/>
  <c r="AQ11" i="10" s="1"/>
  <c r="AE25" i="11"/>
  <c r="AC25" i="11"/>
  <c r="AF25" i="11"/>
  <c r="AK61" i="11"/>
  <c r="P61" i="11"/>
  <c r="L61" i="11" s="1"/>
  <c r="AQ20" i="10" s="1"/>
  <c r="AE109" i="11"/>
  <c r="AE137" i="11"/>
  <c r="AD73" i="11"/>
  <c r="AF53" i="11"/>
  <c r="AC73" i="11"/>
  <c r="P116" i="11"/>
  <c r="AC77" i="11"/>
  <c r="AD77" i="11"/>
  <c r="BA27" i="9"/>
  <c r="AZ16" i="9"/>
  <c r="AZ24" i="9"/>
  <c r="AZ15" i="9"/>
  <c r="AZ26" i="9"/>
  <c r="AE15" i="11"/>
  <c r="AC15" i="11"/>
  <c r="AI14" i="11"/>
  <c r="AE14" i="11"/>
  <c r="AC14" i="11"/>
  <c r="AI16" i="11"/>
  <c r="AF16" i="11"/>
  <c r="AD16" i="11"/>
  <c r="AC13" i="11"/>
  <c r="AE13" i="11"/>
  <c r="AF13" i="11"/>
  <c r="AD13" i="11"/>
  <c r="AD9" i="11"/>
  <c r="AI10" i="11"/>
  <c r="AE10" i="11"/>
  <c r="AC10" i="11"/>
  <c r="AC9" i="11"/>
  <c r="AE9" i="11"/>
  <c r="AI12" i="11"/>
  <c r="AF12" i="11"/>
  <c r="AD12" i="11"/>
  <c r="AF9" i="11"/>
  <c r="AI11" i="11"/>
  <c r="AE11" i="11"/>
  <c r="AC11" i="11"/>
  <c r="AI6" i="11"/>
  <c r="AC6" i="11"/>
  <c r="AE6" i="11"/>
  <c r="AO5" i="11"/>
  <c r="D129" i="11"/>
  <c r="T132" i="11" s="1"/>
  <c r="BR36" i="9"/>
  <c r="BV36" i="9" s="1"/>
  <c r="BB36" i="9" s="1"/>
  <c r="D141" i="11"/>
  <c r="T144" i="11" s="1"/>
  <c r="BR39" i="9"/>
  <c r="BV39" i="9" s="1"/>
  <c r="BB39" i="9" s="1"/>
  <c r="AZ21" i="9"/>
  <c r="BA23" i="9"/>
  <c r="BA7" i="9"/>
  <c r="BA20" i="9"/>
  <c r="AL39" i="10"/>
  <c r="AJ39" i="10" s="1"/>
  <c r="AN39" i="10"/>
  <c r="AZ35" i="9"/>
  <c r="BA35" i="9"/>
  <c r="AZ29" i="9"/>
  <c r="BA29" i="9"/>
  <c r="AZ30" i="9"/>
  <c r="BA30" i="9"/>
  <c r="AZ37" i="9"/>
  <c r="BA37" i="9"/>
  <c r="AZ31" i="9"/>
  <c r="BA31" i="9"/>
  <c r="BA12" i="9"/>
  <c r="AZ33" i="9"/>
  <c r="BA33" i="9"/>
  <c r="AZ36" i="9"/>
  <c r="BA36" i="9"/>
  <c r="AZ22" i="9"/>
  <c r="BA22" i="9"/>
  <c r="AZ38" i="9"/>
  <c r="BA38" i="9"/>
  <c r="BA34" i="9"/>
  <c r="AZ34" i="9"/>
  <c r="AZ32" i="9"/>
  <c r="BA32" i="9"/>
  <c r="BA5" i="9"/>
  <c r="BA10" i="9"/>
  <c r="W12" i="11"/>
  <c r="Y48" i="11"/>
  <c r="AJ48" i="11"/>
  <c r="W83" i="11"/>
  <c r="W73" i="11"/>
  <c r="AI73" i="11"/>
  <c r="Y73" i="11"/>
  <c r="X74" i="11"/>
  <c r="AI101" i="11"/>
  <c r="Z73" i="11"/>
  <c r="AI69" i="11"/>
  <c r="AJ73" i="11"/>
  <c r="AI55" i="11"/>
  <c r="AI25" i="11"/>
  <c r="AK125" i="11"/>
  <c r="AI21" i="11"/>
  <c r="AI119" i="11"/>
  <c r="AI105" i="11"/>
  <c r="AI114" i="11"/>
  <c r="AI58" i="11"/>
  <c r="AI31" i="11"/>
  <c r="AI117" i="11"/>
  <c r="AI38" i="11"/>
  <c r="AI54" i="11"/>
  <c r="AI138" i="11"/>
  <c r="AI97" i="11"/>
  <c r="AI33" i="11"/>
  <c r="AI41" i="11"/>
  <c r="Y12" i="11"/>
  <c r="AI129" i="11"/>
  <c r="AI77" i="11"/>
  <c r="AI95" i="11"/>
  <c r="AI45" i="11"/>
  <c r="Z12" i="11"/>
  <c r="AI53" i="11"/>
  <c r="AI13" i="11"/>
  <c r="AI85" i="11"/>
  <c r="AI15" i="11"/>
  <c r="AI27" i="11"/>
  <c r="AI49" i="11"/>
  <c r="AI93" i="11"/>
  <c r="AI113" i="11"/>
  <c r="AI137" i="11"/>
  <c r="AI111" i="11"/>
  <c r="AI107" i="11"/>
  <c r="Z137" i="11"/>
  <c r="AI62" i="11"/>
  <c r="AI57" i="11"/>
  <c r="AI65" i="11"/>
  <c r="AI99" i="11"/>
  <c r="X137" i="11"/>
  <c r="AI9" i="11"/>
  <c r="AI125" i="11"/>
  <c r="AI81" i="11"/>
  <c r="AJ12" i="11"/>
  <c r="AI37" i="11"/>
  <c r="AI89" i="11"/>
  <c r="AI29" i="11"/>
  <c r="AK12" i="11"/>
  <c r="AI61" i="11"/>
  <c r="AI121" i="11"/>
  <c r="AI17" i="11"/>
  <c r="AI82" i="11"/>
  <c r="AI141" i="11"/>
  <c r="AJ5" i="11"/>
  <c r="AI5" i="11"/>
  <c r="AJ41" i="11"/>
  <c r="X53" i="11"/>
  <c r="AK21" i="11"/>
  <c r="Y37" i="11"/>
  <c r="Z37" i="11"/>
  <c r="Y13" i="11"/>
  <c r="W113" i="11"/>
  <c r="AK128" i="11"/>
  <c r="AJ128" i="11"/>
  <c r="Z128" i="11"/>
  <c r="W128" i="11"/>
  <c r="Y128" i="11"/>
  <c r="X128" i="11"/>
  <c r="AK129" i="11"/>
  <c r="X56" i="11"/>
  <c r="W56" i="11"/>
  <c r="Y56" i="11"/>
  <c r="AK56" i="11"/>
  <c r="AJ56" i="11"/>
  <c r="Z56" i="11"/>
  <c r="Y100" i="11"/>
  <c r="X100" i="11"/>
  <c r="Z100" i="11"/>
  <c r="W100" i="11"/>
  <c r="AK100" i="11"/>
  <c r="AJ100" i="11"/>
  <c r="Z96" i="11"/>
  <c r="Y96" i="11"/>
  <c r="X96" i="11"/>
  <c r="W96" i="11"/>
  <c r="AK96" i="11"/>
  <c r="AJ96" i="11"/>
  <c r="Y131" i="11"/>
  <c r="Y130" i="11"/>
  <c r="W130" i="11"/>
  <c r="W9" i="11"/>
  <c r="Y137" i="11"/>
  <c r="W116" i="11"/>
  <c r="AK116" i="11"/>
  <c r="AJ116" i="11"/>
  <c r="Z116" i="11"/>
  <c r="Y116" i="11"/>
  <c r="X116" i="11"/>
  <c r="X134" i="11"/>
  <c r="Y133" i="11"/>
  <c r="X133" i="11"/>
  <c r="W133" i="11"/>
  <c r="AK133" i="11"/>
  <c r="Z133" i="11"/>
  <c r="AJ133" i="11"/>
  <c r="AJ20" i="11"/>
  <c r="AK20" i="11"/>
  <c r="Z20" i="11"/>
  <c r="Y20" i="11"/>
  <c r="X20" i="11"/>
  <c r="W20" i="11"/>
  <c r="W143" i="11"/>
  <c r="W19" i="11"/>
  <c r="Y127" i="11"/>
  <c r="Y126" i="11"/>
  <c r="W126" i="11"/>
  <c r="W139" i="11"/>
  <c r="X65" i="11"/>
  <c r="W127" i="11"/>
  <c r="AK16" i="11"/>
  <c r="AJ16" i="11"/>
  <c r="Z16" i="11"/>
  <c r="Y16" i="11"/>
  <c r="X16" i="11"/>
  <c r="W16" i="11"/>
  <c r="X64" i="11"/>
  <c r="AK64" i="11"/>
  <c r="W64" i="11"/>
  <c r="AJ64" i="11"/>
  <c r="Z64" i="11"/>
  <c r="Y64" i="11"/>
  <c r="Y65" i="11"/>
  <c r="AK101" i="11"/>
  <c r="AK124" i="11"/>
  <c r="AJ124" i="11"/>
  <c r="Z124" i="11"/>
  <c r="Y124" i="11"/>
  <c r="X124" i="11"/>
  <c r="W124" i="11"/>
  <c r="Z144" i="11"/>
  <c r="Y144" i="11"/>
  <c r="X144" i="11"/>
  <c r="AJ144" i="11"/>
  <c r="W144" i="11"/>
  <c r="AK144" i="11"/>
  <c r="W131" i="11"/>
  <c r="Y143" i="11"/>
  <c r="W142" i="11"/>
  <c r="Y142" i="11"/>
  <c r="W135" i="11"/>
  <c r="AK80" i="11"/>
  <c r="AJ80" i="11"/>
  <c r="Z80" i="11"/>
  <c r="Y80" i="11"/>
  <c r="X80" i="11"/>
  <c r="W80" i="11"/>
  <c r="W57" i="11"/>
  <c r="Y97" i="11"/>
  <c r="AK137" i="11"/>
  <c r="AJ137" i="11"/>
  <c r="AK141" i="11"/>
  <c r="X126" i="11"/>
  <c r="AJ125" i="11"/>
  <c r="W108" i="11"/>
  <c r="AK108" i="11"/>
  <c r="AJ108" i="11"/>
  <c r="Y108" i="11"/>
  <c r="Z108" i="11"/>
  <c r="X108" i="11"/>
  <c r="W112" i="11"/>
  <c r="AK112" i="11"/>
  <c r="AJ112" i="11"/>
  <c r="Z112" i="11"/>
  <c r="X112" i="11"/>
  <c r="Y112" i="11"/>
  <c r="Y57" i="11"/>
  <c r="AJ32" i="11"/>
  <c r="Z32" i="11"/>
  <c r="Y32" i="11"/>
  <c r="X32" i="11"/>
  <c r="W32" i="11"/>
  <c r="AK32" i="11"/>
  <c r="W132" i="11"/>
  <c r="X132" i="11"/>
  <c r="Y132" i="11"/>
  <c r="AK132" i="11"/>
  <c r="AJ132" i="11"/>
  <c r="Z132" i="11"/>
  <c r="X17" i="11"/>
  <c r="W125" i="11"/>
  <c r="X104" i="11"/>
  <c r="W104" i="11"/>
  <c r="Y104" i="11"/>
  <c r="AK104" i="11"/>
  <c r="AJ104" i="11"/>
  <c r="Z104" i="11"/>
  <c r="Z141" i="11"/>
  <c r="AK76" i="11"/>
  <c r="AJ76" i="11"/>
  <c r="Z76" i="11"/>
  <c r="Y76" i="11"/>
  <c r="X76" i="11"/>
  <c r="W76" i="11"/>
  <c r="AK120" i="11"/>
  <c r="AJ120" i="11"/>
  <c r="Z120" i="11"/>
  <c r="Y120" i="11"/>
  <c r="X120" i="11"/>
  <c r="W120" i="11"/>
  <c r="Y52" i="11"/>
  <c r="X52" i="11"/>
  <c r="W52" i="11"/>
  <c r="Z52" i="11"/>
  <c r="AK52" i="11"/>
  <c r="AJ52" i="11"/>
  <c r="Z92" i="11"/>
  <c r="Y92" i="11"/>
  <c r="X92" i="11"/>
  <c r="W92" i="11"/>
  <c r="AK92" i="11"/>
  <c r="AJ92" i="11"/>
  <c r="AK72" i="11"/>
  <c r="AJ72" i="11"/>
  <c r="Z72" i="11"/>
  <c r="Y72" i="11"/>
  <c r="X72" i="11"/>
  <c r="W72" i="11"/>
  <c r="Y135" i="11"/>
  <c r="Y134" i="11"/>
  <c r="W134" i="11"/>
  <c r="Y139" i="11"/>
  <c r="Y138" i="11"/>
  <c r="W138" i="11"/>
  <c r="Y17" i="11"/>
  <c r="X109" i="11"/>
  <c r="Y101" i="11"/>
  <c r="W137" i="11"/>
  <c r="X125" i="11"/>
  <c r="Z84" i="11"/>
  <c r="Y84" i="11"/>
  <c r="X84" i="11"/>
  <c r="W84" i="11"/>
  <c r="AJ84" i="11"/>
  <c r="AK84" i="11"/>
  <c r="Z17" i="11"/>
  <c r="Z101" i="11"/>
  <c r="Y125" i="11"/>
  <c r="W129" i="11"/>
  <c r="W141" i="11"/>
  <c r="Z44" i="11"/>
  <c r="Y44" i="11"/>
  <c r="X44" i="11"/>
  <c r="W44" i="11"/>
  <c r="AK44" i="11"/>
  <c r="AJ44" i="11"/>
  <c r="AJ88" i="11"/>
  <c r="Z88" i="11"/>
  <c r="Y88" i="11"/>
  <c r="X88" i="11"/>
  <c r="W88" i="11"/>
  <c r="AK88" i="11"/>
  <c r="Z125" i="11"/>
  <c r="AK68" i="11"/>
  <c r="AJ68" i="11"/>
  <c r="W68" i="11"/>
  <c r="Z68" i="11"/>
  <c r="Y68" i="11"/>
  <c r="X68" i="11"/>
  <c r="X130" i="11"/>
  <c r="AJ129" i="11"/>
  <c r="Z140" i="11"/>
  <c r="Y140" i="11"/>
  <c r="X140" i="11"/>
  <c r="W140" i="11"/>
  <c r="AK140" i="11"/>
  <c r="AJ140" i="11"/>
  <c r="Y136" i="11"/>
  <c r="X136" i="11"/>
  <c r="W136" i="11"/>
  <c r="Z136" i="11"/>
  <c r="AK136" i="11"/>
  <c r="AJ136" i="11"/>
  <c r="Z40" i="11"/>
  <c r="Y40" i="11"/>
  <c r="X40" i="11"/>
  <c r="W40" i="11"/>
  <c r="AJ40" i="11"/>
  <c r="AK40" i="11"/>
  <c r="Y129" i="11"/>
  <c r="X142" i="11"/>
  <c r="AJ141" i="11"/>
  <c r="AS8" i="11"/>
  <c r="AR8" i="11"/>
  <c r="AO8" i="11"/>
  <c r="AT8" i="11"/>
  <c r="AN8" i="11"/>
  <c r="AK8" i="11"/>
  <c r="AJ8" i="11"/>
  <c r="AF8" i="11"/>
  <c r="AD8" i="11"/>
  <c r="Z8" i="11"/>
  <c r="Y8" i="11"/>
  <c r="X8" i="11"/>
  <c r="W8" i="11"/>
  <c r="W53" i="11"/>
  <c r="Z129" i="11"/>
  <c r="Y141" i="11"/>
  <c r="Y121" i="11"/>
  <c r="X113" i="11"/>
  <c r="AK117" i="11"/>
  <c r="X114" i="11"/>
  <c r="Z113" i="11"/>
  <c r="AJ121" i="11"/>
  <c r="W115" i="11"/>
  <c r="AJ117" i="11"/>
  <c r="Z121" i="11"/>
  <c r="AK113" i="11"/>
  <c r="AJ113" i="11"/>
  <c r="X117" i="11"/>
  <c r="AK121" i="11"/>
  <c r="Y117" i="11"/>
  <c r="Z117" i="11"/>
  <c r="W122" i="11"/>
  <c r="Y123" i="11"/>
  <c r="Y122" i="11"/>
  <c r="W121" i="11"/>
  <c r="W117" i="11"/>
  <c r="Y119" i="11"/>
  <c r="Y118" i="11"/>
  <c r="W118" i="11"/>
  <c r="Y115" i="11"/>
  <c r="Y114" i="11"/>
  <c r="W114" i="11"/>
  <c r="W119" i="11"/>
  <c r="X121" i="11"/>
  <c r="Y106" i="11"/>
  <c r="Y107" i="11"/>
  <c r="W106" i="11"/>
  <c r="Y110" i="11"/>
  <c r="W110" i="11"/>
  <c r="Y111" i="11"/>
  <c r="W103" i="11"/>
  <c r="AJ105" i="11"/>
  <c r="Y109" i="11"/>
  <c r="Z109" i="11"/>
  <c r="X106" i="11"/>
  <c r="W105" i="11"/>
  <c r="AK105" i="11"/>
  <c r="Y105" i="11"/>
  <c r="Z105" i="11"/>
  <c r="X105" i="11"/>
  <c r="W101" i="11"/>
  <c r="X110" i="11"/>
  <c r="AJ109" i="11"/>
  <c r="X102" i="11"/>
  <c r="AJ101" i="11"/>
  <c r="AK109" i="11"/>
  <c r="W111" i="11"/>
  <c r="W107" i="11"/>
  <c r="W109" i="11"/>
  <c r="Y95" i="11"/>
  <c r="Y94" i="11"/>
  <c r="W94" i="11"/>
  <c r="X93" i="11"/>
  <c r="AK89" i="11"/>
  <c r="W93" i="11"/>
  <c r="Y91" i="11"/>
  <c r="Y90" i="11"/>
  <c r="W90" i="11"/>
  <c r="AK93" i="11"/>
  <c r="W91" i="11"/>
  <c r="X90" i="11"/>
  <c r="W95" i="11"/>
  <c r="Z97" i="11"/>
  <c r="W89" i="11"/>
  <c r="AK97" i="11"/>
  <c r="X89" i="11"/>
  <c r="Y89" i="11"/>
  <c r="Z89" i="11"/>
  <c r="W99" i="11"/>
  <c r="X98" i="11"/>
  <c r="AJ97" i="11"/>
  <c r="Y93" i="11"/>
  <c r="X97" i="11"/>
  <c r="X94" i="11"/>
  <c r="AJ93" i="11"/>
  <c r="Y99" i="11"/>
  <c r="W98" i="11"/>
  <c r="Y98" i="11"/>
  <c r="W87" i="11"/>
  <c r="Y86" i="11"/>
  <c r="W86" i="11"/>
  <c r="Y87" i="11"/>
  <c r="AK85" i="11"/>
  <c r="X85" i="11"/>
  <c r="Y85" i="11"/>
  <c r="Z85" i="11"/>
  <c r="W85" i="11"/>
  <c r="X86" i="11"/>
  <c r="AJ85" i="11"/>
  <c r="Y82" i="11"/>
  <c r="W82" i="11"/>
  <c r="Y83" i="11"/>
  <c r="AK81" i="11"/>
  <c r="W81" i="11"/>
  <c r="X81" i="11"/>
  <c r="Y81" i="11"/>
  <c r="Z81" i="11"/>
  <c r="X82" i="11"/>
  <c r="AJ81" i="11"/>
  <c r="W79" i="11"/>
  <c r="W78" i="11"/>
  <c r="Y79" i="11"/>
  <c r="Y78" i="11"/>
  <c r="X78" i="11"/>
  <c r="AJ77" i="11"/>
  <c r="W77" i="11"/>
  <c r="X77" i="11"/>
  <c r="Y77" i="11"/>
  <c r="Z77" i="11"/>
  <c r="W75" i="11"/>
  <c r="Y75" i="11"/>
  <c r="Y74" i="11"/>
  <c r="W74" i="11"/>
  <c r="W71" i="11"/>
  <c r="Y71" i="11"/>
  <c r="Y70" i="11"/>
  <c r="W70" i="11"/>
  <c r="X70" i="11"/>
  <c r="AJ69" i="11"/>
  <c r="X69" i="11"/>
  <c r="Y69" i="11"/>
  <c r="Z69" i="11"/>
  <c r="AK69" i="11"/>
  <c r="Y53" i="11"/>
  <c r="Z65" i="11"/>
  <c r="Z57" i="11"/>
  <c r="Z53" i="11"/>
  <c r="AJ57" i="11"/>
  <c r="AK65" i="11"/>
  <c r="W67" i="11"/>
  <c r="W55" i="11"/>
  <c r="X62" i="11"/>
  <c r="AJ61" i="11"/>
  <c r="W59" i="11"/>
  <c r="AJ65" i="11"/>
  <c r="Y67" i="11"/>
  <c r="Y66" i="11"/>
  <c r="W66" i="11"/>
  <c r="W61" i="11"/>
  <c r="X61" i="11"/>
  <c r="Y61" i="11"/>
  <c r="AK57" i="11"/>
  <c r="Y55" i="11"/>
  <c r="Y54" i="11"/>
  <c r="W54" i="11"/>
  <c r="Y62" i="11"/>
  <c r="W62" i="11"/>
  <c r="Y63" i="11"/>
  <c r="Z61" i="11"/>
  <c r="W58" i="11"/>
  <c r="Y59" i="11"/>
  <c r="Y58" i="11"/>
  <c r="X54" i="11"/>
  <c r="AJ53" i="11"/>
  <c r="X57" i="11"/>
  <c r="W63" i="11"/>
  <c r="W65" i="11"/>
  <c r="AJ49" i="11"/>
  <c r="X46" i="11"/>
  <c r="X45" i="11"/>
  <c r="AK45" i="11"/>
  <c r="W45" i="11"/>
  <c r="Z45" i="11"/>
  <c r="Y45" i="11"/>
  <c r="Y38" i="11"/>
  <c r="W38" i="11"/>
  <c r="Y39" i="11"/>
  <c r="Y47" i="11"/>
  <c r="Y46" i="11"/>
  <c r="W46" i="11"/>
  <c r="AK37" i="11"/>
  <c r="W51" i="11"/>
  <c r="AJ37" i="11"/>
  <c r="W43" i="11"/>
  <c r="W47" i="11"/>
  <c r="Y51" i="11"/>
  <c r="Y50" i="11"/>
  <c r="W50" i="11"/>
  <c r="W37" i="11"/>
  <c r="AJ45" i="11"/>
  <c r="X50" i="11"/>
  <c r="X49" i="11"/>
  <c r="Z49" i="11"/>
  <c r="AK49" i="11"/>
  <c r="W49" i="11"/>
  <c r="Y49" i="11"/>
  <c r="W39" i="11"/>
  <c r="Y43" i="11"/>
  <c r="Y42" i="11"/>
  <c r="W42" i="11"/>
  <c r="X42" i="11"/>
  <c r="Z41" i="11"/>
  <c r="Y41" i="11"/>
  <c r="X41" i="11"/>
  <c r="W41" i="11"/>
  <c r="AK41" i="11"/>
  <c r="X37" i="11"/>
  <c r="W35" i="11"/>
  <c r="W34" i="11"/>
  <c r="Y35" i="11"/>
  <c r="Y34" i="11"/>
  <c r="X34" i="11"/>
  <c r="AJ33" i="11"/>
  <c r="W33" i="11"/>
  <c r="X33" i="11"/>
  <c r="Y33" i="11"/>
  <c r="Z33" i="11"/>
  <c r="W27" i="11"/>
  <c r="Y27" i="11"/>
  <c r="Y26" i="11"/>
  <c r="W26" i="11"/>
  <c r="AJ25" i="11"/>
  <c r="X26" i="11"/>
  <c r="W25" i="11"/>
  <c r="Z25" i="11"/>
  <c r="X25" i="11"/>
  <c r="Y25" i="11"/>
  <c r="AK25" i="11"/>
  <c r="Y19" i="11"/>
  <c r="Y18" i="11"/>
  <c r="W18" i="11"/>
  <c r="W11" i="11"/>
  <c r="AK36" i="11"/>
  <c r="AJ36" i="11"/>
  <c r="Z36" i="11"/>
  <c r="Y36" i="11"/>
  <c r="X36" i="11"/>
  <c r="W36" i="11"/>
  <c r="AJ29" i="11"/>
  <c r="X30" i="11"/>
  <c r="Z29" i="11"/>
  <c r="Y29" i="11"/>
  <c r="X29" i="11"/>
  <c r="W29" i="11"/>
  <c r="AK29" i="11"/>
  <c r="Y31" i="11"/>
  <c r="Y30" i="11"/>
  <c r="W30" i="11"/>
  <c r="W31" i="11"/>
  <c r="Z28" i="11"/>
  <c r="Y28" i="11"/>
  <c r="X28" i="11"/>
  <c r="AK28" i="11"/>
  <c r="AJ28" i="11"/>
  <c r="W28" i="11"/>
  <c r="Y24" i="11"/>
  <c r="X24" i="11"/>
  <c r="W24" i="11"/>
  <c r="AK24" i="11"/>
  <c r="AJ24" i="11"/>
  <c r="Z24" i="11"/>
  <c r="W23" i="11"/>
  <c r="X22" i="11"/>
  <c r="AJ21" i="11"/>
  <c r="W21" i="11"/>
  <c r="Y21" i="11"/>
  <c r="Z21" i="11"/>
  <c r="Y23" i="11"/>
  <c r="Y22" i="11"/>
  <c r="W22" i="11"/>
  <c r="AK17" i="11"/>
  <c r="AJ17" i="11"/>
  <c r="W17" i="11"/>
  <c r="X13" i="11"/>
  <c r="Z13" i="11"/>
  <c r="W15" i="11"/>
  <c r="Y14" i="11"/>
  <c r="W14" i="11"/>
  <c r="Y15" i="11"/>
  <c r="AK13" i="11"/>
  <c r="X14" i="11"/>
  <c r="AJ13" i="11"/>
  <c r="W13" i="11"/>
  <c r="X9" i="11"/>
  <c r="Y9" i="11"/>
  <c r="Z9" i="11"/>
  <c r="W10" i="11"/>
  <c r="Y11" i="11"/>
  <c r="Y10" i="11"/>
  <c r="X10" i="11"/>
  <c r="AJ9" i="11"/>
  <c r="AK9" i="11"/>
  <c r="AE7" i="11"/>
  <c r="AC7" i="11"/>
  <c r="W7" i="11"/>
  <c r="AR7" i="11"/>
  <c r="Y7" i="11"/>
  <c r="Y6" i="11"/>
  <c r="W6" i="11"/>
  <c r="AR6" i="11"/>
  <c r="AD5" i="11"/>
  <c r="X6" i="11"/>
  <c r="Y5" i="11"/>
  <c r="AN5" i="11"/>
  <c r="X5" i="11"/>
  <c r="W5" i="11"/>
  <c r="AS5" i="11"/>
  <c r="AK5" i="11"/>
  <c r="AF5" i="11"/>
  <c r="AE5" i="11"/>
  <c r="AC5" i="11"/>
  <c r="Z5" i="11"/>
  <c r="AR5" i="11"/>
  <c r="E37" i="10"/>
  <c r="BT36" i="9" s="1"/>
  <c r="E38" i="10" l="1"/>
  <c r="BT37" i="9" s="1"/>
  <c r="Q40" i="10"/>
  <c r="Q36" i="10"/>
  <c r="Q38" i="10"/>
  <c r="Q39" i="10"/>
  <c r="Q37" i="10"/>
  <c r="P143" i="11"/>
  <c r="T131" i="11"/>
  <c r="P131" i="11"/>
  <c r="T129" i="11"/>
  <c r="T143" i="11"/>
  <c r="T141" i="11"/>
  <c r="T142" i="11"/>
  <c r="E39" i="10"/>
  <c r="BT38" i="9" s="1"/>
  <c r="T130" i="11"/>
  <c r="D137" i="11"/>
  <c r="BR38" i="9"/>
  <c r="BV38" i="9" s="1"/>
  <c r="BB38" i="9" s="1"/>
  <c r="D133" i="11"/>
  <c r="T136" i="11" s="1"/>
  <c r="BR37" i="9"/>
  <c r="BV37" i="9" s="1"/>
  <c r="BB37" i="9" s="1"/>
  <c r="AF40" i="6"/>
  <c r="AF39" i="6"/>
  <c r="AF38" i="6"/>
  <c r="AF37" i="6"/>
  <c r="AF36" i="6"/>
  <c r="AF35" i="6"/>
  <c r="AF34" i="6"/>
  <c r="AF33" i="6"/>
  <c r="AF32" i="6"/>
  <c r="AD31" i="9" s="1"/>
  <c r="AF31" i="6"/>
  <c r="AD30" i="9" s="1"/>
  <c r="AF30" i="6"/>
  <c r="AD29" i="9" s="1"/>
  <c r="AF29" i="6"/>
  <c r="AF28" i="6"/>
  <c r="AF27" i="6"/>
  <c r="AF26" i="6"/>
  <c r="AF25" i="6"/>
  <c r="AF24" i="6"/>
  <c r="AF23" i="6"/>
  <c r="AD22" i="9" s="1"/>
  <c r="AF22" i="6"/>
  <c r="AF21" i="6"/>
  <c r="AF20" i="6"/>
  <c r="AF19" i="6"/>
  <c r="AF18" i="6"/>
  <c r="AF17" i="6"/>
  <c r="AF16" i="6"/>
  <c r="AF15" i="6"/>
  <c r="AF14" i="6"/>
  <c r="AF13" i="6"/>
  <c r="AD12" i="9" s="1"/>
  <c r="AF12" i="6"/>
  <c r="AF11" i="6"/>
  <c r="AF10" i="6"/>
  <c r="AF9" i="6"/>
  <c r="AD8" i="9" s="1"/>
  <c r="AF8" i="6"/>
  <c r="AD7" i="9" s="1"/>
  <c r="AF7" i="6"/>
  <c r="AD6" i="9" s="1"/>
  <c r="I29" i="9"/>
  <c r="H29" i="9"/>
  <c r="I28" i="9"/>
  <c r="H28" i="9"/>
  <c r="I27" i="9"/>
  <c r="H27" i="9"/>
  <c r="I26" i="9"/>
  <c r="H26" i="9"/>
  <c r="I25" i="9"/>
  <c r="H25" i="9"/>
  <c r="I24" i="9"/>
  <c r="H24" i="9"/>
  <c r="I22" i="9"/>
  <c r="H22" i="9"/>
  <c r="I21" i="9"/>
  <c r="H21" i="9"/>
  <c r="I20" i="9"/>
  <c r="H20" i="9"/>
  <c r="I19" i="9"/>
  <c r="H19" i="9"/>
  <c r="I18" i="9"/>
  <c r="H18" i="9"/>
  <c r="F144" i="8"/>
  <c r="J144" i="8" s="1"/>
  <c r="Q144" i="8" s="1"/>
  <c r="F143" i="8"/>
  <c r="J143" i="8" s="1"/>
  <c r="F142" i="8"/>
  <c r="J142" i="8" s="1"/>
  <c r="F141" i="8"/>
  <c r="J141" i="8" s="1"/>
  <c r="F140" i="8"/>
  <c r="J140" i="8" s="1"/>
  <c r="Q140" i="8" s="1"/>
  <c r="F139" i="8"/>
  <c r="G139" i="8" s="1"/>
  <c r="F138" i="8"/>
  <c r="J138" i="8" s="1"/>
  <c r="F137" i="8"/>
  <c r="J137" i="8" s="1"/>
  <c r="F136" i="8"/>
  <c r="J136" i="8" s="1"/>
  <c r="Q136" i="8" s="1"/>
  <c r="F135" i="8"/>
  <c r="G135" i="8" s="1"/>
  <c r="F134" i="8"/>
  <c r="J134" i="8" s="1"/>
  <c r="F133" i="8"/>
  <c r="I133" i="8" s="1"/>
  <c r="F132" i="8"/>
  <c r="J132" i="8" s="1"/>
  <c r="Q132" i="8" s="1"/>
  <c r="F131" i="8"/>
  <c r="J131" i="8" s="1"/>
  <c r="F130" i="8"/>
  <c r="H130" i="8" s="1"/>
  <c r="F129" i="8"/>
  <c r="J129" i="8" s="1"/>
  <c r="F128" i="8"/>
  <c r="J128" i="8" s="1"/>
  <c r="Q128" i="8" s="1"/>
  <c r="F127" i="8"/>
  <c r="J127" i="8" s="1"/>
  <c r="F126" i="8"/>
  <c r="J126" i="8" s="1"/>
  <c r="F125" i="8"/>
  <c r="I125" i="8" s="1"/>
  <c r="F124" i="8"/>
  <c r="H124" i="8" s="1"/>
  <c r="F123" i="8"/>
  <c r="J123" i="8" s="1"/>
  <c r="F122" i="8"/>
  <c r="I122" i="8" s="1"/>
  <c r="F121" i="8"/>
  <c r="J121" i="8" s="1"/>
  <c r="F120" i="8"/>
  <c r="J120" i="8" s="1"/>
  <c r="Q120" i="8" s="1"/>
  <c r="F119" i="8"/>
  <c r="J119" i="8" s="1"/>
  <c r="F118" i="8"/>
  <c r="J118" i="8" s="1"/>
  <c r="F117" i="8"/>
  <c r="J117" i="8" s="1"/>
  <c r="F116" i="8"/>
  <c r="H116" i="8" s="1"/>
  <c r="F115" i="8"/>
  <c r="G115" i="8" s="1"/>
  <c r="F114" i="8"/>
  <c r="J114" i="8" s="1"/>
  <c r="F113" i="8"/>
  <c r="G113" i="8" s="1"/>
  <c r="F112" i="8"/>
  <c r="J112" i="8" s="1"/>
  <c r="Q112" i="8" s="1"/>
  <c r="F111" i="8"/>
  <c r="J111" i="8" s="1"/>
  <c r="F110" i="8"/>
  <c r="J110" i="8" s="1"/>
  <c r="F109" i="8"/>
  <c r="J109" i="8" s="1"/>
  <c r="F108" i="8"/>
  <c r="J108" i="8" s="1"/>
  <c r="Q108" i="8" s="1"/>
  <c r="F107" i="8"/>
  <c r="J107" i="8" s="1"/>
  <c r="F106" i="8"/>
  <c r="J106" i="8" s="1"/>
  <c r="F105" i="8"/>
  <c r="J105" i="8" s="1"/>
  <c r="F104" i="8"/>
  <c r="J104" i="8" s="1"/>
  <c r="Q104" i="8" s="1"/>
  <c r="F103" i="8"/>
  <c r="H103" i="8" s="1"/>
  <c r="F102" i="8"/>
  <c r="J102" i="8" s="1"/>
  <c r="F101" i="8"/>
  <c r="I101" i="8" s="1"/>
  <c r="F100" i="8"/>
  <c r="J100" i="8" s="1"/>
  <c r="Q100" i="8" s="1"/>
  <c r="F99" i="8"/>
  <c r="J99" i="8" s="1"/>
  <c r="F98" i="8"/>
  <c r="J98" i="8" s="1"/>
  <c r="F97" i="8"/>
  <c r="J97" i="8" s="1"/>
  <c r="F96" i="8"/>
  <c r="J96" i="8" s="1"/>
  <c r="Q96" i="8" s="1"/>
  <c r="F95" i="8"/>
  <c r="J95" i="8" s="1"/>
  <c r="F94" i="8"/>
  <c r="J94" i="8" s="1"/>
  <c r="F93" i="8"/>
  <c r="I93" i="8" s="1"/>
  <c r="F92" i="8"/>
  <c r="J92" i="8" s="1"/>
  <c r="Q92" i="8" s="1"/>
  <c r="F91" i="8"/>
  <c r="J91" i="8" s="1"/>
  <c r="F90" i="8"/>
  <c r="J90" i="8" s="1"/>
  <c r="F89" i="8"/>
  <c r="I89" i="8" s="1"/>
  <c r="F88" i="8"/>
  <c r="I88" i="8" s="1"/>
  <c r="F87" i="8"/>
  <c r="H87" i="8" s="1"/>
  <c r="F86" i="8"/>
  <c r="J86" i="8" s="1"/>
  <c r="F85" i="8"/>
  <c r="J85" i="8" s="1"/>
  <c r="F84" i="8"/>
  <c r="J84" i="8" s="1"/>
  <c r="Q84" i="8" s="1"/>
  <c r="F83" i="8"/>
  <c r="J83" i="8" s="1"/>
  <c r="F82" i="8"/>
  <c r="J82" i="8" s="1"/>
  <c r="F81" i="8"/>
  <c r="J81" i="8" s="1"/>
  <c r="F80" i="8"/>
  <c r="J80" i="8" s="1"/>
  <c r="Q80" i="8" s="1"/>
  <c r="F79" i="8"/>
  <c r="J79" i="8" s="1"/>
  <c r="F78" i="8"/>
  <c r="J78" i="8" s="1"/>
  <c r="F77" i="8"/>
  <c r="I77" i="8" s="1"/>
  <c r="F76" i="8"/>
  <c r="J76" i="8" s="1"/>
  <c r="Q76" i="8" s="1"/>
  <c r="F75" i="8"/>
  <c r="G75" i="8" s="1"/>
  <c r="F74" i="8"/>
  <c r="J74" i="8" s="1"/>
  <c r="F73" i="8"/>
  <c r="H73" i="8" s="1"/>
  <c r="F72" i="8"/>
  <c r="J72" i="8" s="1"/>
  <c r="Q72" i="8" s="1"/>
  <c r="F71" i="8"/>
  <c r="G71" i="8" s="1"/>
  <c r="F70" i="8"/>
  <c r="J70" i="8" s="1"/>
  <c r="F69" i="8"/>
  <c r="I69" i="8" s="1"/>
  <c r="F68" i="8"/>
  <c r="J68" i="8" s="1"/>
  <c r="Q68" i="8" s="1"/>
  <c r="F67" i="8"/>
  <c r="J67" i="8" s="1"/>
  <c r="F66" i="8"/>
  <c r="J66" i="8" s="1"/>
  <c r="F65" i="8"/>
  <c r="J65" i="8" s="1"/>
  <c r="F64" i="8"/>
  <c r="J64" i="8" s="1"/>
  <c r="Q64" i="8" s="1"/>
  <c r="F63" i="8"/>
  <c r="J63" i="8" s="1"/>
  <c r="F62" i="8"/>
  <c r="J62" i="8" s="1"/>
  <c r="F61" i="8"/>
  <c r="G61" i="8" s="1"/>
  <c r="F60" i="8"/>
  <c r="G60" i="8" s="1"/>
  <c r="F59" i="8"/>
  <c r="J59" i="8" s="1"/>
  <c r="F58" i="8"/>
  <c r="H58" i="8" s="1"/>
  <c r="F57" i="8"/>
  <c r="J57" i="8" s="1"/>
  <c r="F56" i="8"/>
  <c r="J56" i="8" s="1"/>
  <c r="Q56" i="8" s="1"/>
  <c r="F55" i="8"/>
  <c r="J55" i="8" s="1"/>
  <c r="F54" i="8"/>
  <c r="J54" i="8" s="1"/>
  <c r="F53" i="8"/>
  <c r="J53" i="8" s="1"/>
  <c r="F52" i="8"/>
  <c r="I52" i="8" s="1"/>
  <c r="F51" i="8"/>
  <c r="I51" i="8" s="1"/>
  <c r="F50" i="8"/>
  <c r="J50" i="8" s="1"/>
  <c r="F49" i="8"/>
  <c r="J49" i="8" s="1"/>
  <c r="F48" i="8"/>
  <c r="H48" i="8" s="1"/>
  <c r="F47" i="8"/>
  <c r="J47" i="8" s="1"/>
  <c r="F46" i="8"/>
  <c r="J46" i="8" s="1"/>
  <c r="F45" i="8"/>
  <c r="J45" i="8" s="1"/>
  <c r="F44" i="8"/>
  <c r="J44" i="8" s="1"/>
  <c r="Q44" i="8" s="1"/>
  <c r="F43" i="8"/>
  <c r="J43" i="8" s="1"/>
  <c r="F42" i="8"/>
  <c r="J42" i="8" s="1"/>
  <c r="F41" i="8"/>
  <c r="J41" i="8" s="1"/>
  <c r="F40" i="8"/>
  <c r="J40" i="8" s="1"/>
  <c r="Q40" i="8" s="1"/>
  <c r="F39" i="8"/>
  <c r="J39" i="8" s="1"/>
  <c r="F38" i="8"/>
  <c r="J38" i="8" s="1"/>
  <c r="F37" i="8"/>
  <c r="I37" i="8" s="1"/>
  <c r="F36" i="8"/>
  <c r="J36" i="8" s="1"/>
  <c r="Q36" i="8" s="1"/>
  <c r="F35" i="8"/>
  <c r="J35" i="8" s="1"/>
  <c r="F34" i="8"/>
  <c r="J34" i="8" s="1"/>
  <c r="F33" i="8"/>
  <c r="J33" i="8" s="1"/>
  <c r="F32" i="8"/>
  <c r="G32" i="8" s="1"/>
  <c r="F31" i="8"/>
  <c r="J31" i="8" s="1"/>
  <c r="F30" i="8"/>
  <c r="J30" i="8" s="1"/>
  <c r="F29" i="8"/>
  <c r="I29" i="8" s="1"/>
  <c r="F28" i="8"/>
  <c r="G28" i="8" s="1"/>
  <c r="F27" i="8"/>
  <c r="J27" i="8" s="1"/>
  <c r="F26" i="8"/>
  <c r="I26" i="8" s="1"/>
  <c r="F25" i="8"/>
  <c r="H25" i="8" s="1"/>
  <c r="F24" i="8"/>
  <c r="J24" i="8" s="1"/>
  <c r="Q24" i="8" s="1"/>
  <c r="F23" i="8"/>
  <c r="J23" i="8" s="1"/>
  <c r="F22" i="8"/>
  <c r="I22" i="8" s="1"/>
  <c r="F21" i="8"/>
  <c r="I21" i="8" s="1"/>
  <c r="F20" i="8"/>
  <c r="G20" i="8" s="1"/>
  <c r="F19" i="8"/>
  <c r="J19" i="8" s="1"/>
  <c r="F18" i="8"/>
  <c r="J18" i="8" s="1"/>
  <c r="F17" i="8"/>
  <c r="I17" i="8" s="1"/>
  <c r="F16" i="8"/>
  <c r="J16" i="8" s="1"/>
  <c r="Q16" i="8" s="1"/>
  <c r="F15" i="8"/>
  <c r="J15" i="8" s="1"/>
  <c r="F14" i="8"/>
  <c r="J14" i="8" s="1"/>
  <c r="F13" i="8"/>
  <c r="J13" i="8" s="1"/>
  <c r="F12" i="8"/>
  <c r="J12" i="8" s="1"/>
  <c r="Q12" i="8" s="1"/>
  <c r="F11" i="8"/>
  <c r="J11" i="8" s="1"/>
  <c r="F10" i="8"/>
  <c r="I10" i="8" s="1"/>
  <c r="F9" i="8"/>
  <c r="J9" i="8" s="1"/>
  <c r="F8" i="8"/>
  <c r="J8" i="8" s="1"/>
  <c r="Q8" i="8" s="1"/>
  <c r="F7" i="8"/>
  <c r="J7" i="8" s="1"/>
  <c r="Q7" i="8" s="1"/>
  <c r="F6" i="8"/>
  <c r="H6" i="8" s="1"/>
  <c r="F5" i="8"/>
  <c r="I5" i="8" s="1"/>
  <c r="B37" i="6"/>
  <c r="B38" i="6"/>
  <c r="B39" i="6" s="1"/>
  <c r="B40" i="6" s="1"/>
  <c r="B7" i="6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AF6" i="6"/>
  <c r="AB40" i="6"/>
  <c r="J40" i="6" s="1"/>
  <c r="AC39" i="9" s="1"/>
  <c r="Y39" i="9" s="1"/>
  <c r="AA40" i="6"/>
  <c r="I40" i="6" s="1"/>
  <c r="AB7" i="6"/>
  <c r="J7" i="6" s="1"/>
  <c r="AC6" i="9" s="1"/>
  <c r="Y6" i="9" s="1"/>
  <c r="AB8" i="6"/>
  <c r="J8" i="6" s="1"/>
  <c r="AC7" i="9" s="1"/>
  <c r="Y7" i="9" s="1"/>
  <c r="AB9" i="6"/>
  <c r="J9" i="6" s="1"/>
  <c r="AC8" i="9" s="1"/>
  <c r="Y8" i="9" s="1"/>
  <c r="AB10" i="6"/>
  <c r="J10" i="6" s="1"/>
  <c r="AC9" i="9" s="1"/>
  <c r="Y9" i="9" s="1"/>
  <c r="AB11" i="6"/>
  <c r="J11" i="6" s="1"/>
  <c r="AC10" i="9" s="1"/>
  <c r="Y10" i="9" s="1"/>
  <c r="AB12" i="6"/>
  <c r="J12" i="6" s="1"/>
  <c r="AC11" i="9" s="1"/>
  <c r="Y11" i="9" s="1"/>
  <c r="AB13" i="6"/>
  <c r="J13" i="6" s="1"/>
  <c r="AC12" i="9" s="1"/>
  <c r="Y12" i="9" s="1"/>
  <c r="AB14" i="6"/>
  <c r="J14" i="6" s="1"/>
  <c r="AC13" i="9" s="1"/>
  <c r="Y13" i="9" s="1"/>
  <c r="AB15" i="6"/>
  <c r="J15" i="6" s="1"/>
  <c r="AC14" i="9" s="1"/>
  <c r="Y14" i="9" s="1"/>
  <c r="AB16" i="6"/>
  <c r="J16" i="6" s="1"/>
  <c r="AC15" i="9" s="1"/>
  <c r="Y15" i="9" s="1"/>
  <c r="AB17" i="6"/>
  <c r="J17" i="6" s="1"/>
  <c r="AC16" i="9" s="1"/>
  <c r="Y16" i="9" s="1"/>
  <c r="AB18" i="6"/>
  <c r="J18" i="6" s="1"/>
  <c r="AC17" i="9" s="1"/>
  <c r="Y17" i="9" s="1"/>
  <c r="AB19" i="6"/>
  <c r="J19" i="6" s="1"/>
  <c r="AC18" i="9" s="1"/>
  <c r="Y18" i="9" s="1"/>
  <c r="AB20" i="6"/>
  <c r="J20" i="6" s="1"/>
  <c r="AC19" i="9" s="1"/>
  <c r="Y19" i="9" s="1"/>
  <c r="AB21" i="6"/>
  <c r="J21" i="6" s="1"/>
  <c r="AC20" i="9" s="1"/>
  <c r="Y20" i="9" s="1"/>
  <c r="AB22" i="6"/>
  <c r="J22" i="6" s="1"/>
  <c r="AC21" i="9" s="1"/>
  <c r="Y21" i="9" s="1"/>
  <c r="AB23" i="6"/>
  <c r="J23" i="6" s="1"/>
  <c r="AC22" i="9" s="1"/>
  <c r="Y22" i="9" s="1"/>
  <c r="AB24" i="6"/>
  <c r="J24" i="6" s="1"/>
  <c r="AC23" i="9" s="1"/>
  <c r="Y23" i="9" s="1"/>
  <c r="AB25" i="6"/>
  <c r="J25" i="6" s="1"/>
  <c r="AC24" i="9" s="1"/>
  <c r="Y24" i="9" s="1"/>
  <c r="AB26" i="6"/>
  <c r="J26" i="6" s="1"/>
  <c r="AC25" i="9" s="1"/>
  <c r="Y25" i="9" s="1"/>
  <c r="AB27" i="6"/>
  <c r="J27" i="6" s="1"/>
  <c r="AC26" i="9" s="1"/>
  <c r="Y26" i="9" s="1"/>
  <c r="AB28" i="6"/>
  <c r="J28" i="6" s="1"/>
  <c r="AC27" i="9" s="1"/>
  <c r="Y27" i="9" s="1"/>
  <c r="AB29" i="6"/>
  <c r="J29" i="6" s="1"/>
  <c r="AC28" i="9" s="1"/>
  <c r="Y28" i="9" s="1"/>
  <c r="AB30" i="6"/>
  <c r="J30" i="6" s="1"/>
  <c r="AC29" i="9" s="1"/>
  <c r="Y29" i="9" s="1"/>
  <c r="AB31" i="6"/>
  <c r="J31" i="6" s="1"/>
  <c r="AC30" i="9" s="1"/>
  <c r="Y30" i="9" s="1"/>
  <c r="AB32" i="6"/>
  <c r="J32" i="6" s="1"/>
  <c r="AC31" i="9" s="1"/>
  <c r="Y31" i="9" s="1"/>
  <c r="AB33" i="6"/>
  <c r="J33" i="6" s="1"/>
  <c r="AC32" i="9" s="1"/>
  <c r="Y32" i="9" s="1"/>
  <c r="AB34" i="6"/>
  <c r="J34" i="6" s="1"/>
  <c r="AC33" i="9" s="1"/>
  <c r="Y33" i="9" s="1"/>
  <c r="AB35" i="6"/>
  <c r="J35" i="6" s="1"/>
  <c r="AC34" i="9" s="1"/>
  <c r="Y34" i="9" s="1"/>
  <c r="AB36" i="6"/>
  <c r="J36" i="6" s="1"/>
  <c r="AC35" i="9" s="1"/>
  <c r="Y35" i="9" s="1"/>
  <c r="AA37" i="6"/>
  <c r="I37" i="6" s="1"/>
  <c r="AO36" i="9" s="1"/>
  <c r="AB37" i="6"/>
  <c r="J37" i="6" s="1"/>
  <c r="AC36" i="9" s="1"/>
  <c r="Y36" i="9" s="1"/>
  <c r="AA38" i="6"/>
  <c r="I38" i="6" s="1"/>
  <c r="AO37" i="9" s="1"/>
  <c r="AB38" i="6"/>
  <c r="J38" i="6" s="1"/>
  <c r="AC37" i="9" s="1"/>
  <c r="Y37" i="9" s="1"/>
  <c r="AA39" i="6"/>
  <c r="I39" i="6" s="1"/>
  <c r="AO38" i="9" s="1"/>
  <c r="AB39" i="6"/>
  <c r="J39" i="6" s="1"/>
  <c r="AC38" i="9" s="1"/>
  <c r="Y38" i="9" s="1"/>
  <c r="AB6" i="6"/>
  <c r="J6" i="6" s="1"/>
  <c r="AC5" i="9" s="1"/>
  <c r="Y5" i="9" s="1"/>
  <c r="C5" i="5"/>
  <c r="P139" i="11" l="1"/>
  <c r="T140" i="11"/>
  <c r="J139" i="8"/>
  <c r="Q23" i="8"/>
  <c r="AS23" i="8"/>
  <c r="AT23" i="8"/>
  <c r="Q39" i="8"/>
  <c r="AS39" i="8"/>
  <c r="AT39" i="8"/>
  <c r="AT55" i="8"/>
  <c r="AS55" i="8"/>
  <c r="Q55" i="8"/>
  <c r="AS119" i="8"/>
  <c r="AT119" i="8"/>
  <c r="Q119" i="8"/>
  <c r="Q57" i="8"/>
  <c r="Q105" i="8"/>
  <c r="Q121" i="8"/>
  <c r="Q137" i="8"/>
  <c r="AY42" i="8"/>
  <c r="AX42" i="8"/>
  <c r="AW42" i="8"/>
  <c r="AO42" i="8"/>
  <c r="AY74" i="8"/>
  <c r="AX74" i="8"/>
  <c r="AW74" i="8"/>
  <c r="AO74" i="8"/>
  <c r="Q74" i="8"/>
  <c r="AY90" i="8"/>
  <c r="AX90" i="8"/>
  <c r="AW90" i="8"/>
  <c r="AO90" i="8"/>
  <c r="Q90" i="8"/>
  <c r="AY106" i="8"/>
  <c r="AX106" i="8"/>
  <c r="AW106" i="8"/>
  <c r="AO106" i="8"/>
  <c r="Q106" i="8"/>
  <c r="AY138" i="8"/>
  <c r="AX138" i="8"/>
  <c r="AW138" i="8"/>
  <c r="AO138" i="8"/>
  <c r="Q138" i="8"/>
  <c r="Q11" i="8"/>
  <c r="AT11" i="8"/>
  <c r="AS11" i="8"/>
  <c r="Q27" i="8"/>
  <c r="AT27" i="8"/>
  <c r="AS27" i="8"/>
  <c r="Q43" i="8"/>
  <c r="AS43" i="8"/>
  <c r="AT43" i="8"/>
  <c r="AT59" i="8"/>
  <c r="AS59" i="8"/>
  <c r="Q59" i="8"/>
  <c r="AS91" i="8"/>
  <c r="AT91" i="8"/>
  <c r="Q91" i="8"/>
  <c r="AT107" i="8"/>
  <c r="AS107" i="8"/>
  <c r="Q107" i="8"/>
  <c r="AS123" i="8"/>
  <c r="AT123" i="8"/>
  <c r="Q123" i="8"/>
  <c r="Q141" i="8"/>
  <c r="AY14" i="8"/>
  <c r="AX14" i="8"/>
  <c r="AW14" i="8"/>
  <c r="AO14" i="8"/>
  <c r="AY30" i="8"/>
  <c r="AX30" i="8"/>
  <c r="AW30" i="8"/>
  <c r="AO30" i="8"/>
  <c r="AY46" i="8"/>
  <c r="AX46" i="8"/>
  <c r="AW46" i="8"/>
  <c r="AO46" i="8"/>
  <c r="AY62" i="8"/>
  <c r="AX62" i="8"/>
  <c r="AW62" i="8"/>
  <c r="AO62" i="8"/>
  <c r="Q62" i="8"/>
  <c r="AY78" i="8"/>
  <c r="AX78" i="8"/>
  <c r="AW78" i="8"/>
  <c r="AO78" i="8"/>
  <c r="Q78" i="8"/>
  <c r="AY94" i="8"/>
  <c r="AX94" i="8"/>
  <c r="AW94" i="8"/>
  <c r="AO94" i="8"/>
  <c r="Q94" i="8"/>
  <c r="AY110" i="8"/>
  <c r="AX110" i="8"/>
  <c r="AW110" i="8"/>
  <c r="AO110" i="8"/>
  <c r="Q110" i="8"/>
  <c r="AY126" i="8"/>
  <c r="AX126" i="8"/>
  <c r="AW126" i="8"/>
  <c r="AO126" i="8"/>
  <c r="Q126" i="8"/>
  <c r="AY142" i="8"/>
  <c r="AX142" i="8"/>
  <c r="AW142" i="8"/>
  <c r="AO142" i="8"/>
  <c r="Q142" i="8"/>
  <c r="Q47" i="8"/>
  <c r="AT47" i="8"/>
  <c r="AS47" i="8"/>
  <c r="AT111" i="8"/>
  <c r="AS111" i="8"/>
  <c r="Q111" i="8"/>
  <c r="AS127" i="8"/>
  <c r="AT127" i="8"/>
  <c r="Q127" i="8"/>
  <c r="AS143" i="8"/>
  <c r="AT143" i="8"/>
  <c r="Q143" i="8"/>
  <c r="AS63" i="8"/>
  <c r="AT63" i="8"/>
  <c r="Q63" i="8"/>
  <c r="Q49" i="8"/>
  <c r="Q65" i="8"/>
  <c r="Q81" i="8"/>
  <c r="Q97" i="8"/>
  <c r="Q129" i="8"/>
  <c r="AS95" i="8"/>
  <c r="AT95" i="8"/>
  <c r="Q95" i="8"/>
  <c r="AY18" i="8"/>
  <c r="AX18" i="8"/>
  <c r="AW18" i="8"/>
  <c r="AO18" i="8"/>
  <c r="AY34" i="8"/>
  <c r="AX34" i="8"/>
  <c r="AW34" i="8"/>
  <c r="AO34" i="8"/>
  <c r="AY50" i="8"/>
  <c r="AX50" i="8"/>
  <c r="AW50" i="8"/>
  <c r="AO50" i="8"/>
  <c r="Q50" i="8"/>
  <c r="AY66" i="8"/>
  <c r="AX66" i="8"/>
  <c r="AW66" i="8"/>
  <c r="AO66" i="8"/>
  <c r="Q66" i="8"/>
  <c r="AY82" i="8"/>
  <c r="AX82" i="8"/>
  <c r="AW82" i="8"/>
  <c r="AO82" i="8"/>
  <c r="Q82" i="8"/>
  <c r="AY98" i="8"/>
  <c r="AX98" i="8"/>
  <c r="AW98" i="8"/>
  <c r="AO98" i="8"/>
  <c r="Q98" i="8"/>
  <c r="AY114" i="8"/>
  <c r="AX114" i="8"/>
  <c r="AW114" i="8"/>
  <c r="AO114" i="8"/>
  <c r="Q114" i="8"/>
  <c r="Q15" i="8"/>
  <c r="AS15" i="8"/>
  <c r="AT15" i="8"/>
  <c r="AS79" i="8"/>
  <c r="AT79" i="8"/>
  <c r="Q79" i="8"/>
  <c r="Q19" i="8"/>
  <c r="AS19" i="8"/>
  <c r="AT19" i="8"/>
  <c r="Q35" i="8"/>
  <c r="AT35" i="8"/>
  <c r="AS35" i="8"/>
  <c r="AS67" i="8"/>
  <c r="AT67" i="8"/>
  <c r="Q67" i="8"/>
  <c r="AT83" i="8"/>
  <c r="AS83" i="8"/>
  <c r="Q83" i="8"/>
  <c r="AT99" i="8"/>
  <c r="AS99" i="8"/>
  <c r="Q99" i="8"/>
  <c r="AT131" i="8"/>
  <c r="AS131" i="8"/>
  <c r="Q131" i="8"/>
  <c r="Q109" i="8"/>
  <c r="Q31" i="8"/>
  <c r="AT31" i="8"/>
  <c r="AS31" i="8"/>
  <c r="Q53" i="8"/>
  <c r="Q85" i="8"/>
  <c r="Q117" i="8"/>
  <c r="AS139" i="8"/>
  <c r="AT139" i="8"/>
  <c r="Q139" i="8"/>
  <c r="AY38" i="8"/>
  <c r="AX38" i="8"/>
  <c r="AW38" i="8"/>
  <c r="AO38" i="8"/>
  <c r="AY54" i="8"/>
  <c r="AX54" i="8"/>
  <c r="AW54" i="8"/>
  <c r="AO54" i="8"/>
  <c r="Q54" i="8"/>
  <c r="AY70" i="8"/>
  <c r="AX70" i="8"/>
  <c r="AW70" i="8"/>
  <c r="AO70" i="8"/>
  <c r="Q70" i="8"/>
  <c r="AY86" i="8"/>
  <c r="AX86" i="8"/>
  <c r="AW86" i="8"/>
  <c r="AO86" i="8"/>
  <c r="Q86" i="8"/>
  <c r="AY102" i="8"/>
  <c r="AX102" i="8"/>
  <c r="AW102" i="8"/>
  <c r="AO102" i="8"/>
  <c r="Q102" i="8"/>
  <c r="AY118" i="8"/>
  <c r="AX118" i="8"/>
  <c r="AW118" i="8"/>
  <c r="AO118" i="8"/>
  <c r="Q118" i="8"/>
  <c r="AY134" i="8"/>
  <c r="AX134" i="8"/>
  <c r="AW134" i="8"/>
  <c r="AO134" i="8"/>
  <c r="Q134" i="8"/>
  <c r="Q9" i="8"/>
  <c r="Q42" i="8"/>
  <c r="Q13" i="8"/>
  <c r="Q45" i="8"/>
  <c r="Q14" i="8"/>
  <c r="Q30" i="8"/>
  <c r="Q46" i="8"/>
  <c r="Q33" i="8"/>
  <c r="Q18" i="8"/>
  <c r="Q34" i="8"/>
  <c r="Q38" i="8"/>
  <c r="P135" i="11"/>
  <c r="Q41" i="8"/>
  <c r="AF82" i="8"/>
  <c r="AD82" i="8"/>
  <c r="AF70" i="8"/>
  <c r="AD70" i="8"/>
  <c r="AF86" i="8"/>
  <c r="AD86" i="8"/>
  <c r="AF102" i="8"/>
  <c r="AD102" i="8"/>
  <c r="AF118" i="8"/>
  <c r="AD118" i="8"/>
  <c r="AF134" i="8"/>
  <c r="AD134" i="8"/>
  <c r="AF114" i="8"/>
  <c r="AD114" i="8"/>
  <c r="AF74" i="8"/>
  <c r="AD74" i="8"/>
  <c r="AF90" i="8"/>
  <c r="AD90" i="8"/>
  <c r="AF106" i="8"/>
  <c r="AD106" i="8"/>
  <c r="AF66" i="8"/>
  <c r="AD66" i="8"/>
  <c r="AF98" i="8"/>
  <c r="AD98" i="8"/>
  <c r="AF138" i="8"/>
  <c r="AD138" i="8"/>
  <c r="AF62" i="8"/>
  <c r="AD62" i="8"/>
  <c r="AD78" i="8"/>
  <c r="AF78" i="8"/>
  <c r="AF94" i="8"/>
  <c r="AD94" i="8"/>
  <c r="AD110" i="8"/>
  <c r="AF110" i="8"/>
  <c r="AF126" i="8"/>
  <c r="AD126" i="8"/>
  <c r="AD142" i="8"/>
  <c r="AF142" i="8"/>
  <c r="Z7" i="8"/>
  <c r="AF54" i="8"/>
  <c r="AD54" i="8"/>
  <c r="AF50" i="8"/>
  <c r="AD50" i="8"/>
  <c r="AF38" i="8"/>
  <c r="AD38" i="8"/>
  <c r="AF34" i="8"/>
  <c r="AD34" i="8"/>
  <c r="AF30" i="8"/>
  <c r="AD30" i="8"/>
  <c r="AF18" i="8"/>
  <c r="AD18" i="8"/>
  <c r="AF14" i="8"/>
  <c r="AD14" i="8"/>
  <c r="AF42" i="8"/>
  <c r="AD42" i="8"/>
  <c r="AF46" i="8"/>
  <c r="AD46" i="8"/>
  <c r="T133" i="11"/>
  <c r="T134" i="11"/>
  <c r="T135" i="11"/>
  <c r="AM37" i="9"/>
  <c r="AJ37" i="9"/>
  <c r="AK37" i="9"/>
  <c r="AL37" i="9"/>
  <c r="AM36" i="9"/>
  <c r="AL36" i="9"/>
  <c r="AJ36" i="9"/>
  <c r="AK36" i="9"/>
  <c r="AM38" i="9"/>
  <c r="AL38" i="9"/>
  <c r="AJ38" i="9"/>
  <c r="AK38" i="9"/>
  <c r="T139" i="11"/>
  <c r="T138" i="11"/>
  <c r="T137" i="11"/>
  <c r="AD32" i="9"/>
  <c r="AD34" i="6"/>
  <c r="G34" i="6" s="1"/>
  <c r="AD33" i="9"/>
  <c r="AD34" i="9"/>
  <c r="AD35" i="6"/>
  <c r="G35" i="6" s="1"/>
  <c r="AD35" i="9"/>
  <c r="AD36" i="6"/>
  <c r="G36" i="6" s="1"/>
  <c r="AD37" i="6"/>
  <c r="G37" i="6" s="1"/>
  <c r="AD36" i="9"/>
  <c r="AD37" i="9"/>
  <c r="AD38" i="6"/>
  <c r="G38" i="6" s="1"/>
  <c r="AD39" i="6"/>
  <c r="G39" i="6" s="1"/>
  <c r="AD38" i="9"/>
  <c r="AD39" i="9"/>
  <c r="AD40" i="6"/>
  <c r="G40" i="6" s="1"/>
  <c r="AD28" i="9"/>
  <c r="AD27" i="9"/>
  <c r="AD26" i="9"/>
  <c r="AD25" i="9"/>
  <c r="AD24" i="9"/>
  <c r="AD23" i="9"/>
  <c r="AD21" i="9"/>
  <c r="AD18" i="9"/>
  <c r="AD19" i="9"/>
  <c r="AD20" i="9"/>
  <c r="AD17" i="9"/>
  <c r="AD15" i="9"/>
  <c r="AD16" i="9"/>
  <c r="AD14" i="9"/>
  <c r="AD13" i="9"/>
  <c r="AD10" i="9"/>
  <c r="AD11" i="9"/>
  <c r="AD9" i="9"/>
  <c r="Z123" i="8"/>
  <c r="AK123" i="8"/>
  <c r="AJ123" i="8"/>
  <c r="AK119" i="8"/>
  <c r="AJ119" i="8"/>
  <c r="Z119" i="8"/>
  <c r="AK107" i="8"/>
  <c r="AJ107" i="8"/>
  <c r="Z107" i="8"/>
  <c r="AK143" i="8"/>
  <c r="AJ143" i="8"/>
  <c r="Z143" i="8"/>
  <c r="AK127" i="8"/>
  <c r="AJ127" i="8"/>
  <c r="Z127" i="8"/>
  <c r="AJ111" i="8"/>
  <c r="AK111" i="8"/>
  <c r="Z111" i="8"/>
  <c r="AK139" i="8"/>
  <c r="AJ139" i="8"/>
  <c r="Z139" i="8"/>
  <c r="Z131" i="8"/>
  <c r="AK131" i="8"/>
  <c r="AJ131" i="8"/>
  <c r="J130" i="8"/>
  <c r="I141" i="8"/>
  <c r="G141" i="8"/>
  <c r="G137" i="8"/>
  <c r="I137" i="8"/>
  <c r="AK99" i="8"/>
  <c r="AJ99" i="8"/>
  <c r="Z99" i="8"/>
  <c r="AK55" i="8"/>
  <c r="AJ55" i="8"/>
  <c r="Z55" i="8"/>
  <c r="AK27" i="8"/>
  <c r="Z27" i="8"/>
  <c r="AJ27" i="8"/>
  <c r="Z59" i="8"/>
  <c r="AK59" i="8"/>
  <c r="AJ59" i="8"/>
  <c r="Z91" i="8"/>
  <c r="AK91" i="8"/>
  <c r="AJ91" i="8"/>
  <c r="AK23" i="8"/>
  <c r="Z23" i="8"/>
  <c r="AJ23" i="8"/>
  <c r="Z11" i="8"/>
  <c r="AJ11" i="8"/>
  <c r="AK11" i="8"/>
  <c r="Z31" i="8"/>
  <c r="AK31" i="8"/>
  <c r="AJ31" i="8"/>
  <c r="AK63" i="8"/>
  <c r="AJ63" i="8"/>
  <c r="Z63" i="8"/>
  <c r="AJ79" i="8"/>
  <c r="Z79" i="8"/>
  <c r="AK79" i="8"/>
  <c r="AK95" i="8"/>
  <c r="AJ95" i="8"/>
  <c r="Z95" i="8"/>
  <c r="AK19" i="8"/>
  <c r="AJ19" i="8"/>
  <c r="Z19" i="8"/>
  <c r="AJ35" i="8"/>
  <c r="Z35" i="8"/>
  <c r="AK35" i="8"/>
  <c r="AK67" i="8"/>
  <c r="AJ67" i="8"/>
  <c r="Z67" i="8"/>
  <c r="AK83" i="8"/>
  <c r="AJ83" i="8"/>
  <c r="Z83" i="8"/>
  <c r="AK39" i="8"/>
  <c r="AJ39" i="8"/>
  <c r="Z39" i="8"/>
  <c r="Z15" i="8"/>
  <c r="AK15" i="8"/>
  <c r="AJ15" i="8"/>
  <c r="AK47" i="8"/>
  <c r="AJ47" i="8"/>
  <c r="Z47" i="8"/>
  <c r="AJ43" i="8"/>
  <c r="Z43" i="8"/>
  <c r="AK43" i="8"/>
  <c r="AK7" i="8"/>
  <c r="AJ7" i="8"/>
  <c r="AO39" i="9"/>
  <c r="AL39" i="9" s="1"/>
  <c r="J101" i="8"/>
  <c r="J133" i="8"/>
  <c r="I120" i="8"/>
  <c r="J122" i="8"/>
  <c r="H122" i="8"/>
  <c r="I20" i="8"/>
  <c r="I131" i="8"/>
  <c r="J135" i="8"/>
  <c r="J20" i="8"/>
  <c r="Q20" i="8" s="1"/>
  <c r="H59" i="8"/>
  <c r="I30" i="8"/>
  <c r="G19" i="8"/>
  <c r="G66" i="8"/>
  <c r="I74" i="8"/>
  <c r="J69" i="8"/>
  <c r="J17" i="8"/>
  <c r="J25" i="8"/>
  <c r="G9" i="8"/>
  <c r="I9" i="8"/>
  <c r="I121" i="8"/>
  <c r="C29" i="8"/>
  <c r="P30" i="8" s="1"/>
  <c r="C93" i="8"/>
  <c r="P94" i="8" s="1"/>
  <c r="C97" i="8"/>
  <c r="P98" i="8" s="1"/>
  <c r="C37" i="8"/>
  <c r="P38" i="8" s="1"/>
  <c r="C101" i="8"/>
  <c r="P102" i="8" s="1"/>
  <c r="C41" i="8"/>
  <c r="P42" i="8" s="1"/>
  <c r="C105" i="8"/>
  <c r="P106" i="8" s="1"/>
  <c r="C45" i="8"/>
  <c r="P46" i="8" s="1"/>
  <c r="C109" i="8"/>
  <c r="P110" i="8" s="1"/>
  <c r="C49" i="8"/>
  <c r="P50" i="8" s="1"/>
  <c r="C113" i="8"/>
  <c r="P114" i="8" s="1"/>
  <c r="AH37" i="6"/>
  <c r="C5" i="8"/>
  <c r="P6" i="8" s="1"/>
  <c r="AD5" i="9"/>
  <c r="C69" i="8"/>
  <c r="P70" i="8" s="1"/>
  <c r="C133" i="8"/>
  <c r="P134" i="8" s="1"/>
  <c r="C9" i="8"/>
  <c r="P10" i="8" s="1"/>
  <c r="C73" i="8"/>
  <c r="P74" i="8" s="1"/>
  <c r="C137" i="8"/>
  <c r="P138" i="8" s="1"/>
  <c r="C13" i="8"/>
  <c r="P14" i="8" s="1"/>
  <c r="C77" i="8"/>
  <c r="P78" i="8" s="1"/>
  <c r="C141" i="8"/>
  <c r="P142" i="8" s="1"/>
  <c r="AA6" i="6"/>
  <c r="I6" i="6" s="1"/>
  <c r="AC17" i="10"/>
  <c r="AC31" i="10"/>
  <c r="K31" i="10" s="1"/>
  <c r="CC30" i="9" s="1"/>
  <c r="C81" i="8"/>
  <c r="P82" i="8" s="1"/>
  <c r="C21" i="8"/>
  <c r="P22" i="8" s="1"/>
  <c r="C85" i="8"/>
  <c r="P86" i="8" s="1"/>
  <c r="C25" i="8"/>
  <c r="P26" i="8" s="1"/>
  <c r="C89" i="8"/>
  <c r="P90" i="8" s="1"/>
  <c r="AH39" i="6"/>
  <c r="C17" i="8"/>
  <c r="P18" i="8" s="1"/>
  <c r="C129" i="8"/>
  <c r="P130" i="8" s="1"/>
  <c r="C65" i="8"/>
  <c r="P66" i="8" s="1"/>
  <c r="C125" i="8"/>
  <c r="P126" i="8" s="1"/>
  <c r="C61" i="8"/>
  <c r="P62" i="8" s="1"/>
  <c r="C121" i="8"/>
  <c r="P122" i="8" s="1"/>
  <c r="C57" i="8"/>
  <c r="P58" i="8" s="1"/>
  <c r="C117" i="8"/>
  <c r="P118" i="8" s="1"/>
  <c r="C53" i="8"/>
  <c r="P54" i="8" s="1"/>
  <c r="C33" i="8"/>
  <c r="P34" i="8" s="1"/>
  <c r="J48" i="8"/>
  <c r="Q48" i="8" s="1"/>
  <c r="G48" i="8"/>
  <c r="AH38" i="6"/>
  <c r="AH40" i="6"/>
  <c r="J52" i="8"/>
  <c r="Q52" i="8" s="1"/>
  <c r="J124" i="8"/>
  <c r="Q124" i="8" s="1"/>
  <c r="J60" i="8"/>
  <c r="Q60" i="8" s="1"/>
  <c r="J37" i="8"/>
  <c r="H85" i="8"/>
  <c r="I85" i="8"/>
  <c r="H46" i="8"/>
  <c r="J75" i="8"/>
  <c r="J51" i="8"/>
  <c r="G51" i="8"/>
  <c r="J125" i="8"/>
  <c r="H113" i="8"/>
  <c r="J113" i="8"/>
  <c r="H125" i="8"/>
  <c r="G125" i="8"/>
  <c r="I113" i="8"/>
  <c r="J71" i="8"/>
  <c r="I59" i="8"/>
  <c r="J61" i="8"/>
  <c r="J103" i="8"/>
  <c r="I66" i="8"/>
  <c r="H66" i="8"/>
  <c r="J87" i="8"/>
  <c r="G87" i="8"/>
  <c r="J58" i="8"/>
  <c r="J73" i="8"/>
  <c r="I62" i="8"/>
  <c r="H19" i="8"/>
  <c r="J88" i="8"/>
  <c r="Q88" i="8" s="1"/>
  <c r="I19" i="8"/>
  <c r="J77" i="8"/>
  <c r="G77" i="8"/>
  <c r="J93" i="8"/>
  <c r="I41" i="8"/>
  <c r="I94" i="8"/>
  <c r="J10" i="8"/>
  <c r="J26" i="8"/>
  <c r="H141" i="8"/>
  <c r="G120" i="8"/>
  <c r="H120" i="8"/>
  <c r="G93" i="8"/>
  <c r="H93" i="8"/>
  <c r="J89" i="8"/>
  <c r="G81" i="8"/>
  <c r="H77" i="8"/>
  <c r="G50" i="8"/>
  <c r="J32" i="8"/>
  <c r="Q32" i="8" s="1"/>
  <c r="G29" i="8"/>
  <c r="J29" i="8"/>
  <c r="J21" i="8"/>
  <c r="H21" i="8"/>
  <c r="J22" i="8"/>
  <c r="G144" i="8"/>
  <c r="H144" i="8"/>
  <c r="G143" i="8"/>
  <c r="I144" i="8"/>
  <c r="H143" i="8"/>
  <c r="G142" i="8"/>
  <c r="I143" i="8"/>
  <c r="H142" i="8"/>
  <c r="I142" i="8"/>
  <c r="G140" i="8"/>
  <c r="H140" i="8"/>
  <c r="I140" i="8"/>
  <c r="H139" i="8"/>
  <c r="G138" i="8"/>
  <c r="I139" i="8"/>
  <c r="H138" i="8"/>
  <c r="I138" i="8"/>
  <c r="H137" i="8"/>
  <c r="G136" i="8"/>
  <c r="H136" i="8"/>
  <c r="I136" i="8"/>
  <c r="H135" i="8"/>
  <c r="G134" i="8"/>
  <c r="I135" i="8"/>
  <c r="H134" i="8"/>
  <c r="G133" i="8"/>
  <c r="I134" i="8"/>
  <c r="H133" i="8"/>
  <c r="G132" i="8"/>
  <c r="H132" i="8"/>
  <c r="G131" i="8"/>
  <c r="I132" i="8"/>
  <c r="H131" i="8"/>
  <c r="G130" i="8"/>
  <c r="G129" i="8"/>
  <c r="I130" i="8"/>
  <c r="H129" i="8"/>
  <c r="I129" i="8"/>
  <c r="G128" i="8"/>
  <c r="H128" i="8"/>
  <c r="G127" i="8"/>
  <c r="I128" i="8"/>
  <c r="H127" i="8"/>
  <c r="G126" i="8"/>
  <c r="I127" i="8"/>
  <c r="H126" i="8"/>
  <c r="I126" i="8"/>
  <c r="G124" i="8"/>
  <c r="G123" i="8"/>
  <c r="I124" i="8"/>
  <c r="H123" i="8"/>
  <c r="G122" i="8"/>
  <c r="I123" i="8"/>
  <c r="G121" i="8"/>
  <c r="H121" i="8"/>
  <c r="G119" i="8"/>
  <c r="H119" i="8"/>
  <c r="G118" i="8"/>
  <c r="I119" i="8"/>
  <c r="H118" i="8"/>
  <c r="G117" i="8"/>
  <c r="I118" i="8"/>
  <c r="H117" i="8"/>
  <c r="I117" i="8"/>
  <c r="G116" i="8"/>
  <c r="H115" i="8"/>
  <c r="J116" i="8"/>
  <c r="Q116" i="8" s="1"/>
  <c r="G114" i="8"/>
  <c r="I115" i="8"/>
  <c r="I116" i="8"/>
  <c r="H114" i="8"/>
  <c r="J115" i="8"/>
  <c r="I114" i="8"/>
  <c r="G112" i="8"/>
  <c r="H112" i="8"/>
  <c r="G111" i="8"/>
  <c r="I112" i="8"/>
  <c r="H111" i="8"/>
  <c r="G110" i="8"/>
  <c r="I111" i="8"/>
  <c r="H110" i="8"/>
  <c r="G109" i="8"/>
  <c r="I110" i="8"/>
  <c r="H109" i="8"/>
  <c r="I109" i="8"/>
  <c r="G108" i="8"/>
  <c r="H108" i="8"/>
  <c r="G107" i="8"/>
  <c r="I108" i="8"/>
  <c r="H107" i="8"/>
  <c r="G106" i="8"/>
  <c r="I107" i="8"/>
  <c r="H106" i="8"/>
  <c r="G105" i="8"/>
  <c r="I106" i="8"/>
  <c r="H105" i="8"/>
  <c r="I105" i="8"/>
  <c r="G104" i="8"/>
  <c r="H104" i="8"/>
  <c r="G103" i="8"/>
  <c r="I104" i="8"/>
  <c r="G102" i="8"/>
  <c r="I103" i="8"/>
  <c r="H102" i="8"/>
  <c r="G101" i="8"/>
  <c r="I102" i="8"/>
  <c r="H101" i="8"/>
  <c r="G100" i="8"/>
  <c r="H100" i="8"/>
  <c r="G99" i="8"/>
  <c r="I100" i="8"/>
  <c r="H99" i="8"/>
  <c r="G98" i="8"/>
  <c r="I99" i="8"/>
  <c r="H98" i="8"/>
  <c r="G97" i="8"/>
  <c r="I98" i="8"/>
  <c r="H97" i="8"/>
  <c r="I97" i="8"/>
  <c r="G96" i="8"/>
  <c r="H96" i="8"/>
  <c r="G95" i="8"/>
  <c r="I96" i="8"/>
  <c r="H95" i="8"/>
  <c r="G94" i="8"/>
  <c r="I95" i="8"/>
  <c r="H94" i="8"/>
  <c r="G92" i="8"/>
  <c r="H92" i="8"/>
  <c r="G91" i="8"/>
  <c r="I92" i="8"/>
  <c r="H91" i="8"/>
  <c r="G90" i="8"/>
  <c r="I91" i="8"/>
  <c r="H90" i="8"/>
  <c r="G89" i="8"/>
  <c r="I90" i="8"/>
  <c r="H89" i="8"/>
  <c r="G88" i="8"/>
  <c r="H88" i="8"/>
  <c r="G86" i="8"/>
  <c r="I87" i="8"/>
  <c r="H86" i="8"/>
  <c r="G85" i="8"/>
  <c r="I86" i="8"/>
  <c r="G84" i="8"/>
  <c r="H84" i="8"/>
  <c r="G83" i="8"/>
  <c r="I84" i="8"/>
  <c r="H83" i="8"/>
  <c r="G82" i="8"/>
  <c r="I83" i="8"/>
  <c r="H82" i="8"/>
  <c r="I82" i="8"/>
  <c r="H81" i="8"/>
  <c r="I81" i="8"/>
  <c r="G80" i="8"/>
  <c r="H80" i="8"/>
  <c r="G79" i="8"/>
  <c r="I80" i="8"/>
  <c r="H79" i="8"/>
  <c r="G78" i="8"/>
  <c r="I79" i="8"/>
  <c r="H78" i="8"/>
  <c r="I78" i="8"/>
  <c r="G76" i="8"/>
  <c r="H76" i="8"/>
  <c r="I76" i="8"/>
  <c r="H75" i="8"/>
  <c r="G74" i="8"/>
  <c r="I75" i="8"/>
  <c r="H74" i="8"/>
  <c r="G73" i="8"/>
  <c r="I73" i="8"/>
  <c r="G72" i="8"/>
  <c r="H72" i="8"/>
  <c r="I72" i="8"/>
  <c r="H71" i="8"/>
  <c r="G70" i="8"/>
  <c r="I71" i="8"/>
  <c r="H70" i="8"/>
  <c r="G69" i="8"/>
  <c r="I70" i="8"/>
  <c r="H69" i="8"/>
  <c r="G68" i="8"/>
  <c r="H68" i="8"/>
  <c r="I68" i="8"/>
  <c r="G67" i="8"/>
  <c r="H67" i="8"/>
  <c r="I67" i="8"/>
  <c r="G65" i="8"/>
  <c r="I65" i="8"/>
  <c r="H65" i="8"/>
  <c r="G64" i="8"/>
  <c r="H64" i="8"/>
  <c r="I64" i="8"/>
  <c r="G63" i="8"/>
  <c r="H63" i="8"/>
  <c r="G62" i="8"/>
  <c r="I63" i="8"/>
  <c r="H62" i="8"/>
  <c r="H61" i="8"/>
  <c r="I61" i="8"/>
  <c r="H60" i="8"/>
  <c r="G59" i="8"/>
  <c r="I60" i="8"/>
  <c r="G58" i="8"/>
  <c r="G57" i="8"/>
  <c r="I58" i="8"/>
  <c r="H57" i="8"/>
  <c r="I57" i="8"/>
  <c r="G56" i="8"/>
  <c r="H56" i="8"/>
  <c r="G55" i="8"/>
  <c r="I56" i="8"/>
  <c r="H55" i="8"/>
  <c r="G54" i="8"/>
  <c r="I55" i="8"/>
  <c r="H54" i="8"/>
  <c r="G53" i="8"/>
  <c r="I54" i="8"/>
  <c r="H53" i="8"/>
  <c r="I53" i="8"/>
  <c r="G52" i="8"/>
  <c r="H52" i="8"/>
  <c r="H51" i="8"/>
  <c r="H50" i="8"/>
  <c r="G49" i="8"/>
  <c r="I50" i="8"/>
  <c r="H49" i="8"/>
  <c r="I49" i="8"/>
  <c r="G47" i="8"/>
  <c r="I48" i="8"/>
  <c r="H47" i="8"/>
  <c r="G46" i="8"/>
  <c r="I47" i="8"/>
  <c r="G45" i="8"/>
  <c r="I46" i="8"/>
  <c r="H45" i="8"/>
  <c r="I45" i="8"/>
  <c r="G44" i="8"/>
  <c r="H44" i="8"/>
  <c r="G43" i="8"/>
  <c r="I44" i="8"/>
  <c r="H43" i="8"/>
  <c r="G42" i="8"/>
  <c r="I43" i="8"/>
  <c r="H42" i="8"/>
  <c r="G41" i="8"/>
  <c r="I42" i="8"/>
  <c r="H41" i="8"/>
  <c r="G40" i="8"/>
  <c r="H40" i="8"/>
  <c r="G39" i="8"/>
  <c r="I40" i="8"/>
  <c r="H39" i="8"/>
  <c r="G38" i="8"/>
  <c r="I39" i="8"/>
  <c r="H38" i="8"/>
  <c r="G37" i="8"/>
  <c r="I38" i="8"/>
  <c r="H37" i="8"/>
  <c r="G36" i="8"/>
  <c r="H36" i="8"/>
  <c r="G35" i="8"/>
  <c r="I36" i="8"/>
  <c r="H35" i="8"/>
  <c r="G34" i="8"/>
  <c r="I35" i="8"/>
  <c r="H34" i="8"/>
  <c r="G33" i="8"/>
  <c r="I34" i="8"/>
  <c r="H33" i="8"/>
  <c r="I33" i="8"/>
  <c r="H32" i="8"/>
  <c r="G31" i="8"/>
  <c r="I32" i="8"/>
  <c r="H31" i="8"/>
  <c r="G30" i="8"/>
  <c r="I31" i="8"/>
  <c r="H30" i="8"/>
  <c r="H29" i="8"/>
  <c r="H28" i="8"/>
  <c r="G27" i="8"/>
  <c r="I28" i="8"/>
  <c r="H27" i="8"/>
  <c r="J28" i="8"/>
  <c r="Q28" i="8" s="1"/>
  <c r="G26" i="8"/>
  <c r="I27" i="8"/>
  <c r="H26" i="8"/>
  <c r="G25" i="8"/>
  <c r="I25" i="8"/>
  <c r="G24" i="8"/>
  <c r="H24" i="8"/>
  <c r="G23" i="8"/>
  <c r="I24" i="8"/>
  <c r="H23" i="8"/>
  <c r="G22" i="8"/>
  <c r="I23" i="8"/>
  <c r="H22" i="8"/>
  <c r="G21" i="8"/>
  <c r="H20" i="8"/>
  <c r="G18" i="8"/>
  <c r="H18" i="8"/>
  <c r="G17" i="8"/>
  <c r="I18" i="8"/>
  <c r="H17" i="8"/>
  <c r="G16" i="8"/>
  <c r="H16" i="8"/>
  <c r="G15" i="8"/>
  <c r="I16" i="8"/>
  <c r="H15" i="8"/>
  <c r="G14" i="8"/>
  <c r="I15" i="8"/>
  <c r="H14" i="8"/>
  <c r="G13" i="8"/>
  <c r="I14" i="8"/>
  <c r="H13" i="8"/>
  <c r="I13" i="8"/>
  <c r="G12" i="8"/>
  <c r="H12" i="8"/>
  <c r="G11" i="8"/>
  <c r="I12" i="8"/>
  <c r="H11" i="8"/>
  <c r="G10" i="8"/>
  <c r="I11" i="8"/>
  <c r="H10" i="8"/>
  <c r="H9" i="8"/>
  <c r="AS7" i="8"/>
  <c r="AT7" i="8"/>
  <c r="G6" i="8"/>
  <c r="I6" i="8"/>
  <c r="G7" i="8"/>
  <c r="H7" i="8"/>
  <c r="I7" i="8"/>
  <c r="G8" i="8"/>
  <c r="H8" i="8"/>
  <c r="I8" i="8"/>
  <c r="J6" i="8"/>
  <c r="G5" i="8"/>
  <c r="J5" i="8"/>
  <c r="H5" i="8"/>
  <c r="P36" i="8" l="1"/>
  <c r="P48" i="8"/>
  <c r="P108" i="8"/>
  <c r="P68" i="8"/>
  <c r="P56" i="8"/>
  <c r="P44" i="8"/>
  <c r="AT30" i="8"/>
  <c r="AS30" i="8"/>
  <c r="AN30" i="8"/>
  <c r="AT130" i="8"/>
  <c r="AS130" i="8"/>
  <c r="AN130" i="8"/>
  <c r="AT75" i="8"/>
  <c r="AS75" i="8"/>
  <c r="Q75" i="8"/>
  <c r="AT38" i="8"/>
  <c r="AS38" i="8"/>
  <c r="AN38" i="8"/>
  <c r="AT78" i="8"/>
  <c r="AS78" i="8"/>
  <c r="AN78" i="8"/>
  <c r="AS87" i="8"/>
  <c r="AT87" i="8"/>
  <c r="Q87" i="8"/>
  <c r="P88" i="8" s="1"/>
  <c r="AT135" i="8"/>
  <c r="AS135" i="8"/>
  <c r="Q135" i="8"/>
  <c r="AT18" i="8"/>
  <c r="AS18" i="8"/>
  <c r="AN18" i="8"/>
  <c r="AT58" i="8"/>
  <c r="AS58" i="8"/>
  <c r="AN58" i="8"/>
  <c r="AT86" i="8"/>
  <c r="AS86" i="8"/>
  <c r="AN86" i="8"/>
  <c r="AT138" i="8"/>
  <c r="AS138" i="8"/>
  <c r="AN138" i="8"/>
  <c r="AY26" i="8"/>
  <c r="AX26" i="8"/>
  <c r="AW26" i="8"/>
  <c r="AO26" i="8"/>
  <c r="AT66" i="8"/>
  <c r="AS66" i="8"/>
  <c r="AN66" i="8"/>
  <c r="AN26" i="8"/>
  <c r="AT98" i="8"/>
  <c r="AS98" i="8"/>
  <c r="AN98" i="8"/>
  <c r="AT34" i="8"/>
  <c r="AS34" i="8"/>
  <c r="AN34" i="8"/>
  <c r="AY22" i="8"/>
  <c r="AX22" i="8"/>
  <c r="AW22" i="8"/>
  <c r="AO22" i="8"/>
  <c r="AY10" i="8"/>
  <c r="AX10" i="8"/>
  <c r="AW10" i="8"/>
  <c r="AO10" i="8"/>
  <c r="AT103" i="8"/>
  <c r="AS103" i="8"/>
  <c r="Q103" i="8"/>
  <c r="AS26" i="8"/>
  <c r="AT106" i="8"/>
  <c r="AS106" i="8"/>
  <c r="AN106" i="8"/>
  <c r="AT126" i="8"/>
  <c r="AS126" i="8"/>
  <c r="AN126" i="8"/>
  <c r="AT94" i="8"/>
  <c r="AS94" i="8"/>
  <c r="AN94" i="8"/>
  <c r="Q61" i="8"/>
  <c r="P64" i="8" s="1"/>
  <c r="AY122" i="8"/>
  <c r="AX122" i="8"/>
  <c r="AW122" i="8"/>
  <c r="AO122" i="8"/>
  <c r="Q122" i="8"/>
  <c r="P124" i="8" s="1"/>
  <c r="AT26" i="8"/>
  <c r="AN22" i="8"/>
  <c r="P112" i="8"/>
  <c r="AN10" i="8"/>
  <c r="Q73" i="8"/>
  <c r="AT14" i="8"/>
  <c r="AS14" i="8"/>
  <c r="AN14" i="8"/>
  <c r="AT54" i="8"/>
  <c r="AS54" i="8"/>
  <c r="AN54" i="8"/>
  <c r="Q93" i="8"/>
  <c r="P96" i="8" s="1"/>
  <c r="AT71" i="8"/>
  <c r="AS71" i="8"/>
  <c r="Q71" i="8"/>
  <c r="Q133" i="8"/>
  <c r="AS22" i="8"/>
  <c r="AS10" i="8"/>
  <c r="AN6" i="8"/>
  <c r="Q101" i="8"/>
  <c r="AT22" i="8"/>
  <c r="AT10" i="8"/>
  <c r="AT110" i="8"/>
  <c r="AS110" i="8"/>
  <c r="AN110" i="8"/>
  <c r="AT46" i="8"/>
  <c r="AS46" i="8"/>
  <c r="AN46" i="8"/>
  <c r="AT118" i="8"/>
  <c r="AS118" i="8"/>
  <c r="AN118" i="8"/>
  <c r="AT134" i="8"/>
  <c r="AS134" i="8"/>
  <c r="AN134" i="8"/>
  <c r="Q77" i="8"/>
  <c r="P80" i="8" s="1"/>
  <c r="AY130" i="8"/>
  <c r="AX130" i="8"/>
  <c r="AW130" i="8"/>
  <c r="AO130" i="8"/>
  <c r="Q130" i="8"/>
  <c r="P132" i="8" s="1"/>
  <c r="AN122" i="8"/>
  <c r="Q6" i="8"/>
  <c r="AO6" i="8"/>
  <c r="AT42" i="8"/>
  <c r="AS42" i="8"/>
  <c r="AN42" i="8"/>
  <c r="AT82" i="8"/>
  <c r="AS82" i="8"/>
  <c r="AN82" i="8"/>
  <c r="AT102" i="8"/>
  <c r="AS102" i="8"/>
  <c r="AN102" i="8"/>
  <c r="Q69" i="8"/>
  <c r="P16" i="8"/>
  <c r="P100" i="8"/>
  <c r="AS122" i="8"/>
  <c r="P140" i="8"/>
  <c r="AY58" i="8"/>
  <c r="AX58" i="8"/>
  <c r="AW58" i="8"/>
  <c r="AO58" i="8"/>
  <c r="Q58" i="8"/>
  <c r="P60" i="8" s="1"/>
  <c r="P144" i="8"/>
  <c r="AT90" i="8"/>
  <c r="AS90" i="8"/>
  <c r="AN90" i="8"/>
  <c r="AT114" i="8"/>
  <c r="AS114" i="8"/>
  <c r="AN114" i="8"/>
  <c r="AT142" i="8"/>
  <c r="AS142" i="8"/>
  <c r="AN142" i="8"/>
  <c r="Q113" i="8"/>
  <c r="AT74" i="8"/>
  <c r="AS74" i="8"/>
  <c r="AN74" i="8"/>
  <c r="AT122" i="8"/>
  <c r="AT50" i="8"/>
  <c r="AS50" i="8"/>
  <c r="AN50" i="8"/>
  <c r="AS51" i="8"/>
  <c r="AT51" i="8"/>
  <c r="Q51" i="8"/>
  <c r="P52" i="8" s="1"/>
  <c r="AT115" i="8"/>
  <c r="AS115" i="8"/>
  <c r="Q115" i="8"/>
  <c r="AT70" i="8"/>
  <c r="AS70" i="8"/>
  <c r="AN70" i="8"/>
  <c r="Q89" i="8"/>
  <c r="P92" i="8" s="1"/>
  <c r="AT62" i="8"/>
  <c r="AS62" i="8"/>
  <c r="AN62" i="8"/>
  <c r="Q125" i="8"/>
  <c r="P128" i="8" s="1"/>
  <c r="P84" i="8"/>
  <c r="P120" i="8"/>
  <c r="Q5" i="8"/>
  <c r="Q26" i="8"/>
  <c r="Q22" i="8"/>
  <c r="Q10" i="8"/>
  <c r="P12" i="8" s="1"/>
  <c r="Q37" i="8"/>
  <c r="P40" i="8" s="1"/>
  <c r="Q21" i="8"/>
  <c r="Q29" i="8"/>
  <c r="P32" i="8" s="1"/>
  <c r="Q25" i="8"/>
  <c r="Q17" i="8"/>
  <c r="P20" i="8" s="1"/>
  <c r="K141" i="8"/>
  <c r="AN141" i="8" s="1"/>
  <c r="AF135" i="8"/>
  <c r="AD135" i="8"/>
  <c r="AF91" i="8"/>
  <c r="AD91" i="8"/>
  <c r="AF103" i="8"/>
  <c r="AD103" i="8"/>
  <c r="AF143" i="8"/>
  <c r="AD143" i="8"/>
  <c r="AF115" i="8"/>
  <c r="AD115" i="8"/>
  <c r="AF123" i="8"/>
  <c r="AD123" i="8"/>
  <c r="AF58" i="8"/>
  <c r="AD58" i="8"/>
  <c r="AF99" i="8"/>
  <c r="AD99" i="8"/>
  <c r="AF131" i="8"/>
  <c r="AD131" i="8"/>
  <c r="AF63" i="8"/>
  <c r="AD63" i="8"/>
  <c r="AY6" i="8"/>
  <c r="AX6" i="8"/>
  <c r="AW6" i="8"/>
  <c r="AF111" i="8"/>
  <c r="AD111" i="8"/>
  <c r="AF71" i="8"/>
  <c r="AD71" i="8"/>
  <c r="AF139" i="8"/>
  <c r="AD139" i="8"/>
  <c r="AF122" i="8"/>
  <c r="AD122" i="8"/>
  <c r="AF67" i="8"/>
  <c r="AD67" i="8"/>
  <c r="AD87" i="8"/>
  <c r="AF87" i="8"/>
  <c r="AF95" i="8"/>
  <c r="AD95" i="8"/>
  <c r="AF59" i="8"/>
  <c r="AD59" i="8"/>
  <c r="AF127" i="8"/>
  <c r="AD127" i="8"/>
  <c r="AF79" i="8"/>
  <c r="AD79" i="8"/>
  <c r="AF107" i="8"/>
  <c r="AD107" i="8"/>
  <c r="AF75" i="8"/>
  <c r="AD75" i="8"/>
  <c r="AD119" i="8"/>
  <c r="AF119" i="8"/>
  <c r="AF130" i="8"/>
  <c r="AD130" i="8"/>
  <c r="AF83" i="8"/>
  <c r="AD83" i="8"/>
  <c r="AF55" i="8"/>
  <c r="AD55" i="8"/>
  <c r="AF51" i="8"/>
  <c r="AD51" i="8"/>
  <c r="AF47" i="8"/>
  <c r="AD47" i="8"/>
  <c r="AD43" i="8"/>
  <c r="AF43" i="8"/>
  <c r="AF39" i="8"/>
  <c r="AD39" i="8"/>
  <c r="AD35" i="8"/>
  <c r="AF35" i="8"/>
  <c r="AF31" i="8"/>
  <c r="AD31" i="8"/>
  <c r="AF27" i="8"/>
  <c r="AD27" i="8"/>
  <c r="AF23" i="8"/>
  <c r="AD23" i="8"/>
  <c r="AK26" i="8"/>
  <c r="AF26" i="8"/>
  <c r="AD26" i="8"/>
  <c r="AF22" i="8"/>
  <c r="AD22" i="8"/>
  <c r="AF19" i="8"/>
  <c r="AD19" i="8"/>
  <c r="AF15" i="8"/>
  <c r="AD15" i="8"/>
  <c r="AF11" i="8"/>
  <c r="AD11" i="8"/>
  <c r="AF10" i="8"/>
  <c r="AD10" i="8"/>
  <c r="Z10" i="8"/>
  <c r="BX30" i="9"/>
  <c r="CA30" i="9"/>
  <c r="BZ30" i="9"/>
  <c r="BY30" i="9"/>
  <c r="AA39" i="9"/>
  <c r="M34" i="9"/>
  <c r="AA34" i="9"/>
  <c r="Z34" i="9"/>
  <c r="N34" i="9" s="1"/>
  <c r="AA38" i="9"/>
  <c r="M38" i="9"/>
  <c r="Z38" i="9"/>
  <c r="N38" i="9" s="1"/>
  <c r="Z35" i="9"/>
  <c r="N35" i="9" s="1"/>
  <c r="M35" i="9"/>
  <c r="AA35" i="9"/>
  <c r="Z33" i="9"/>
  <c r="N33" i="9" s="1"/>
  <c r="M33" i="9"/>
  <c r="AA33" i="9"/>
  <c r="M39" i="9"/>
  <c r="Z39" i="9"/>
  <c r="N39" i="9" s="1"/>
  <c r="M37" i="9"/>
  <c r="AA37" i="9"/>
  <c r="Z37" i="9"/>
  <c r="N37" i="9" s="1"/>
  <c r="Z36" i="9"/>
  <c r="N36" i="9" s="1"/>
  <c r="M36" i="9"/>
  <c r="AA36" i="9"/>
  <c r="AM39" i="9"/>
  <c r="AK39" i="9"/>
  <c r="AJ39" i="9"/>
  <c r="K137" i="8"/>
  <c r="AO137" i="8" s="1"/>
  <c r="AO5" i="9"/>
  <c r="X119" i="8"/>
  <c r="AJ115" i="8"/>
  <c r="Z115" i="8"/>
  <c r="AK115" i="8"/>
  <c r="X135" i="8"/>
  <c r="X103" i="8"/>
  <c r="X123" i="8"/>
  <c r="X143" i="8"/>
  <c r="X115" i="8"/>
  <c r="Z135" i="8"/>
  <c r="AK135" i="8"/>
  <c r="AJ135" i="8"/>
  <c r="X131" i="8"/>
  <c r="Z103" i="8"/>
  <c r="AK103" i="8"/>
  <c r="AJ103" i="8"/>
  <c r="X111" i="8"/>
  <c r="X139" i="8"/>
  <c r="X127" i="8"/>
  <c r="X107" i="8"/>
  <c r="AK110" i="8"/>
  <c r="AJ110" i="8"/>
  <c r="Z110" i="8"/>
  <c r="Z138" i="8"/>
  <c r="AK138" i="8"/>
  <c r="AJ138" i="8"/>
  <c r="Z130" i="8"/>
  <c r="AJ130" i="8"/>
  <c r="AK130" i="8"/>
  <c r="Z106" i="8"/>
  <c r="AK106" i="8"/>
  <c r="AJ106" i="8"/>
  <c r="AJ126" i="8"/>
  <c r="Z126" i="8"/>
  <c r="AK126" i="8"/>
  <c r="Z118" i="8"/>
  <c r="AK118" i="8"/>
  <c r="AJ118" i="8"/>
  <c r="Z122" i="8"/>
  <c r="AJ122" i="8"/>
  <c r="AK134" i="8"/>
  <c r="Z134" i="8"/>
  <c r="AJ134" i="8"/>
  <c r="AK122" i="8"/>
  <c r="AK102" i="8"/>
  <c r="Z102" i="8"/>
  <c r="AJ102" i="8"/>
  <c r="AK114" i="8"/>
  <c r="AJ114" i="8"/>
  <c r="Z114" i="8"/>
  <c r="AK142" i="8"/>
  <c r="AJ142" i="8"/>
  <c r="Z142" i="8"/>
  <c r="AK98" i="8"/>
  <c r="AJ98" i="8"/>
  <c r="Z98" i="8"/>
  <c r="X99" i="8"/>
  <c r="AK94" i="8"/>
  <c r="AJ94" i="8"/>
  <c r="Z94" i="8"/>
  <c r="AK46" i="8"/>
  <c r="AJ46" i="8"/>
  <c r="Z46" i="8"/>
  <c r="X67" i="8"/>
  <c r="X87" i="8"/>
  <c r="X95" i="8"/>
  <c r="X59" i="8"/>
  <c r="AK71" i="8"/>
  <c r="AJ71" i="8"/>
  <c r="Z71" i="8"/>
  <c r="AJ22" i="8"/>
  <c r="X75" i="8"/>
  <c r="AK22" i="8"/>
  <c r="AK34" i="8"/>
  <c r="AJ34" i="8"/>
  <c r="Z34" i="8"/>
  <c r="X15" i="8"/>
  <c r="Z42" i="8"/>
  <c r="AK42" i="8"/>
  <c r="AJ42" i="8"/>
  <c r="X55" i="8"/>
  <c r="AK82" i="8"/>
  <c r="AJ82" i="8"/>
  <c r="Z82" i="8"/>
  <c r="X19" i="8"/>
  <c r="X35" i="8"/>
  <c r="AJ90" i="8"/>
  <c r="Z90" i="8"/>
  <c r="AK90" i="8"/>
  <c r="Z22" i="8"/>
  <c r="X31" i="8"/>
  <c r="X63" i="8"/>
  <c r="X83" i="8"/>
  <c r="Z30" i="8"/>
  <c r="AK30" i="8"/>
  <c r="AJ30" i="8"/>
  <c r="Z70" i="8"/>
  <c r="AK70" i="8"/>
  <c r="AJ70" i="8"/>
  <c r="AK62" i="8"/>
  <c r="AJ62" i="8"/>
  <c r="Z62" i="8"/>
  <c r="AK10" i="8"/>
  <c r="X23" i="8"/>
  <c r="X11" i="8"/>
  <c r="X91" i="8"/>
  <c r="AK38" i="8"/>
  <c r="AJ38" i="8"/>
  <c r="Z38" i="8"/>
  <c r="AK50" i="8"/>
  <c r="AJ50" i="8"/>
  <c r="Z50" i="8"/>
  <c r="AK78" i="8"/>
  <c r="AJ78" i="8"/>
  <c r="Z78" i="8"/>
  <c r="AK51" i="8"/>
  <c r="AJ51" i="8"/>
  <c r="Z51" i="8"/>
  <c r="X51" i="8"/>
  <c r="Z26" i="8"/>
  <c r="Z54" i="8"/>
  <c r="AK54" i="8"/>
  <c r="AJ54" i="8"/>
  <c r="X71" i="8"/>
  <c r="Z75" i="8"/>
  <c r="AK75" i="8"/>
  <c r="AJ75" i="8"/>
  <c r="X79" i="8"/>
  <c r="AK87" i="8"/>
  <c r="AJ87" i="8"/>
  <c r="Z87" i="8"/>
  <c r="AJ26" i="8"/>
  <c r="AK14" i="8"/>
  <c r="AJ14" i="8"/>
  <c r="Z14" i="8"/>
  <c r="AJ74" i="8"/>
  <c r="Z74" i="8"/>
  <c r="AK74" i="8"/>
  <c r="AJ10" i="8"/>
  <c r="AK18" i="8"/>
  <c r="AJ18" i="8"/>
  <c r="Z18" i="8"/>
  <c r="X39" i="8"/>
  <c r="X27" i="8"/>
  <c r="AJ58" i="8"/>
  <c r="Z58" i="8"/>
  <c r="AK58" i="8"/>
  <c r="Z86" i="8"/>
  <c r="AK86" i="8"/>
  <c r="AJ86" i="8"/>
  <c r="Z66" i="8"/>
  <c r="AK66" i="8"/>
  <c r="AJ66" i="8"/>
  <c r="X47" i="8"/>
  <c r="X43" i="8"/>
  <c r="Z6" i="8"/>
  <c r="AS6" i="8"/>
  <c r="AK6" i="8"/>
  <c r="AJ6" i="8"/>
  <c r="AF7" i="8"/>
  <c r="AD7" i="8"/>
  <c r="AF6" i="8"/>
  <c r="AD6" i="8"/>
  <c r="K20" i="8"/>
  <c r="AL40" i="6"/>
  <c r="AI40" i="6" s="1"/>
  <c r="AK40" i="6"/>
  <c r="AL37" i="6"/>
  <c r="AI37" i="6" s="1"/>
  <c r="AK37" i="6"/>
  <c r="AL39" i="6"/>
  <c r="AI39" i="6" s="1"/>
  <c r="AG39" i="6" s="1"/>
  <c r="AE38" i="9" s="1"/>
  <c r="AH38" i="9" s="1"/>
  <c r="AK39" i="6"/>
  <c r="AL38" i="6"/>
  <c r="AI38" i="6" s="1"/>
  <c r="AG38" i="6" s="1"/>
  <c r="AE37" i="9" s="1"/>
  <c r="AH37" i="9" s="1"/>
  <c r="AK38" i="6"/>
  <c r="K135" i="8"/>
  <c r="AR135" i="8" s="1"/>
  <c r="K122" i="8"/>
  <c r="AR122" i="8" s="1"/>
  <c r="K131" i="8"/>
  <c r="X7" i="8"/>
  <c r="K48" i="8"/>
  <c r="K51" i="8"/>
  <c r="K21" i="8"/>
  <c r="AR21" i="8" s="1"/>
  <c r="K29" i="8"/>
  <c r="AO29" i="8" s="1"/>
  <c r="K9" i="8"/>
  <c r="AN9" i="8" s="1"/>
  <c r="K19" i="8"/>
  <c r="AK31" i="10"/>
  <c r="AH6" i="6"/>
  <c r="K85" i="8"/>
  <c r="AO85" i="8" s="1"/>
  <c r="K120" i="8"/>
  <c r="K125" i="8"/>
  <c r="AT125" i="8" s="1"/>
  <c r="K17" i="10"/>
  <c r="K113" i="8"/>
  <c r="AR113" i="8" s="1"/>
  <c r="K66" i="8"/>
  <c r="AR66" i="8" s="1"/>
  <c r="K59" i="8"/>
  <c r="K115" i="8"/>
  <c r="K73" i="8"/>
  <c r="AN73" i="8" s="1"/>
  <c r="K60" i="8"/>
  <c r="K77" i="8"/>
  <c r="AO77" i="8" s="1"/>
  <c r="D5" i="9"/>
  <c r="K93" i="8"/>
  <c r="AO93" i="8" s="1"/>
  <c r="K81" i="8"/>
  <c r="AO81" i="8" s="1"/>
  <c r="K87" i="8"/>
  <c r="AR87" i="8" s="1"/>
  <c r="AT6" i="8"/>
  <c r="K71" i="8"/>
  <c r="K56" i="8"/>
  <c r="K10" i="8"/>
  <c r="AR10" i="8" s="1"/>
  <c r="K44" i="8"/>
  <c r="K139" i="8"/>
  <c r="K130" i="8"/>
  <c r="AR130" i="8" s="1"/>
  <c r="K121" i="8"/>
  <c r="AW121" i="8" s="1"/>
  <c r="K112" i="8"/>
  <c r="K108" i="8"/>
  <c r="K104" i="8"/>
  <c r="K100" i="8"/>
  <c r="K96" i="8"/>
  <c r="K92" i="8"/>
  <c r="K78" i="8"/>
  <c r="AR78" i="8" s="1"/>
  <c r="K74" i="8"/>
  <c r="AR74" i="8" s="1"/>
  <c r="K75" i="8"/>
  <c r="AR75" i="8" s="1"/>
  <c r="K70" i="8"/>
  <c r="AR70" i="8" s="1"/>
  <c r="K62" i="8"/>
  <c r="AR62" i="8" s="1"/>
  <c r="K61" i="8"/>
  <c r="K50" i="8"/>
  <c r="AR50" i="8" s="1"/>
  <c r="K42" i="8"/>
  <c r="AR42" i="8" s="1"/>
  <c r="K32" i="8"/>
  <c r="K28" i="8"/>
  <c r="K23" i="8"/>
  <c r="K22" i="8"/>
  <c r="AR22" i="8" s="1"/>
  <c r="K18" i="8"/>
  <c r="AR18" i="8" s="1"/>
  <c r="K16" i="8"/>
  <c r="K142" i="8"/>
  <c r="AR142" i="8" s="1"/>
  <c r="K143" i="8"/>
  <c r="K144" i="8"/>
  <c r="K138" i="8"/>
  <c r="AR138" i="8" s="1"/>
  <c r="K140" i="8"/>
  <c r="K133" i="8"/>
  <c r="AR133" i="8" s="1"/>
  <c r="K134" i="8"/>
  <c r="AR134" i="8" s="1"/>
  <c r="K136" i="8"/>
  <c r="K132" i="8"/>
  <c r="K129" i="8"/>
  <c r="AN129" i="8" s="1"/>
  <c r="K126" i="8"/>
  <c r="AR126" i="8" s="1"/>
  <c r="K127" i="8"/>
  <c r="K128" i="8"/>
  <c r="K123" i="8"/>
  <c r="K124" i="8"/>
  <c r="K117" i="8"/>
  <c r="AO117" i="8" s="1"/>
  <c r="K118" i="8"/>
  <c r="AR118" i="8" s="1"/>
  <c r="K119" i="8"/>
  <c r="K116" i="8"/>
  <c r="K114" i="8"/>
  <c r="AR114" i="8" s="1"/>
  <c r="K109" i="8"/>
  <c r="AO109" i="8" s="1"/>
  <c r="K110" i="8"/>
  <c r="AR110" i="8" s="1"/>
  <c r="K111" i="8"/>
  <c r="K105" i="8"/>
  <c r="K106" i="8"/>
  <c r="AR106" i="8" s="1"/>
  <c r="K107" i="8"/>
  <c r="K101" i="8"/>
  <c r="AW101" i="8" s="1"/>
  <c r="K102" i="8"/>
  <c r="AR102" i="8" s="1"/>
  <c r="K103" i="8"/>
  <c r="K97" i="8"/>
  <c r="AN97" i="8" s="1"/>
  <c r="K98" i="8"/>
  <c r="AR98" i="8" s="1"/>
  <c r="K99" i="8"/>
  <c r="K94" i="8"/>
  <c r="AR94" i="8" s="1"/>
  <c r="K95" i="8"/>
  <c r="K89" i="8"/>
  <c r="AO89" i="8" s="1"/>
  <c r="K90" i="8"/>
  <c r="AR90" i="8" s="1"/>
  <c r="K91" i="8"/>
  <c r="K86" i="8"/>
  <c r="AR86" i="8" s="1"/>
  <c r="K88" i="8"/>
  <c r="K82" i="8"/>
  <c r="AR82" i="8" s="1"/>
  <c r="K83" i="8"/>
  <c r="K84" i="8"/>
  <c r="K79" i="8"/>
  <c r="K80" i="8"/>
  <c r="K76" i="8"/>
  <c r="K69" i="8"/>
  <c r="AO69" i="8" s="1"/>
  <c r="K72" i="8"/>
  <c r="K67" i="8"/>
  <c r="K68" i="8"/>
  <c r="K65" i="8"/>
  <c r="AS65" i="8" s="1"/>
  <c r="K63" i="8"/>
  <c r="K64" i="8"/>
  <c r="K57" i="8"/>
  <c r="AT57" i="8" s="1"/>
  <c r="K58" i="8"/>
  <c r="AR58" i="8" s="1"/>
  <c r="K53" i="8"/>
  <c r="AN53" i="8" s="1"/>
  <c r="K54" i="8"/>
  <c r="AR54" i="8" s="1"/>
  <c r="K55" i="8"/>
  <c r="K49" i="8"/>
  <c r="AS49" i="8" s="1"/>
  <c r="K52" i="8"/>
  <c r="K45" i="8"/>
  <c r="AO45" i="8" s="1"/>
  <c r="K46" i="8"/>
  <c r="AR46" i="8" s="1"/>
  <c r="K47" i="8"/>
  <c r="K41" i="8"/>
  <c r="AW41" i="8" s="1"/>
  <c r="K43" i="8"/>
  <c r="K37" i="8"/>
  <c r="AO37" i="8" s="1"/>
  <c r="K38" i="8"/>
  <c r="AR38" i="8" s="1"/>
  <c r="K39" i="8"/>
  <c r="K40" i="8"/>
  <c r="K33" i="8"/>
  <c r="AO33" i="8" s="1"/>
  <c r="K34" i="8"/>
  <c r="AR34" i="8" s="1"/>
  <c r="K35" i="8"/>
  <c r="K36" i="8"/>
  <c r="K31" i="8"/>
  <c r="K30" i="8"/>
  <c r="AR30" i="8" s="1"/>
  <c r="K25" i="8"/>
  <c r="AO25" i="8" s="1"/>
  <c r="K27" i="8"/>
  <c r="K26" i="8"/>
  <c r="AR26" i="8" s="1"/>
  <c r="K24" i="8"/>
  <c r="K17" i="8"/>
  <c r="AY17" i="8" s="1"/>
  <c r="K14" i="8"/>
  <c r="AR14" i="8" s="1"/>
  <c r="K15" i="8"/>
  <c r="K13" i="8"/>
  <c r="AO13" i="8" s="1"/>
  <c r="K11" i="8"/>
  <c r="K12" i="8"/>
  <c r="K7" i="8"/>
  <c r="K8" i="8"/>
  <c r="K6" i="8"/>
  <c r="K5" i="8"/>
  <c r="AX5" i="8" s="1"/>
  <c r="AW141" i="8" l="1"/>
  <c r="P28" i="8"/>
  <c r="AE141" i="8"/>
  <c r="AW133" i="8"/>
  <c r="Z141" i="8"/>
  <c r="AX73" i="8"/>
  <c r="X141" i="8"/>
  <c r="AY125" i="8"/>
  <c r="P136" i="8"/>
  <c r="AY81" i="8"/>
  <c r="AW125" i="8"/>
  <c r="AW81" i="8"/>
  <c r="AO125" i="8"/>
  <c r="AR93" i="8"/>
  <c r="AX101" i="8"/>
  <c r="AX29" i="8"/>
  <c r="AN117" i="8"/>
  <c r="AO97" i="8"/>
  <c r="AR101" i="8"/>
  <c r="AY117" i="8"/>
  <c r="AS137" i="8"/>
  <c r="AO49" i="8"/>
  <c r="AW129" i="8"/>
  <c r="AR25" i="8"/>
  <c r="AN13" i="8"/>
  <c r="AY129" i="8"/>
  <c r="AY53" i="8"/>
  <c r="AO129" i="8"/>
  <c r="AW53" i="8"/>
  <c r="AR37" i="8"/>
  <c r="AX125" i="8"/>
  <c r="AO53" i="8"/>
  <c r="AW45" i="8"/>
  <c r="P104" i="8"/>
  <c r="P61" i="8"/>
  <c r="AR125" i="8"/>
  <c r="AS109" i="8"/>
  <c r="AY101" i="8"/>
  <c r="X142" i="8"/>
  <c r="AY133" i="8"/>
  <c r="AT21" i="8"/>
  <c r="AY49" i="8"/>
  <c r="AY76" i="8"/>
  <c r="AX76" i="8"/>
  <c r="AW76" i="8"/>
  <c r="AT76" i="8"/>
  <c r="AS76" i="8"/>
  <c r="AR76" i="8"/>
  <c r="AO76" i="8"/>
  <c r="AN76" i="8"/>
  <c r="AO103" i="8"/>
  <c r="AN103" i="8"/>
  <c r="AW103" i="8"/>
  <c r="AY103" i="8"/>
  <c r="AX103" i="8"/>
  <c r="AY128" i="8"/>
  <c r="AX128" i="8"/>
  <c r="AW128" i="8"/>
  <c r="AT128" i="8"/>
  <c r="AS128" i="8"/>
  <c r="AR128" i="8"/>
  <c r="AO128" i="8"/>
  <c r="AN128" i="8"/>
  <c r="AO23" i="8"/>
  <c r="AN23" i="8"/>
  <c r="AW23" i="8"/>
  <c r="AY23" i="8"/>
  <c r="AX23" i="8"/>
  <c r="AR23" i="8"/>
  <c r="AY112" i="8"/>
  <c r="AX112" i="8"/>
  <c r="AW112" i="8"/>
  <c r="AT112" i="8"/>
  <c r="AS112" i="8"/>
  <c r="AR112" i="8"/>
  <c r="AO112" i="8"/>
  <c r="AN112" i="8"/>
  <c r="AO115" i="8"/>
  <c r="AN115" i="8"/>
  <c r="AW115" i="8"/>
  <c r="AY115" i="8"/>
  <c r="AX115" i="8"/>
  <c r="W141" i="8"/>
  <c r="AO133" i="8"/>
  <c r="AT129" i="8"/>
  <c r="AX25" i="8"/>
  <c r="AT53" i="8"/>
  <c r="AO141" i="8"/>
  <c r="AR29" i="8"/>
  <c r="AY21" i="8"/>
  <c r="AX37" i="8"/>
  <c r="AS117" i="8"/>
  <c r="AY69" i="8"/>
  <c r="AW49" i="8"/>
  <c r="AY60" i="8"/>
  <c r="AX60" i="8"/>
  <c r="AW60" i="8"/>
  <c r="AT60" i="8"/>
  <c r="AS60" i="8"/>
  <c r="AR60" i="8"/>
  <c r="AO60" i="8"/>
  <c r="AN60" i="8"/>
  <c r="AO47" i="8"/>
  <c r="AN47" i="8"/>
  <c r="AW47" i="8"/>
  <c r="AY47" i="8"/>
  <c r="AX47" i="8"/>
  <c r="AR47" i="8"/>
  <c r="AF73" i="8"/>
  <c r="P73" i="8"/>
  <c r="AY28" i="8"/>
  <c r="AX28" i="8"/>
  <c r="AW28" i="8"/>
  <c r="AT28" i="8"/>
  <c r="AS28" i="8"/>
  <c r="AR28" i="8"/>
  <c r="AO28" i="8"/>
  <c r="AN28" i="8"/>
  <c r="AY52" i="8"/>
  <c r="AX52" i="8"/>
  <c r="AW52" i="8"/>
  <c r="AT52" i="8"/>
  <c r="AS52" i="8"/>
  <c r="AR52" i="8"/>
  <c r="AO52" i="8"/>
  <c r="AN52" i="8"/>
  <c r="AO79" i="8"/>
  <c r="AN79" i="8"/>
  <c r="AW79" i="8"/>
  <c r="AY79" i="8"/>
  <c r="AX79" i="8"/>
  <c r="AR79" i="8"/>
  <c r="P101" i="8"/>
  <c r="AS101" i="8"/>
  <c r="AN101" i="8"/>
  <c r="AY32" i="8"/>
  <c r="AX32" i="8"/>
  <c r="AW32" i="8"/>
  <c r="AT32" i="8"/>
  <c r="AS32" i="8"/>
  <c r="AR32" i="8"/>
  <c r="AO32" i="8"/>
  <c r="AN32" i="8"/>
  <c r="AT101" i="8"/>
  <c r="AS129" i="8"/>
  <c r="AN113" i="8"/>
  <c r="AY13" i="8"/>
  <c r="AX133" i="8"/>
  <c r="AW117" i="8"/>
  <c r="AW21" i="8"/>
  <c r="AY113" i="8"/>
  <c r="AY85" i="8"/>
  <c r="AT17" i="8"/>
  <c r="AW69" i="8"/>
  <c r="AT49" i="8"/>
  <c r="AO101" i="8"/>
  <c r="AX77" i="8"/>
  <c r="AS113" i="8"/>
  <c r="AW13" i="8"/>
  <c r="AT117" i="8"/>
  <c r="AO21" i="8"/>
  <c r="AT65" i="8"/>
  <c r="AW85" i="8"/>
  <c r="AW17" i="8"/>
  <c r="AS85" i="8"/>
  <c r="AY37" i="8"/>
  <c r="AY72" i="8"/>
  <c r="AX72" i="8"/>
  <c r="AW72" i="8"/>
  <c r="AT72" i="8"/>
  <c r="AS72" i="8"/>
  <c r="AR72" i="8"/>
  <c r="AO72" i="8"/>
  <c r="AN72" i="8"/>
  <c r="AY84" i="8"/>
  <c r="AX84" i="8"/>
  <c r="AW84" i="8"/>
  <c r="AT84" i="8"/>
  <c r="AS84" i="8"/>
  <c r="AR84" i="8"/>
  <c r="AO84" i="8"/>
  <c r="AN84" i="8"/>
  <c r="AO31" i="8"/>
  <c r="AN31" i="8"/>
  <c r="AW31" i="8"/>
  <c r="AY31" i="8"/>
  <c r="AX31" i="8"/>
  <c r="AR31" i="8"/>
  <c r="AO55" i="8"/>
  <c r="AN55" i="8"/>
  <c r="AW55" i="8"/>
  <c r="AY55" i="8"/>
  <c r="AX55" i="8"/>
  <c r="AR55" i="8"/>
  <c r="AO83" i="8"/>
  <c r="AN83" i="8"/>
  <c r="AW83" i="8"/>
  <c r="AY83" i="8"/>
  <c r="AX83" i="8"/>
  <c r="AR83" i="8"/>
  <c r="AY132" i="8"/>
  <c r="AX132" i="8"/>
  <c r="AW132" i="8"/>
  <c r="AT132" i="8"/>
  <c r="AS132" i="8"/>
  <c r="AR132" i="8"/>
  <c r="AO132" i="8"/>
  <c r="AN132" i="8"/>
  <c r="AY44" i="8"/>
  <c r="AX44" i="8"/>
  <c r="AW44" i="8"/>
  <c r="AT44" i="8"/>
  <c r="AS44" i="8"/>
  <c r="AR44" i="8"/>
  <c r="AO44" i="8"/>
  <c r="AN44" i="8"/>
  <c r="AD141" i="8"/>
  <c r="AX89" i="8"/>
  <c r="AR115" i="8"/>
  <c r="AR77" i="8"/>
  <c r="AY77" i="8"/>
  <c r="AT13" i="8"/>
  <c r="AY9" i="8"/>
  <c r="AY137" i="8"/>
  <c r="AW65" i="8"/>
  <c r="AT85" i="8"/>
  <c r="AO17" i="8"/>
  <c r="AN85" i="8"/>
  <c r="AT37" i="8"/>
  <c r="AR89" i="8"/>
  <c r="AY89" i="8"/>
  <c r="AW61" i="8"/>
  <c r="AW77" i="8"/>
  <c r="AW9" i="8"/>
  <c r="AT73" i="8"/>
  <c r="AW137" i="8"/>
  <c r="AS121" i="8"/>
  <c r="AY65" i="8"/>
  <c r="AR103" i="8"/>
  <c r="AT109" i="8"/>
  <c r="AW37" i="8"/>
  <c r="Y141" i="8"/>
  <c r="AS97" i="8"/>
  <c r="AT89" i="8"/>
  <c r="AT77" i="8"/>
  <c r="AT9" i="8"/>
  <c r="AW73" i="8"/>
  <c r="AT137" i="8"/>
  <c r="AN121" i="8"/>
  <c r="AO65" i="8"/>
  <c r="AN65" i="8"/>
  <c r="AY109" i="8"/>
  <c r="AT25" i="8"/>
  <c r="AY124" i="8"/>
  <c r="AX124" i="8"/>
  <c r="AW124" i="8"/>
  <c r="AT124" i="8"/>
  <c r="AS124" i="8"/>
  <c r="AR124" i="8"/>
  <c r="AO124" i="8"/>
  <c r="AN124" i="8"/>
  <c r="AY24" i="8"/>
  <c r="AX24" i="8"/>
  <c r="AW24" i="8"/>
  <c r="AT24" i="8"/>
  <c r="AS24" i="8"/>
  <c r="AR24" i="8"/>
  <c r="AO24" i="8"/>
  <c r="AN24" i="8"/>
  <c r="AR45" i="8"/>
  <c r="AX45" i="8"/>
  <c r="AO139" i="8"/>
  <c r="AN139" i="8"/>
  <c r="AW139" i="8"/>
  <c r="AY139" i="8"/>
  <c r="AX139" i="8"/>
  <c r="AR139" i="8"/>
  <c r="AF105" i="8"/>
  <c r="P105" i="8"/>
  <c r="L105" i="8" s="1"/>
  <c r="AX105" i="8"/>
  <c r="AR105" i="8"/>
  <c r="AY88" i="8"/>
  <c r="AX88" i="8"/>
  <c r="AW88" i="8"/>
  <c r="AT88" i="8"/>
  <c r="AS88" i="8"/>
  <c r="AR88" i="8"/>
  <c r="AO88" i="8"/>
  <c r="AN88" i="8"/>
  <c r="AO71" i="8"/>
  <c r="AN71" i="8"/>
  <c r="AW71" i="8"/>
  <c r="AY71" i="8"/>
  <c r="AX71" i="8"/>
  <c r="P85" i="8"/>
  <c r="AR85" i="8"/>
  <c r="AX85" i="8"/>
  <c r="AW89" i="8"/>
  <c r="P116" i="8"/>
  <c r="AY41" i="8"/>
  <c r="AX21" i="8"/>
  <c r="AO9" i="8"/>
  <c r="AY73" i="8"/>
  <c r="AS57" i="8"/>
  <c r="AS53" i="8"/>
  <c r="AW109" i="8"/>
  <c r="AY25" i="8"/>
  <c r="AS25" i="8"/>
  <c r="AO123" i="8"/>
  <c r="AN123" i="8"/>
  <c r="AW123" i="8"/>
  <c r="AY123" i="8"/>
  <c r="AX123" i="8"/>
  <c r="AR123" i="8"/>
  <c r="AF141" i="8"/>
  <c r="AO59" i="8"/>
  <c r="AN59" i="8"/>
  <c r="AW59" i="8"/>
  <c r="AY59" i="8"/>
  <c r="AX59" i="8"/>
  <c r="AR59" i="8"/>
  <c r="AO7" i="8"/>
  <c r="AN7" i="8"/>
  <c r="AW7" i="8"/>
  <c r="AY7" i="8"/>
  <c r="AX7" i="8"/>
  <c r="AO91" i="8"/>
  <c r="AN91" i="8"/>
  <c r="AW91" i="8"/>
  <c r="AY91" i="8"/>
  <c r="AX91" i="8"/>
  <c r="AR91" i="8"/>
  <c r="AY140" i="8"/>
  <c r="AX140" i="8"/>
  <c r="AW140" i="8"/>
  <c r="AT140" i="8"/>
  <c r="AS140" i="8"/>
  <c r="AR140" i="8"/>
  <c r="AO140" i="8"/>
  <c r="AN140" i="8"/>
  <c r="AO75" i="8"/>
  <c r="AN75" i="8"/>
  <c r="AW75" i="8"/>
  <c r="AY75" i="8"/>
  <c r="AX75" i="8"/>
  <c r="AD137" i="8"/>
  <c r="P137" i="8"/>
  <c r="L137" i="8" s="1"/>
  <c r="AR137" i="8"/>
  <c r="AX137" i="8"/>
  <c r="AX113" i="8"/>
  <c r="AT41" i="8"/>
  <c r="AO61" i="8"/>
  <c r="AS61" i="8"/>
  <c r="AW113" i="8"/>
  <c r="AW29" i="8"/>
  <c r="P72" i="8"/>
  <c r="AO73" i="8"/>
  <c r="AN57" i="8"/>
  <c r="AS9" i="8"/>
  <c r="AX61" i="8"/>
  <c r="AY121" i="8"/>
  <c r="AW25" i="8"/>
  <c r="AN25" i="8"/>
  <c r="P97" i="8"/>
  <c r="AR97" i="8"/>
  <c r="AX97" i="8"/>
  <c r="AO107" i="8"/>
  <c r="AN107" i="8"/>
  <c r="AW107" i="8"/>
  <c r="AY107" i="8"/>
  <c r="AX107" i="8"/>
  <c r="AR107" i="8"/>
  <c r="AD125" i="8"/>
  <c r="P125" i="8"/>
  <c r="L125" i="8" s="1"/>
  <c r="AS125" i="8"/>
  <c r="AN125" i="8"/>
  <c r="AY120" i="8"/>
  <c r="AX120" i="8"/>
  <c r="AW120" i="8"/>
  <c r="AT120" i="8"/>
  <c r="AS120" i="8"/>
  <c r="AR120" i="8"/>
  <c r="AO120" i="8"/>
  <c r="AN120" i="8"/>
  <c r="P133" i="8"/>
  <c r="L133" i="8" s="1"/>
  <c r="AS133" i="8"/>
  <c r="AN133" i="8"/>
  <c r="P57" i="8"/>
  <c r="AR57" i="8"/>
  <c r="AX57" i="8"/>
  <c r="P109" i="8"/>
  <c r="L109" i="8" s="1"/>
  <c r="AR109" i="8"/>
  <c r="AX109" i="8"/>
  <c r="AY12" i="8"/>
  <c r="AX12" i="8"/>
  <c r="AW12" i="8"/>
  <c r="AT12" i="8"/>
  <c r="AS12" i="8"/>
  <c r="AR12" i="8"/>
  <c r="AN12" i="8"/>
  <c r="AO12" i="8"/>
  <c r="AY40" i="8"/>
  <c r="AX40" i="8"/>
  <c r="AW40" i="8"/>
  <c r="AT40" i="8"/>
  <c r="AS40" i="8"/>
  <c r="AR40" i="8"/>
  <c r="AO40" i="8"/>
  <c r="AN40" i="8"/>
  <c r="AY64" i="8"/>
  <c r="AX64" i="8"/>
  <c r="AW64" i="8"/>
  <c r="AT64" i="8"/>
  <c r="AS64" i="8"/>
  <c r="AR64" i="8"/>
  <c r="AO64" i="8"/>
  <c r="AN64" i="8"/>
  <c r="AO87" i="8"/>
  <c r="AN87" i="8"/>
  <c r="AW87" i="8"/>
  <c r="AY87" i="8"/>
  <c r="AX87" i="8"/>
  <c r="P8" i="8"/>
  <c r="AN61" i="8"/>
  <c r="AT61" i="8"/>
  <c r="AY29" i="8"/>
  <c r="AY93" i="8"/>
  <c r="AR61" i="8"/>
  <c r="AY33" i="8"/>
  <c r="AY57" i="8"/>
  <c r="AT121" i="8"/>
  <c r="AS33" i="8"/>
  <c r="AW5" i="8"/>
  <c r="AR41" i="8"/>
  <c r="AX41" i="8"/>
  <c r="AY104" i="8"/>
  <c r="AX104" i="8"/>
  <c r="AW104" i="8"/>
  <c r="AT104" i="8"/>
  <c r="AS104" i="8"/>
  <c r="AR104" i="8"/>
  <c r="AO104" i="8"/>
  <c r="AN104" i="8"/>
  <c r="AY48" i="8"/>
  <c r="AX48" i="8"/>
  <c r="AW48" i="8"/>
  <c r="AT48" i="8"/>
  <c r="AS48" i="8"/>
  <c r="AR48" i="8"/>
  <c r="AO48" i="8"/>
  <c r="AN48" i="8"/>
  <c r="AY80" i="8"/>
  <c r="AX80" i="8"/>
  <c r="AW80" i="8"/>
  <c r="AT80" i="8"/>
  <c r="AS80" i="8"/>
  <c r="AR80" i="8"/>
  <c r="AO80" i="8"/>
  <c r="AN80" i="8"/>
  <c r="AF113" i="8"/>
  <c r="P113" i="8"/>
  <c r="L113" i="8" s="1"/>
  <c r="AO35" i="8"/>
  <c r="AN35" i="8"/>
  <c r="AY35" i="8"/>
  <c r="AX35" i="8"/>
  <c r="AW35" i="8"/>
  <c r="AR35" i="8"/>
  <c r="AY56" i="8"/>
  <c r="AX56" i="8"/>
  <c r="AW56" i="8"/>
  <c r="AT56" i="8"/>
  <c r="AS56" i="8"/>
  <c r="AR56" i="8"/>
  <c r="AO56" i="8"/>
  <c r="AN56" i="8"/>
  <c r="AO11" i="8"/>
  <c r="AN11" i="8"/>
  <c r="AW11" i="8"/>
  <c r="AY11" i="8"/>
  <c r="AX11" i="8"/>
  <c r="AR11" i="8"/>
  <c r="AO63" i="8"/>
  <c r="AN63" i="8"/>
  <c r="AW63" i="8"/>
  <c r="AY63" i="8"/>
  <c r="AX63" i="8"/>
  <c r="AR63" i="8"/>
  <c r="P89" i="8"/>
  <c r="AS89" i="8"/>
  <c r="AN89" i="8"/>
  <c r="AY116" i="8"/>
  <c r="AX116" i="8"/>
  <c r="AW116" i="8"/>
  <c r="AT116" i="8"/>
  <c r="AS116" i="8"/>
  <c r="AR116" i="8"/>
  <c r="AO116" i="8"/>
  <c r="AN116" i="8"/>
  <c r="AY144" i="8"/>
  <c r="AX144" i="8"/>
  <c r="AW144" i="8"/>
  <c r="AT144" i="8"/>
  <c r="AS144" i="8"/>
  <c r="AR144" i="8"/>
  <c r="AO144" i="8"/>
  <c r="AN144" i="8"/>
  <c r="AE81" i="8"/>
  <c r="P81" i="8"/>
  <c r="AX81" i="8"/>
  <c r="AR81" i="8"/>
  <c r="AO19" i="8"/>
  <c r="AN19" i="8"/>
  <c r="AW19" i="8"/>
  <c r="AY19" i="8"/>
  <c r="AX19" i="8"/>
  <c r="AR19" i="8"/>
  <c r="AO41" i="8"/>
  <c r="AT105" i="8"/>
  <c r="AS41" i="8"/>
  <c r="AT29" i="8"/>
  <c r="AT113" i="8"/>
  <c r="AT93" i="8"/>
  <c r="AT33" i="8"/>
  <c r="AW57" i="8"/>
  <c r="AN105" i="8"/>
  <c r="AN33" i="8"/>
  <c r="P69" i="8"/>
  <c r="AN69" i="8"/>
  <c r="AS69" i="8"/>
  <c r="AS73" i="8"/>
  <c r="P121" i="8"/>
  <c r="L121" i="8" s="1"/>
  <c r="AR121" i="8"/>
  <c r="AX121" i="8"/>
  <c r="AR13" i="8"/>
  <c r="AX13" i="8"/>
  <c r="AK141" i="8"/>
  <c r="AN49" i="8"/>
  <c r="AX69" i="8"/>
  <c r="AY105" i="8"/>
  <c r="AN41" i="8"/>
  <c r="AY61" i="8"/>
  <c r="AR71" i="8"/>
  <c r="AW93" i="8"/>
  <c r="AW33" i="8"/>
  <c r="AO57" i="8"/>
  <c r="AO121" i="8"/>
  <c r="AS105" i="8"/>
  <c r="AY97" i="8"/>
  <c r="AS17" i="8"/>
  <c r="AN17" i="8"/>
  <c r="AO51" i="8"/>
  <c r="AN51" i="8"/>
  <c r="AW51" i="8"/>
  <c r="AY51" i="8"/>
  <c r="AX51" i="8"/>
  <c r="AY108" i="8"/>
  <c r="AX108" i="8"/>
  <c r="AW108" i="8"/>
  <c r="AT108" i="8"/>
  <c r="AS108" i="8"/>
  <c r="AR108" i="8"/>
  <c r="AO108" i="8"/>
  <c r="AN108" i="8"/>
  <c r="P141" i="8"/>
  <c r="L141" i="8" s="1"/>
  <c r="AR141" i="8"/>
  <c r="AX141" i="8"/>
  <c r="AR73" i="8"/>
  <c r="AO127" i="8"/>
  <c r="AN127" i="8"/>
  <c r="AY127" i="8"/>
  <c r="AX127" i="8"/>
  <c r="AW127" i="8"/>
  <c r="AR127" i="8"/>
  <c r="AT69" i="8"/>
  <c r="AC129" i="8"/>
  <c r="P129" i="8"/>
  <c r="L129" i="8" s="1"/>
  <c r="AR129" i="8"/>
  <c r="AX129" i="8"/>
  <c r="AY36" i="8"/>
  <c r="AX36" i="8"/>
  <c r="AW36" i="8"/>
  <c r="AT36" i="8"/>
  <c r="AS36" i="8"/>
  <c r="AR36" i="8"/>
  <c r="AO36" i="8"/>
  <c r="AN36" i="8"/>
  <c r="AO39" i="8"/>
  <c r="AN39" i="8"/>
  <c r="AW39" i="8"/>
  <c r="AY39" i="8"/>
  <c r="AX39" i="8"/>
  <c r="AR39" i="8"/>
  <c r="P65" i="8"/>
  <c r="AR65" i="8"/>
  <c r="AX65" i="8"/>
  <c r="AO119" i="8"/>
  <c r="AN119" i="8"/>
  <c r="AW119" i="8"/>
  <c r="AY119" i="8"/>
  <c r="AX119" i="8"/>
  <c r="AR119" i="8"/>
  <c r="AY92" i="8"/>
  <c r="AX92" i="8"/>
  <c r="AW92" i="8"/>
  <c r="AT92" i="8"/>
  <c r="AS92" i="8"/>
  <c r="AR92" i="8"/>
  <c r="AO92" i="8"/>
  <c r="AN92" i="8"/>
  <c r="AR9" i="8"/>
  <c r="AX9" i="8"/>
  <c r="AS37" i="8"/>
  <c r="AN37" i="8"/>
  <c r="AY68" i="8"/>
  <c r="AX68" i="8"/>
  <c r="AW68" i="8"/>
  <c r="AT68" i="8"/>
  <c r="AS68" i="8"/>
  <c r="AR68" i="8"/>
  <c r="AO68" i="8"/>
  <c r="AN68" i="8"/>
  <c r="AY96" i="8"/>
  <c r="AX96" i="8"/>
  <c r="AW96" i="8"/>
  <c r="AT96" i="8"/>
  <c r="AS96" i="8"/>
  <c r="AR96" i="8"/>
  <c r="AO96" i="8"/>
  <c r="AN96" i="8"/>
  <c r="AN29" i="8"/>
  <c r="AS29" i="8"/>
  <c r="AY20" i="8"/>
  <c r="AX20" i="8"/>
  <c r="AW20" i="8"/>
  <c r="AT20" i="8"/>
  <c r="AS20" i="8"/>
  <c r="AR20" i="8"/>
  <c r="AO20" i="8"/>
  <c r="AN20" i="8"/>
  <c r="AI141" i="8"/>
  <c r="AR51" i="8"/>
  <c r="AR69" i="8"/>
  <c r="AW105" i="8"/>
  <c r="AX17" i="8"/>
  <c r="AS141" i="8"/>
  <c r="AN81" i="8"/>
  <c r="AT45" i="8"/>
  <c r="AS45" i="8"/>
  <c r="AW97" i="8"/>
  <c r="AT141" i="8"/>
  <c r="AO27" i="8"/>
  <c r="AN27" i="8"/>
  <c r="AW27" i="8"/>
  <c r="AY27" i="8"/>
  <c r="AX27" i="8"/>
  <c r="AR27" i="8"/>
  <c r="AO131" i="8"/>
  <c r="AN131" i="8"/>
  <c r="AW131" i="8"/>
  <c r="AY131" i="8"/>
  <c r="AX131" i="8"/>
  <c r="AR131" i="8"/>
  <c r="P49" i="8"/>
  <c r="AR49" i="8"/>
  <c r="AX49" i="8"/>
  <c r="AO135" i="8"/>
  <c r="AN135" i="8"/>
  <c r="AW135" i="8"/>
  <c r="AY135" i="8"/>
  <c r="AX135" i="8"/>
  <c r="AY136" i="8"/>
  <c r="AX136" i="8"/>
  <c r="AW136" i="8"/>
  <c r="AT136" i="8"/>
  <c r="AS136" i="8"/>
  <c r="AR136" i="8"/>
  <c r="AO136" i="8"/>
  <c r="AN136" i="8"/>
  <c r="P53" i="8"/>
  <c r="AR53" i="8"/>
  <c r="AX53" i="8"/>
  <c r="AO111" i="8"/>
  <c r="AN111" i="8"/>
  <c r="AW111" i="8"/>
  <c r="AY111" i="8"/>
  <c r="AX111" i="8"/>
  <c r="AR111" i="8"/>
  <c r="AR33" i="8"/>
  <c r="AX33" i="8"/>
  <c r="AO95" i="8"/>
  <c r="AN95" i="8"/>
  <c r="AW95" i="8"/>
  <c r="AY95" i="8"/>
  <c r="AX95" i="8"/>
  <c r="AR95" i="8"/>
  <c r="AO143" i="8"/>
  <c r="AN143" i="8"/>
  <c r="AW143" i="8"/>
  <c r="AY143" i="8"/>
  <c r="AX143" i="8"/>
  <c r="AR143" i="8"/>
  <c r="P93" i="8"/>
  <c r="AS93" i="8"/>
  <c r="AN93" i="8"/>
  <c r="AO15" i="8"/>
  <c r="AN15" i="8"/>
  <c r="AW15" i="8"/>
  <c r="AY15" i="8"/>
  <c r="AX15" i="8"/>
  <c r="AR15" i="8"/>
  <c r="AO43" i="8"/>
  <c r="AN43" i="8"/>
  <c r="AW43" i="8"/>
  <c r="AY43" i="8"/>
  <c r="AX43" i="8"/>
  <c r="AR43" i="8"/>
  <c r="AO67" i="8"/>
  <c r="AN67" i="8"/>
  <c r="AW67" i="8"/>
  <c r="AY67" i="8"/>
  <c r="AX67" i="8"/>
  <c r="AR67" i="8"/>
  <c r="AO99" i="8"/>
  <c r="AN99" i="8"/>
  <c r="AW99" i="8"/>
  <c r="AY99" i="8"/>
  <c r="AX99" i="8"/>
  <c r="AR99" i="8"/>
  <c r="P117" i="8"/>
  <c r="L117" i="8" s="1"/>
  <c r="AR117" i="8"/>
  <c r="AX117" i="8"/>
  <c r="AY16" i="8"/>
  <c r="AX16" i="8"/>
  <c r="AW16" i="8"/>
  <c r="AT16" i="8"/>
  <c r="AS16" i="8"/>
  <c r="AR16" i="8"/>
  <c r="AO16" i="8"/>
  <c r="AN16" i="8"/>
  <c r="AY100" i="8"/>
  <c r="AX100" i="8"/>
  <c r="AW100" i="8"/>
  <c r="AT100" i="8"/>
  <c r="AS100" i="8"/>
  <c r="AR100" i="8"/>
  <c r="AO100" i="8"/>
  <c r="AN100" i="8"/>
  <c r="P77" i="8"/>
  <c r="AN77" i="8"/>
  <c r="AS77" i="8"/>
  <c r="AN21" i="8"/>
  <c r="AS21" i="8"/>
  <c r="AJ141" i="8"/>
  <c r="AC141" i="8"/>
  <c r="AT81" i="8"/>
  <c r="AN109" i="8"/>
  <c r="AT133" i="8"/>
  <c r="AO105" i="8"/>
  <c r="AR17" i="8"/>
  <c r="AS81" i="8"/>
  <c r="AY141" i="8"/>
  <c r="AX93" i="8"/>
  <c r="AY45" i="8"/>
  <c r="P76" i="8"/>
  <c r="AN137" i="8"/>
  <c r="AS13" i="8"/>
  <c r="AN45" i="8"/>
  <c r="AT97" i="8"/>
  <c r="AO113" i="8"/>
  <c r="P9" i="8"/>
  <c r="P24" i="8"/>
  <c r="P17" i="8"/>
  <c r="P45" i="8"/>
  <c r="P41" i="8"/>
  <c r="P37" i="8"/>
  <c r="P25" i="8"/>
  <c r="P33" i="8"/>
  <c r="P29" i="8"/>
  <c r="P21" i="8"/>
  <c r="P13" i="8"/>
  <c r="P5" i="8"/>
  <c r="AD101" i="8"/>
  <c r="AF85" i="8"/>
  <c r="W137" i="8"/>
  <c r="X137" i="8"/>
  <c r="AK137" i="8"/>
  <c r="AJ137" i="8"/>
  <c r="AC61" i="8"/>
  <c r="AD69" i="8"/>
  <c r="AC45" i="8"/>
  <c r="AE61" i="8"/>
  <c r="AE45" i="8"/>
  <c r="AF61" i="8"/>
  <c r="Y70" i="8"/>
  <c r="AE70" i="8"/>
  <c r="AC70" i="8"/>
  <c r="Y62" i="8"/>
  <c r="AE62" i="8"/>
  <c r="AC62" i="8"/>
  <c r="AC33" i="8"/>
  <c r="AE91" i="8"/>
  <c r="AC91" i="8"/>
  <c r="AF140" i="8"/>
  <c r="AD140" i="8"/>
  <c r="AE75" i="8"/>
  <c r="AC75" i="8"/>
  <c r="AD41" i="8"/>
  <c r="AC81" i="8"/>
  <c r="AC137" i="8"/>
  <c r="AD65" i="8"/>
  <c r="AD85" i="8"/>
  <c r="AD121" i="8"/>
  <c r="AF120" i="8"/>
  <c r="AD120" i="8"/>
  <c r="Y86" i="8"/>
  <c r="AE86" i="8"/>
  <c r="AC86" i="8"/>
  <c r="Y114" i="8"/>
  <c r="AE114" i="8"/>
  <c r="AC114" i="8"/>
  <c r="Y138" i="8"/>
  <c r="AC138" i="8"/>
  <c r="AE138" i="8"/>
  <c r="Y74" i="8"/>
  <c r="AE74" i="8"/>
  <c r="AC74" i="8"/>
  <c r="AC87" i="8"/>
  <c r="AE87" i="8"/>
  <c r="AE137" i="8"/>
  <c r="AD129" i="8"/>
  <c r="AE89" i="8"/>
  <c r="AC89" i="8"/>
  <c r="AF89" i="8"/>
  <c r="Y78" i="8"/>
  <c r="AE78" i="8"/>
  <c r="AC78" i="8"/>
  <c r="AF81" i="8"/>
  <c r="AD73" i="8"/>
  <c r="AC73" i="8"/>
  <c r="Y143" i="8"/>
  <c r="AE143" i="8"/>
  <c r="AC143" i="8"/>
  <c r="Y92" i="8"/>
  <c r="AD92" i="8"/>
  <c r="AF92" i="8"/>
  <c r="AF93" i="8"/>
  <c r="AE93" i="8"/>
  <c r="AC93" i="8"/>
  <c r="AD9" i="8"/>
  <c r="AE73" i="8"/>
  <c r="AF137" i="8"/>
  <c r="AC117" i="8"/>
  <c r="Y118" i="8"/>
  <c r="AE118" i="8"/>
  <c r="AC118" i="8"/>
  <c r="AD77" i="8"/>
  <c r="AD105" i="8"/>
  <c r="AE65" i="8"/>
  <c r="AD109" i="8"/>
  <c r="AY5" i="8"/>
  <c r="AE117" i="8"/>
  <c r="AF65" i="8"/>
  <c r="AC105" i="8"/>
  <c r="AD97" i="8"/>
  <c r="AY8" i="8"/>
  <c r="AX8" i="8"/>
  <c r="AW8" i="8"/>
  <c r="Y110" i="8"/>
  <c r="AC110" i="8"/>
  <c r="AE110" i="8"/>
  <c r="AF117" i="8"/>
  <c r="AE105" i="8"/>
  <c r="AE97" i="8"/>
  <c r="AI85" i="8"/>
  <c r="Y90" i="8"/>
  <c r="AE90" i="8"/>
  <c r="AC90" i="8"/>
  <c r="AF144" i="8"/>
  <c r="AD144" i="8"/>
  <c r="AI65" i="8"/>
  <c r="Y72" i="8"/>
  <c r="AF72" i="8"/>
  <c r="AD72" i="8"/>
  <c r="Y69" i="8"/>
  <c r="AE69" i="8"/>
  <c r="AF69" i="8"/>
  <c r="AC69" i="8"/>
  <c r="AF108" i="8"/>
  <c r="AD108" i="8"/>
  <c r="X74" i="8"/>
  <c r="X138" i="8"/>
  <c r="AD89" i="8"/>
  <c r="AD81" i="8"/>
  <c r="AC57" i="8"/>
  <c r="AF97" i="8"/>
  <c r="Y111" i="8"/>
  <c r="AE111" i="8"/>
  <c r="AC111" i="8"/>
  <c r="AC133" i="8"/>
  <c r="AE133" i="8"/>
  <c r="AF133" i="8"/>
  <c r="Y64" i="8"/>
  <c r="AF64" i="8"/>
  <c r="AD64" i="8"/>
  <c r="AF116" i="8"/>
  <c r="AD116" i="8"/>
  <c r="AE95" i="8"/>
  <c r="AC95" i="8"/>
  <c r="Y94" i="8"/>
  <c r="AE94" i="8"/>
  <c r="AC94" i="8"/>
  <c r="Y142" i="8"/>
  <c r="AC142" i="8"/>
  <c r="AE142" i="8"/>
  <c r="AE67" i="8"/>
  <c r="AC67" i="8"/>
  <c r="X117" i="8"/>
  <c r="AF77" i="8"/>
  <c r="AE77" i="8"/>
  <c r="AC77" i="8"/>
  <c r="Y98" i="8"/>
  <c r="AE98" i="8"/>
  <c r="AC98" i="8"/>
  <c r="AF104" i="8"/>
  <c r="AD104" i="8"/>
  <c r="Y123" i="8"/>
  <c r="AE123" i="8"/>
  <c r="AC123" i="8"/>
  <c r="Y76" i="8"/>
  <c r="AF76" i="8"/>
  <c r="AD76" i="8"/>
  <c r="AE103" i="8"/>
  <c r="AC103" i="8"/>
  <c r="AF128" i="8"/>
  <c r="AD128" i="8"/>
  <c r="AF112" i="8"/>
  <c r="AD112" i="8"/>
  <c r="AC115" i="8"/>
  <c r="AE115" i="8"/>
  <c r="Z137" i="8"/>
  <c r="AC113" i="8"/>
  <c r="AC65" i="8"/>
  <c r="AE57" i="8"/>
  <c r="AD93" i="8"/>
  <c r="AE129" i="8"/>
  <c r="AE63" i="8"/>
  <c r="AC63" i="8"/>
  <c r="Y119" i="8"/>
  <c r="AC119" i="8"/>
  <c r="AE119" i="8"/>
  <c r="Y68" i="8"/>
  <c r="AF68" i="8"/>
  <c r="AD68" i="8"/>
  <c r="Y96" i="8"/>
  <c r="AF96" i="8"/>
  <c r="AD96" i="8"/>
  <c r="Y99" i="8"/>
  <c r="AE99" i="8"/>
  <c r="AC99" i="8"/>
  <c r="AF100" i="8"/>
  <c r="AD100" i="8"/>
  <c r="AC41" i="8"/>
  <c r="AD124" i="8"/>
  <c r="AF124" i="8"/>
  <c r="Y60" i="8"/>
  <c r="AD60" i="8"/>
  <c r="AF60" i="8"/>
  <c r="Y80" i="8"/>
  <c r="AF80" i="8"/>
  <c r="AD80" i="8"/>
  <c r="Y102" i="8"/>
  <c r="AE102" i="8"/>
  <c r="AC102" i="8"/>
  <c r="AE127" i="8"/>
  <c r="AC127" i="8"/>
  <c r="Y59" i="8"/>
  <c r="AE59" i="8"/>
  <c r="AC59" i="8"/>
  <c r="Y131" i="8"/>
  <c r="AE131" i="8"/>
  <c r="AC131" i="8"/>
  <c r="AI137" i="8"/>
  <c r="AD133" i="8"/>
  <c r="AE113" i="8"/>
  <c r="AF57" i="8"/>
  <c r="AF129" i="8"/>
  <c r="AC97" i="8"/>
  <c r="Y58" i="8"/>
  <c r="AE58" i="8"/>
  <c r="AC58" i="8"/>
  <c r="AC101" i="8"/>
  <c r="AE101" i="8"/>
  <c r="AF101" i="8"/>
  <c r="Y126" i="8"/>
  <c r="AE126" i="8"/>
  <c r="AC126" i="8"/>
  <c r="Y130" i="8"/>
  <c r="AE130" i="8"/>
  <c r="AC130" i="8"/>
  <c r="Y66" i="8"/>
  <c r="AE66" i="8"/>
  <c r="AC66" i="8"/>
  <c r="Y122" i="8"/>
  <c r="AE122" i="8"/>
  <c r="AC122" i="8"/>
  <c r="AD117" i="8"/>
  <c r="Y134" i="8"/>
  <c r="AE134" i="8"/>
  <c r="AC134" i="8"/>
  <c r="Y107" i="8"/>
  <c r="AE107" i="8"/>
  <c r="AC107" i="8"/>
  <c r="Y139" i="8"/>
  <c r="AE139" i="8"/>
  <c r="AC139" i="8"/>
  <c r="AK113" i="8"/>
  <c r="AD113" i="8"/>
  <c r="Y135" i="8"/>
  <c r="AE135" i="8"/>
  <c r="AC135" i="8"/>
  <c r="AC121" i="8"/>
  <c r="AC85" i="8"/>
  <c r="AC109" i="8"/>
  <c r="Y88" i="8"/>
  <c r="AF88" i="8"/>
  <c r="AD88" i="8"/>
  <c r="AE121" i="8"/>
  <c r="AE109" i="8"/>
  <c r="AE71" i="8"/>
  <c r="AC71" i="8"/>
  <c r="X26" i="8"/>
  <c r="Y79" i="8"/>
  <c r="AE79" i="8"/>
  <c r="AC79" i="8"/>
  <c r="Y84" i="8"/>
  <c r="AF84" i="8"/>
  <c r="AD84" i="8"/>
  <c r="Z129" i="8"/>
  <c r="Y83" i="8"/>
  <c r="AC83" i="8"/>
  <c r="AE83" i="8"/>
  <c r="Y106" i="8"/>
  <c r="AC106" i="8"/>
  <c r="AE106" i="8"/>
  <c r="AF132" i="8"/>
  <c r="AD132" i="8"/>
  <c r="Y82" i="8"/>
  <c r="AE82" i="8"/>
  <c r="AC82" i="8"/>
  <c r="AK105" i="8"/>
  <c r="AF136" i="8"/>
  <c r="AD136" i="8"/>
  <c r="Y61" i="8"/>
  <c r="AD61" i="8"/>
  <c r="AF125" i="8"/>
  <c r="AE125" i="8"/>
  <c r="AC125" i="8"/>
  <c r="AF121" i="8"/>
  <c r="AD57" i="8"/>
  <c r="AE85" i="8"/>
  <c r="AF109" i="8"/>
  <c r="Y36" i="8"/>
  <c r="AF36" i="8"/>
  <c r="AD36" i="8"/>
  <c r="Y40" i="8"/>
  <c r="AF40" i="8"/>
  <c r="AD40" i="8"/>
  <c r="Y24" i="8"/>
  <c r="AF24" i="8"/>
  <c r="AD24" i="8"/>
  <c r="Y48" i="8"/>
  <c r="AF48" i="8"/>
  <c r="AD48" i="8"/>
  <c r="Y56" i="8"/>
  <c r="AF56" i="8"/>
  <c r="AD56" i="8"/>
  <c r="Y28" i="8"/>
  <c r="AF28" i="8"/>
  <c r="AD28" i="8"/>
  <c r="Y32" i="8"/>
  <c r="AF32" i="8"/>
  <c r="AD32" i="8"/>
  <c r="AD29" i="8"/>
  <c r="AD45" i="8"/>
  <c r="Y52" i="8"/>
  <c r="AF52" i="8"/>
  <c r="AD52" i="8"/>
  <c r="Y44" i="8"/>
  <c r="AF44" i="8"/>
  <c r="AD44" i="8"/>
  <c r="AE55" i="8"/>
  <c r="AC55" i="8"/>
  <c r="Y54" i="8"/>
  <c r="AE54" i="8"/>
  <c r="AC54" i="8"/>
  <c r="AC51" i="8"/>
  <c r="AE51" i="8"/>
  <c r="Y50" i="8"/>
  <c r="AE50" i="8"/>
  <c r="AC50" i="8"/>
  <c r="Y47" i="8"/>
  <c r="AE47" i="8"/>
  <c r="AC47" i="8"/>
  <c r="Y43" i="8"/>
  <c r="AC43" i="8"/>
  <c r="AE43" i="8"/>
  <c r="AE39" i="8"/>
  <c r="AC39" i="8"/>
  <c r="Y38" i="8"/>
  <c r="AE38" i="8"/>
  <c r="AC38" i="8"/>
  <c r="Y35" i="8"/>
  <c r="AC35" i="8"/>
  <c r="AE35" i="8"/>
  <c r="Y34" i="8"/>
  <c r="AE34" i="8"/>
  <c r="AC34" i="8"/>
  <c r="AE31" i="8"/>
  <c r="AC31" i="8"/>
  <c r="Y30" i="8"/>
  <c r="AE30" i="8"/>
  <c r="AC30" i="8"/>
  <c r="AE27" i="8"/>
  <c r="AC27" i="8"/>
  <c r="AE23" i="8"/>
  <c r="AC23" i="8"/>
  <c r="Y26" i="8"/>
  <c r="AE26" i="8"/>
  <c r="AC26" i="8"/>
  <c r="AE22" i="8"/>
  <c r="AC22" i="8"/>
  <c r="AE19" i="8"/>
  <c r="AC19" i="8"/>
  <c r="AE15" i="8"/>
  <c r="AC15" i="8"/>
  <c r="Y18" i="8"/>
  <c r="AE18" i="8"/>
  <c r="AC18" i="8"/>
  <c r="AE14" i="8"/>
  <c r="AC14" i="8"/>
  <c r="AD17" i="8"/>
  <c r="AF17" i="8"/>
  <c r="AE17" i="8"/>
  <c r="AC17" i="8"/>
  <c r="AD13" i="8"/>
  <c r="AC13" i="8"/>
  <c r="AE13" i="8"/>
  <c r="AF13" i="8"/>
  <c r="AE53" i="8"/>
  <c r="AC53" i="8"/>
  <c r="AF53" i="8"/>
  <c r="AI53" i="8"/>
  <c r="AD53" i="8"/>
  <c r="AE49" i="8"/>
  <c r="AF49" i="8"/>
  <c r="AC49" i="8"/>
  <c r="AD49" i="8"/>
  <c r="Y42" i="8"/>
  <c r="AE42" i="8"/>
  <c r="AC42" i="8"/>
  <c r="AF45" i="8"/>
  <c r="W41" i="8"/>
  <c r="AE41" i="8"/>
  <c r="AF41" i="8"/>
  <c r="Y46" i="8"/>
  <c r="AE46" i="8"/>
  <c r="AC46" i="8"/>
  <c r="AF37" i="8"/>
  <c r="AE37" i="8"/>
  <c r="AC37" i="8"/>
  <c r="AD37" i="8"/>
  <c r="AF29" i="8"/>
  <c r="AE29" i="8"/>
  <c r="AC29" i="8"/>
  <c r="AD33" i="8"/>
  <c r="AD21" i="8"/>
  <c r="W33" i="8"/>
  <c r="AE33" i="8"/>
  <c r="AF33" i="8"/>
  <c r="AE25" i="8"/>
  <c r="AF25" i="8"/>
  <c r="AC25" i="8"/>
  <c r="AE21" i="8"/>
  <c r="AC21" i="8"/>
  <c r="AF21" i="8"/>
  <c r="AD25" i="8"/>
  <c r="Y20" i="8"/>
  <c r="AF20" i="8"/>
  <c r="AD20" i="8"/>
  <c r="Y16" i="8"/>
  <c r="AF16" i="8"/>
  <c r="AD16" i="8"/>
  <c r="AJ5" i="8"/>
  <c r="AC5" i="8"/>
  <c r="AE5" i="8"/>
  <c r="AC6" i="8"/>
  <c r="AE6" i="8"/>
  <c r="AE11" i="8"/>
  <c r="AC11" i="8"/>
  <c r="AC9" i="8"/>
  <c r="AE9" i="8"/>
  <c r="AF9" i="8"/>
  <c r="Y10" i="8"/>
  <c r="AE10" i="8"/>
  <c r="AC10" i="8"/>
  <c r="Y12" i="8"/>
  <c r="AF12" i="8"/>
  <c r="AD12" i="8"/>
  <c r="AO5" i="8"/>
  <c r="AT5" i="8"/>
  <c r="Y15" i="8"/>
  <c r="Y14" i="8"/>
  <c r="O38" i="9"/>
  <c r="O37" i="9"/>
  <c r="AM5" i="9"/>
  <c r="X109" i="8"/>
  <c r="Y73" i="8"/>
  <c r="Y53" i="8"/>
  <c r="Y13" i="8"/>
  <c r="Y129" i="8"/>
  <c r="Y137" i="8"/>
  <c r="AI55" i="8"/>
  <c r="Y55" i="8"/>
  <c r="AI7" i="8"/>
  <c r="Y7" i="8"/>
  <c r="AI91" i="8"/>
  <c r="Y91" i="8"/>
  <c r="Z140" i="8"/>
  <c r="X140" i="8"/>
  <c r="W140" i="8"/>
  <c r="Y140" i="8"/>
  <c r="AK140" i="8"/>
  <c r="AJ140" i="8"/>
  <c r="AI140" i="8"/>
  <c r="Y75" i="8"/>
  <c r="Y125" i="8"/>
  <c r="Y71" i="8"/>
  <c r="AI87" i="8"/>
  <c r="Y87" i="8"/>
  <c r="Y117" i="8"/>
  <c r="Y144" i="8"/>
  <c r="Z144" i="8"/>
  <c r="X144" i="8"/>
  <c r="W144" i="8"/>
  <c r="AK144" i="8"/>
  <c r="AJ144" i="8"/>
  <c r="AI144" i="8"/>
  <c r="X129" i="8"/>
  <c r="Y65" i="8"/>
  <c r="AI122" i="8"/>
  <c r="AI95" i="8"/>
  <c r="Y95" i="8"/>
  <c r="Y93" i="8"/>
  <c r="Y45" i="8"/>
  <c r="AI39" i="8"/>
  <c r="Y39" i="8"/>
  <c r="AI19" i="8"/>
  <c r="Y19" i="8"/>
  <c r="X85" i="8"/>
  <c r="Y105" i="8"/>
  <c r="AI63" i="8"/>
  <c r="Y63" i="8"/>
  <c r="AI67" i="8"/>
  <c r="Y67" i="8"/>
  <c r="Z100" i="8"/>
  <c r="X100" i="8"/>
  <c r="W100" i="8"/>
  <c r="AK100" i="8"/>
  <c r="Y100" i="8"/>
  <c r="AJ100" i="8"/>
  <c r="AI100" i="8"/>
  <c r="Y77" i="8"/>
  <c r="Y85" i="8"/>
  <c r="AI31" i="8"/>
  <c r="Y31" i="8"/>
  <c r="AI11" i="8"/>
  <c r="Y11" i="8"/>
  <c r="W104" i="8"/>
  <c r="Z104" i="8"/>
  <c r="X104" i="8"/>
  <c r="Y104" i="8"/>
  <c r="AK104" i="8"/>
  <c r="AI104" i="8"/>
  <c r="AJ104" i="8"/>
  <c r="Y29" i="8"/>
  <c r="Y113" i="8"/>
  <c r="Y33" i="8"/>
  <c r="Z116" i="8"/>
  <c r="X116" i="8"/>
  <c r="W116" i="8"/>
  <c r="AK116" i="8"/>
  <c r="Y116" i="8"/>
  <c r="AJ116" i="8"/>
  <c r="AI116" i="8"/>
  <c r="Y37" i="8"/>
  <c r="Y17" i="8"/>
  <c r="Z124" i="8"/>
  <c r="X124" i="8"/>
  <c r="W124" i="8"/>
  <c r="Y124" i="8"/>
  <c r="AK124" i="8"/>
  <c r="AJ124" i="8"/>
  <c r="AI124" i="8"/>
  <c r="AI22" i="8"/>
  <c r="Y22" i="8"/>
  <c r="Z108" i="8"/>
  <c r="X108" i="8"/>
  <c r="W108" i="8"/>
  <c r="Y108" i="8"/>
  <c r="AK108" i="8"/>
  <c r="AJ108" i="8"/>
  <c r="AI108" i="8"/>
  <c r="Y21" i="8"/>
  <c r="Y81" i="8"/>
  <c r="Y25" i="8"/>
  <c r="Y49" i="8"/>
  <c r="Y97" i="8"/>
  <c r="Z136" i="8"/>
  <c r="X136" i="8"/>
  <c r="W136" i="8"/>
  <c r="Y136" i="8"/>
  <c r="AK136" i="8"/>
  <c r="AJ136" i="8"/>
  <c r="AI136" i="8"/>
  <c r="Y128" i="8"/>
  <c r="Z128" i="8"/>
  <c r="X128" i="8"/>
  <c r="W128" i="8"/>
  <c r="AK128" i="8"/>
  <c r="AJ128" i="8"/>
  <c r="AI128" i="8"/>
  <c r="AI115" i="8"/>
  <c r="Y115" i="8"/>
  <c r="AI127" i="8"/>
  <c r="Y127" i="8"/>
  <c r="Y9" i="8"/>
  <c r="Z132" i="8"/>
  <c r="X132" i="8"/>
  <c r="W132" i="8"/>
  <c r="AK132" i="8"/>
  <c r="Y132" i="8"/>
  <c r="AJ132" i="8"/>
  <c r="AI132" i="8"/>
  <c r="Z120" i="8"/>
  <c r="X120" i="8"/>
  <c r="W120" i="8"/>
  <c r="Y120" i="8"/>
  <c r="AK120" i="8"/>
  <c r="AJ120" i="8"/>
  <c r="AI120" i="8"/>
  <c r="AI103" i="8"/>
  <c r="Y103" i="8"/>
  <c r="AI51" i="8"/>
  <c r="Y51" i="8"/>
  <c r="Y121" i="8"/>
  <c r="Y57" i="8"/>
  <c r="Y133" i="8"/>
  <c r="Y89" i="8"/>
  <c r="Y112" i="8"/>
  <c r="Z112" i="8"/>
  <c r="X112" i="8"/>
  <c r="W112" i="8"/>
  <c r="AK112" i="8"/>
  <c r="AJ112" i="8"/>
  <c r="AI112" i="8"/>
  <c r="AJ101" i="8"/>
  <c r="Y101" i="8"/>
  <c r="AI109" i="8"/>
  <c r="Y41" i="8"/>
  <c r="Y109" i="8"/>
  <c r="AI23" i="8"/>
  <c r="Y23" i="8"/>
  <c r="AI27" i="8"/>
  <c r="Y27" i="8"/>
  <c r="AG37" i="6"/>
  <c r="D40" i="6"/>
  <c r="AF39" i="9" s="1"/>
  <c r="AG40" i="6"/>
  <c r="W123" i="8"/>
  <c r="W139" i="8"/>
  <c r="W131" i="8"/>
  <c r="W127" i="8"/>
  <c r="AI123" i="8"/>
  <c r="W107" i="8"/>
  <c r="W135" i="8"/>
  <c r="AI139" i="8"/>
  <c r="W111" i="8"/>
  <c r="AI111" i="8"/>
  <c r="W143" i="8"/>
  <c r="AI131" i="8"/>
  <c r="W115" i="8"/>
  <c r="W119" i="8"/>
  <c r="AI107" i="8"/>
  <c r="AI135" i="8"/>
  <c r="W103" i="8"/>
  <c r="AI143" i="8"/>
  <c r="AI119" i="8"/>
  <c r="AI71" i="8"/>
  <c r="W142" i="8"/>
  <c r="AI142" i="8"/>
  <c r="W130" i="8"/>
  <c r="W106" i="8"/>
  <c r="AI106" i="8"/>
  <c r="W122" i="8"/>
  <c r="W134" i="8"/>
  <c r="AI134" i="8"/>
  <c r="W110" i="8"/>
  <c r="AI110" i="8"/>
  <c r="W114" i="8"/>
  <c r="AI114" i="8"/>
  <c r="W138" i="8"/>
  <c r="AI138" i="8"/>
  <c r="W126" i="8"/>
  <c r="AI126" i="8"/>
  <c r="W118" i="8"/>
  <c r="AI118" i="8"/>
  <c r="W102" i="8"/>
  <c r="AI102" i="8"/>
  <c r="AI130" i="8"/>
  <c r="W121" i="8"/>
  <c r="X121" i="8"/>
  <c r="W113" i="8"/>
  <c r="X113" i="8"/>
  <c r="Z109" i="8"/>
  <c r="W109" i="8"/>
  <c r="W129" i="8"/>
  <c r="AK121" i="8"/>
  <c r="W117" i="8"/>
  <c r="Z113" i="8"/>
  <c r="Z121" i="8"/>
  <c r="X105" i="8"/>
  <c r="X122" i="8"/>
  <c r="AJ121" i="8"/>
  <c r="W105" i="8"/>
  <c r="AI113" i="8"/>
  <c r="X118" i="8"/>
  <c r="AJ117" i="8"/>
  <c r="X130" i="8"/>
  <c r="AJ129" i="8"/>
  <c r="X114" i="8"/>
  <c r="X106" i="8"/>
  <c r="AJ105" i="8"/>
  <c r="X126" i="8"/>
  <c r="X125" i="8"/>
  <c r="AK125" i="8"/>
  <c r="AI125" i="8"/>
  <c r="W125" i="8"/>
  <c r="Z125" i="8"/>
  <c r="AJ113" i="8"/>
  <c r="AI105" i="8"/>
  <c r="X102" i="8"/>
  <c r="AI101" i="8"/>
  <c r="X101" i="8"/>
  <c r="Z101" i="8"/>
  <c r="W101" i="8"/>
  <c r="AK101" i="8"/>
  <c r="X134" i="8"/>
  <c r="Z133" i="8"/>
  <c r="X133" i="8"/>
  <c r="W133" i="8"/>
  <c r="AK133" i="8"/>
  <c r="AI133" i="8"/>
  <c r="AI129" i="8"/>
  <c r="AJ125" i="8"/>
  <c r="AI121" i="8"/>
  <c r="AI117" i="8"/>
  <c r="Z105" i="8"/>
  <c r="X110" i="8"/>
  <c r="AJ109" i="8"/>
  <c r="AJ133" i="8"/>
  <c r="AK117" i="8"/>
  <c r="AK109" i="8"/>
  <c r="AK129" i="8"/>
  <c r="Z117" i="8"/>
  <c r="Z25" i="8"/>
  <c r="AI25" i="8"/>
  <c r="X61" i="8"/>
  <c r="W61" i="8"/>
  <c r="W99" i="8"/>
  <c r="W98" i="8"/>
  <c r="AI98" i="8"/>
  <c r="X98" i="8"/>
  <c r="AJ97" i="8"/>
  <c r="AI97" i="8"/>
  <c r="AK97" i="8"/>
  <c r="W53" i="8"/>
  <c r="AI99" i="8"/>
  <c r="W97" i="8"/>
  <c r="W65" i="8"/>
  <c r="X97" i="8"/>
  <c r="Z81" i="8"/>
  <c r="AK85" i="8"/>
  <c r="Z97" i="8"/>
  <c r="W49" i="8"/>
  <c r="X49" i="8"/>
  <c r="Z49" i="8"/>
  <c r="AI33" i="8"/>
  <c r="AJ17" i="8"/>
  <c r="AI9" i="8"/>
  <c r="AK72" i="8"/>
  <c r="AJ72" i="8"/>
  <c r="AI72" i="8"/>
  <c r="Z72" i="8"/>
  <c r="X72" i="8"/>
  <c r="W72" i="8"/>
  <c r="AJ24" i="8"/>
  <c r="AI24" i="8"/>
  <c r="X24" i="8"/>
  <c r="W24" i="8"/>
  <c r="Z24" i="8"/>
  <c r="AK24" i="8"/>
  <c r="X70" i="8"/>
  <c r="X69" i="8"/>
  <c r="W69" i="8"/>
  <c r="AK69" i="8"/>
  <c r="AI69" i="8"/>
  <c r="Z69" i="8"/>
  <c r="W22" i="8"/>
  <c r="W19" i="8"/>
  <c r="W85" i="8"/>
  <c r="Z57" i="8"/>
  <c r="AJ73" i="8"/>
  <c r="X65" i="8"/>
  <c r="W13" i="8"/>
  <c r="X53" i="8"/>
  <c r="AI45" i="8"/>
  <c r="W14" i="8"/>
  <c r="AI14" i="8"/>
  <c r="W26" i="8"/>
  <c r="AI73" i="8"/>
  <c r="AK45" i="8"/>
  <c r="X42" i="8"/>
  <c r="AJ41" i="8"/>
  <c r="W46" i="8"/>
  <c r="AI46" i="8"/>
  <c r="AK28" i="8"/>
  <c r="AJ28" i="8"/>
  <c r="Z28" i="8"/>
  <c r="AI28" i="8"/>
  <c r="X28" i="8"/>
  <c r="W28" i="8"/>
  <c r="W59" i="8"/>
  <c r="X30" i="8"/>
  <c r="AI29" i="8"/>
  <c r="AK29" i="8"/>
  <c r="Z29" i="8"/>
  <c r="X29" i="8"/>
  <c r="W29" i="8"/>
  <c r="AK33" i="8"/>
  <c r="Z65" i="8"/>
  <c r="Z13" i="8"/>
  <c r="Z53" i="8"/>
  <c r="X41" i="8"/>
  <c r="AK73" i="8"/>
  <c r="X60" i="8"/>
  <c r="W60" i="8"/>
  <c r="AK60" i="8"/>
  <c r="AJ60" i="8"/>
  <c r="AI60" i="8"/>
  <c r="Z60" i="8"/>
  <c r="X76" i="8"/>
  <c r="W76" i="8"/>
  <c r="AK76" i="8"/>
  <c r="AJ76" i="8"/>
  <c r="AI76" i="8"/>
  <c r="Z76" i="8"/>
  <c r="W79" i="8"/>
  <c r="X32" i="8"/>
  <c r="AK32" i="8"/>
  <c r="AJ32" i="8"/>
  <c r="AI32" i="8"/>
  <c r="Z32" i="8"/>
  <c r="W32" i="8"/>
  <c r="W66" i="8"/>
  <c r="AI66" i="8"/>
  <c r="X22" i="8"/>
  <c r="AK21" i="8"/>
  <c r="Z21" i="8"/>
  <c r="X21" i="8"/>
  <c r="W21" i="8"/>
  <c r="AI21" i="8"/>
  <c r="Z85" i="8"/>
  <c r="AJ93" i="8"/>
  <c r="X13" i="8"/>
  <c r="AJ37" i="8"/>
  <c r="X18" i="8"/>
  <c r="X17" i="8"/>
  <c r="W17" i="8"/>
  <c r="AI17" i="8"/>
  <c r="AK17" i="8"/>
  <c r="Z17" i="8"/>
  <c r="W51" i="8"/>
  <c r="AI57" i="8"/>
  <c r="AI13" i="8"/>
  <c r="Z41" i="8"/>
  <c r="W31" i="8"/>
  <c r="W55" i="8"/>
  <c r="W83" i="8"/>
  <c r="W50" i="8"/>
  <c r="AI50" i="8"/>
  <c r="W44" i="8"/>
  <c r="AK44" i="8"/>
  <c r="AJ44" i="8"/>
  <c r="AI44" i="8"/>
  <c r="Z44" i="8"/>
  <c r="X44" i="8"/>
  <c r="AK48" i="8"/>
  <c r="AJ48" i="8"/>
  <c r="AI48" i="8"/>
  <c r="Z48" i="8"/>
  <c r="X48" i="8"/>
  <c r="W48" i="8"/>
  <c r="AK57" i="8"/>
  <c r="X78" i="8"/>
  <c r="AK77" i="8"/>
  <c r="AI77" i="8"/>
  <c r="Z77" i="8"/>
  <c r="W77" i="8"/>
  <c r="X77" i="8"/>
  <c r="Z36" i="8"/>
  <c r="X36" i="8"/>
  <c r="W36" i="8"/>
  <c r="AK36" i="8"/>
  <c r="AJ36" i="8"/>
  <c r="AI36" i="8"/>
  <c r="X62" i="8"/>
  <c r="W9" i="8"/>
  <c r="Z61" i="8"/>
  <c r="AJ29" i="8"/>
  <c r="AI41" i="8"/>
  <c r="Z80" i="8"/>
  <c r="X80" i="8"/>
  <c r="W80" i="8"/>
  <c r="AK80" i="8"/>
  <c r="AJ80" i="8"/>
  <c r="AI80" i="8"/>
  <c r="W30" i="8"/>
  <c r="AI30" i="8"/>
  <c r="W54" i="8"/>
  <c r="AI54" i="8"/>
  <c r="W82" i="8"/>
  <c r="AI82" i="8"/>
  <c r="W10" i="8"/>
  <c r="W35" i="8"/>
  <c r="X54" i="8"/>
  <c r="AJ53" i="8"/>
  <c r="AK88" i="8"/>
  <c r="AJ88" i="8"/>
  <c r="AI88" i="8"/>
  <c r="Z88" i="8"/>
  <c r="X88" i="8"/>
  <c r="W88" i="8"/>
  <c r="W62" i="8"/>
  <c r="AI62" i="8"/>
  <c r="AK56" i="8"/>
  <c r="AJ56" i="8"/>
  <c r="AI56" i="8"/>
  <c r="X56" i="8"/>
  <c r="W56" i="8"/>
  <c r="Z56" i="8"/>
  <c r="AI81" i="8"/>
  <c r="X46" i="8"/>
  <c r="AJ45" i="8"/>
  <c r="X50" i="8"/>
  <c r="AJ49" i="8"/>
  <c r="W58" i="8"/>
  <c r="W86" i="8"/>
  <c r="AI86" i="8"/>
  <c r="W70" i="8"/>
  <c r="AI70" i="8"/>
  <c r="W71" i="8"/>
  <c r="X86" i="8"/>
  <c r="AJ85" i="8"/>
  <c r="AK20" i="8"/>
  <c r="AJ20" i="8"/>
  <c r="AI20" i="8"/>
  <c r="Z20" i="8"/>
  <c r="X20" i="8"/>
  <c r="W20" i="8"/>
  <c r="X25" i="8"/>
  <c r="AI35" i="8"/>
  <c r="AK13" i="8"/>
  <c r="AJ77" i="8"/>
  <c r="AK81" i="8"/>
  <c r="AI59" i="8"/>
  <c r="W16" i="8"/>
  <c r="AK16" i="8"/>
  <c r="AJ16" i="8"/>
  <c r="Z16" i="8"/>
  <c r="X16" i="8"/>
  <c r="AI16" i="8"/>
  <c r="W34" i="8"/>
  <c r="AI34" i="8"/>
  <c r="X34" i="8"/>
  <c r="AJ33" i="8"/>
  <c r="X58" i="8"/>
  <c r="AJ57" i="8"/>
  <c r="W91" i="8"/>
  <c r="W75" i="8"/>
  <c r="AJ25" i="8"/>
  <c r="Z9" i="8"/>
  <c r="AI49" i="8"/>
  <c r="AJ61" i="8"/>
  <c r="X45" i="8"/>
  <c r="W23" i="8"/>
  <c r="W74" i="8"/>
  <c r="AI74" i="8"/>
  <c r="AI26" i="8"/>
  <c r="AK25" i="8"/>
  <c r="AI61" i="8"/>
  <c r="AI83" i="8"/>
  <c r="AJ21" i="8"/>
  <c r="W73" i="8"/>
  <c r="W45" i="8"/>
  <c r="W67" i="8"/>
  <c r="X10" i="8"/>
  <c r="AJ9" i="8"/>
  <c r="W42" i="8"/>
  <c r="AI42" i="8"/>
  <c r="AK40" i="8"/>
  <c r="AJ40" i="8"/>
  <c r="AI40" i="8"/>
  <c r="Z40" i="8"/>
  <c r="X40" i="8"/>
  <c r="W40" i="8"/>
  <c r="W39" i="8"/>
  <c r="W78" i="8"/>
  <c r="AI78" i="8"/>
  <c r="X82" i="8"/>
  <c r="AJ81" i="8"/>
  <c r="AI79" i="8"/>
  <c r="X9" i="8"/>
  <c r="AK49" i="8"/>
  <c r="AK61" i="8"/>
  <c r="AI10" i="8"/>
  <c r="W81" i="8"/>
  <c r="X73" i="8"/>
  <c r="W18" i="8"/>
  <c r="AI18" i="8"/>
  <c r="W27" i="8"/>
  <c r="AK84" i="8"/>
  <c r="AJ84" i="8"/>
  <c r="AI84" i="8"/>
  <c r="Z84" i="8"/>
  <c r="X84" i="8"/>
  <c r="W84" i="8"/>
  <c r="AJ64" i="8"/>
  <c r="AI64" i="8"/>
  <c r="Z64" i="8"/>
  <c r="X64" i="8"/>
  <c r="W64" i="8"/>
  <c r="AK64" i="8"/>
  <c r="W87" i="8"/>
  <c r="X90" i="8"/>
  <c r="AK89" i="8"/>
  <c r="AI89" i="8"/>
  <c r="W89" i="8"/>
  <c r="Z89" i="8"/>
  <c r="X89" i="8"/>
  <c r="X66" i="8"/>
  <c r="AJ65" i="8"/>
  <c r="X92" i="8"/>
  <c r="W92" i="8"/>
  <c r="AK92" i="8"/>
  <c r="AJ92" i="8"/>
  <c r="AI92" i="8"/>
  <c r="Z92" i="8"/>
  <c r="Z33" i="8"/>
  <c r="AJ69" i="8"/>
  <c r="W57" i="8"/>
  <c r="AI58" i="8"/>
  <c r="AK9" i="8"/>
  <c r="AK65" i="8"/>
  <c r="X81" i="8"/>
  <c r="AK53" i="8"/>
  <c r="Z45" i="8"/>
  <c r="AK52" i="8"/>
  <c r="AJ52" i="8"/>
  <c r="AI52" i="8"/>
  <c r="Z52" i="8"/>
  <c r="X52" i="8"/>
  <c r="W52" i="8"/>
  <c r="W12" i="8"/>
  <c r="AJ12" i="8"/>
  <c r="AI12" i="8"/>
  <c r="X12" i="8"/>
  <c r="AK12" i="8"/>
  <c r="Z12" i="8"/>
  <c r="W90" i="8"/>
  <c r="AI90" i="8"/>
  <c r="W11" i="8"/>
  <c r="W63" i="8"/>
  <c r="X14" i="8"/>
  <c r="AJ13" i="8"/>
  <c r="W38" i="8"/>
  <c r="AI38" i="8"/>
  <c r="W95" i="8"/>
  <c r="X94" i="8"/>
  <c r="AK93" i="8"/>
  <c r="AI93" i="8"/>
  <c r="W93" i="8"/>
  <c r="Z93" i="8"/>
  <c r="X93" i="8"/>
  <c r="W15" i="8"/>
  <c r="X38" i="8"/>
  <c r="AI37" i="8"/>
  <c r="Z37" i="8"/>
  <c r="X37" i="8"/>
  <c r="W37" i="8"/>
  <c r="AK37" i="8"/>
  <c r="AK68" i="8"/>
  <c r="AJ68" i="8"/>
  <c r="AI68" i="8"/>
  <c r="Z68" i="8"/>
  <c r="X68" i="8"/>
  <c r="W68" i="8"/>
  <c r="W94" i="8"/>
  <c r="AI94" i="8"/>
  <c r="AK96" i="8"/>
  <c r="AJ96" i="8"/>
  <c r="AI96" i="8"/>
  <c r="Z96" i="8"/>
  <c r="X96" i="8"/>
  <c r="W96" i="8"/>
  <c r="X33" i="8"/>
  <c r="X57" i="8"/>
  <c r="W25" i="8"/>
  <c r="AJ89" i="8"/>
  <c r="AI15" i="8"/>
  <c r="AI75" i="8"/>
  <c r="AK41" i="8"/>
  <c r="Z73" i="8"/>
  <c r="W47" i="8"/>
  <c r="AI47" i="8"/>
  <c r="W43" i="8"/>
  <c r="AI43" i="8"/>
  <c r="AF8" i="8"/>
  <c r="AD8" i="8"/>
  <c r="W8" i="8"/>
  <c r="Z8" i="8"/>
  <c r="AD5" i="8"/>
  <c r="AE7" i="8"/>
  <c r="W7" i="8"/>
  <c r="AC7" i="8"/>
  <c r="AI6" i="8"/>
  <c r="Y5" i="8"/>
  <c r="AN5" i="8"/>
  <c r="W5" i="8"/>
  <c r="AK5" i="8"/>
  <c r="Z5" i="8"/>
  <c r="X5" i="8"/>
  <c r="AF5" i="8"/>
  <c r="Y6" i="8"/>
  <c r="W6" i="8"/>
  <c r="AO31" i="10"/>
  <c r="AL31" i="10" s="1"/>
  <c r="AN31" i="10"/>
  <c r="AL6" i="6"/>
  <c r="AK6" i="6"/>
  <c r="AR5" i="8"/>
  <c r="AR6" i="8"/>
  <c r="AR7" i="8"/>
  <c r="AS5" i="8"/>
  <c r="AI5" i="8"/>
  <c r="J17" i="9"/>
  <c r="J16" i="9"/>
  <c r="J15" i="9"/>
  <c r="I17" i="9"/>
  <c r="H17" i="9"/>
  <c r="I16" i="9"/>
  <c r="H16" i="9"/>
  <c r="I15" i="9"/>
  <c r="H15" i="9"/>
  <c r="J14" i="9"/>
  <c r="J12" i="9"/>
  <c r="I12" i="9"/>
  <c r="H12" i="9"/>
  <c r="I14" i="9"/>
  <c r="H14" i="9"/>
  <c r="D37" i="6"/>
  <c r="AF36" i="9" s="1"/>
  <c r="AK17" i="10"/>
  <c r="CC16" i="9"/>
  <c r="CA16" i="9" s="1"/>
  <c r="J11" i="9"/>
  <c r="J10" i="9"/>
  <c r="J9" i="9"/>
  <c r="J6" i="9"/>
  <c r="J8" i="9"/>
  <c r="J7" i="9"/>
  <c r="I6" i="9"/>
  <c r="I11" i="9"/>
  <c r="H6" i="9"/>
  <c r="H11" i="9"/>
  <c r="I10" i="9"/>
  <c r="H10" i="9"/>
  <c r="I9" i="9"/>
  <c r="H9" i="9"/>
  <c r="I8" i="9"/>
  <c r="H8" i="9"/>
  <c r="I7" i="9"/>
  <c r="H7" i="9"/>
  <c r="X6" i="8"/>
  <c r="AJ8" i="8"/>
  <c r="Y8" i="8"/>
  <c r="AI8" i="8"/>
  <c r="AK8" i="8"/>
  <c r="AO8" i="8"/>
  <c r="X8" i="8"/>
  <c r="AS8" i="8"/>
  <c r="AN8" i="8"/>
  <c r="AT8" i="8"/>
  <c r="AR8" i="8"/>
  <c r="D38" i="6"/>
  <c r="AF37" i="9" s="1"/>
  <c r="D133" i="8"/>
  <c r="P135" i="8" s="1"/>
  <c r="D39" i="6"/>
  <c r="AF38" i="9" s="1"/>
  <c r="D137" i="8"/>
  <c r="P139" i="8" s="1"/>
  <c r="H25" i="5"/>
  <c r="H9" i="5"/>
  <c r="H24" i="5"/>
  <c r="H8" i="5"/>
  <c r="H14" i="5"/>
  <c r="H26" i="5"/>
  <c r="H11" i="5"/>
  <c r="H27" i="5"/>
  <c r="H12" i="5"/>
  <c r="H28" i="5"/>
  <c r="H29" i="5"/>
  <c r="H30" i="5"/>
  <c r="H31" i="5"/>
  <c r="H16" i="5"/>
  <c r="H32" i="5"/>
  <c r="H33" i="5"/>
  <c r="H17" i="5"/>
  <c r="H18" i="5"/>
  <c r="H34" i="5"/>
  <c r="H35" i="5"/>
  <c r="H10" i="5"/>
  <c r="H15" i="5"/>
  <c r="H19" i="5"/>
  <c r="H20" i="5"/>
  <c r="H36" i="5"/>
  <c r="H21" i="5"/>
  <c r="H37" i="5"/>
  <c r="H13" i="5"/>
  <c r="H22" i="5"/>
  <c r="H38" i="5"/>
  <c r="H23" i="5"/>
  <c r="H39" i="5"/>
  <c r="H6" i="5"/>
  <c r="H7" i="5"/>
  <c r="AI6" i="6" l="1"/>
  <c r="AD6" i="6" s="1"/>
  <c r="G6" i="6" s="1"/>
  <c r="D141" i="8"/>
  <c r="P143" i="8" s="1"/>
  <c r="AE39" i="9"/>
  <c r="AH39" i="9" s="1"/>
  <c r="O39" i="9" s="1"/>
  <c r="D129" i="8"/>
  <c r="P131" i="8" s="1"/>
  <c r="AE36" i="9"/>
  <c r="AH36" i="9" s="1"/>
  <c r="O36" i="9" s="1"/>
  <c r="T135" i="8"/>
  <c r="T136" i="8"/>
  <c r="T134" i="8"/>
  <c r="T133" i="8"/>
  <c r="T139" i="8"/>
  <c r="T138" i="8"/>
  <c r="T137" i="8"/>
  <c r="T140" i="8"/>
  <c r="AO17" i="10"/>
  <c r="AN17" i="10"/>
  <c r="AL17" i="10"/>
  <c r="E17" i="10" s="1"/>
  <c r="BT16" i="9" s="1"/>
  <c r="AJ31" i="10"/>
  <c r="E31" i="10"/>
  <c r="H5" i="5"/>
  <c r="J5" i="9"/>
  <c r="I5" i="9"/>
  <c r="H5" i="9"/>
  <c r="BY16" i="9"/>
  <c r="BD16" i="9" s="1"/>
  <c r="BZ16" i="9"/>
  <c r="BX16" i="9"/>
  <c r="T131" i="8" l="1"/>
  <c r="T141" i="8"/>
  <c r="AG6" i="6"/>
  <c r="D5" i="8" s="1"/>
  <c r="P7" i="8" s="1"/>
  <c r="T129" i="8"/>
  <c r="AN37" i="6" s="1"/>
  <c r="O37" i="6" s="1"/>
  <c r="T132" i="8"/>
  <c r="T130" i="8"/>
  <c r="T142" i="8"/>
  <c r="T143" i="8"/>
  <c r="T144" i="8"/>
  <c r="D105" i="11"/>
  <c r="T108" i="11" s="1"/>
  <c r="BR30" i="9"/>
  <c r="BV30" i="9" s="1"/>
  <c r="BB30" i="9" s="1"/>
  <c r="BT30" i="9"/>
  <c r="C6" i="9"/>
  <c r="C7" i="9"/>
  <c r="D7" i="9" s="1"/>
  <c r="C8" i="9"/>
  <c r="D8" i="9" s="1"/>
  <c r="AN39" i="6"/>
  <c r="O39" i="6" s="1"/>
  <c r="AN38" i="6"/>
  <c r="O38" i="6" s="1"/>
  <c r="AN40" i="6"/>
  <c r="O40" i="6" s="1"/>
  <c r="D6" i="6"/>
  <c r="AF5" i="9" s="1"/>
  <c r="AJ17" i="10"/>
  <c r="D6" i="9" l="1"/>
  <c r="T106" i="11"/>
  <c r="P107" i="11"/>
  <c r="T8" i="8"/>
  <c r="AE5" i="9"/>
  <c r="AH5" i="9" s="1"/>
  <c r="Z5" i="9"/>
  <c r="S5" i="9" s="1"/>
  <c r="M5" i="9"/>
  <c r="T5" i="8"/>
  <c r="T6" i="8"/>
  <c r="T7" i="8"/>
  <c r="T105" i="11"/>
  <c r="T107" i="11"/>
  <c r="D49" i="11"/>
  <c r="T52" i="11" s="1"/>
  <c r="BR16" i="9"/>
  <c r="BV16" i="9" s="1"/>
  <c r="BB16" i="9" s="1"/>
  <c r="AA5" i="9"/>
  <c r="C39" i="5"/>
  <c r="C38" i="5"/>
  <c r="C37" i="5"/>
  <c r="C36" i="5"/>
  <c r="C35" i="5"/>
  <c r="AC9" i="10" s="1"/>
  <c r="K9" i="10" s="1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AC6" i="10" s="1"/>
  <c r="K6" i="10" s="1"/>
  <c r="C9" i="5"/>
  <c r="C8" i="5"/>
  <c r="C7" i="5"/>
  <c r="AA31" i="6" s="1"/>
  <c r="I31" i="6" s="1"/>
  <c r="AO30" i="9" s="1"/>
  <c r="AM30" i="9" s="1"/>
  <c r="C6" i="5"/>
  <c r="L5" i="8" l="1"/>
  <c r="AN6" i="6" s="1"/>
  <c r="O6" i="6" s="1"/>
  <c r="AL5" i="9"/>
  <c r="R5" i="9" s="1"/>
  <c r="P51" i="11"/>
  <c r="O5" i="9"/>
  <c r="T50" i="11"/>
  <c r="T49" i="11"/>
  <c r="T51" i="11"/>
  <c r="N5" i="9"/>
  <c r="AJ5" i="9"/>
  <c r="P5" i="9" s="1"/>
  <c r="AK5" i="9"/>
  <c r="Q5" i="9" s="1"/>
  <c r="AK9" i="10"/>
  <c r="CC8" i="9"/>
  <c r="CA8" i="9" s="1"/>
  <c r="CC5" i="9"/>
  <c r="CA5" i="9" s="1"/>
  <c r="AK6" i="10"/>
  <c r="AC13" i="10"/>
  <c r="K13" i="10" s="1"/>
  <c r="AA9" i="6"/>
  <c r="I9" i="6" s="1"/>
  <c r="AH31" i="6"/>
  <c r="AC34" i="10"/>
  <c r="K34" i="10" s="1"/>
  <c r="CC33" i="9" s="1"/>
  <c r="AC22" i="10"/>
  <c r="K22" i="10" s="1"/>
  <c r="AA29" i="6"/>
  <c r="I29" i="6" s="1"/>
  <c r="AO28" i="9" s="1"/>
  <c r="AC25" i="10"/>
  <c r="K25" i="10" s="1"/>
  <c r="AC29" i="10"/>
  <c r="K29" i="10" s="1"/>
  <c r="AC32" i="10"/>
  <c r="K32" i="10" s="1"/>
  <c r="CC31" i="9" s="1"/>
  <c r="AC33" i="10"/>
  <c r="K33" i="10" s="1"/>
  <c r="CC32" i="9" s="1"/>
  <c r="AC18" i="10"/>
  <c r="AC21" i="10"/>
  <c r="K21" i="10" s="1"/>
  <c r="AC7" i="10"/>
  <c r="K7" i="10" s="1"/>
  <c r="AC14" i="10"/>
  <c r="AC10" i="10"/>
  <c r="K10" i="10" s="1"/>
  <c r="AC36" i="10"/>
  <c r="K36" i="10" s="1"/>
  <c r="CC35" i="9" s="1"/>
  <c r="AC26" i="10"/>
  <c r="K26" i="10" s="1"/>
  <c r="AC30" i="10"/>
  <c r="K30" i="10" s="1"/>
  <c r="CC29" i="9" s="1"/>
  <c r="AC16" i="10"/>
  <c r="AC35" i="10"/>
  <c r="K35" i="10" s="1"/>
  <c r="CC34" i="9" s="1"/>
  <c r="AC19" i="10"/>
  <c r="AC20" i="10"/>
  <c r="AC28" i="10"/>
  <c r="K28" i="10" s="1"/>
  <c r="AC23" i="10"/>
  <c r="K23" i="10" s="1"/>
  <c r="CC22" i="9" s="1"/>
  <c r="AC24" i="10"/>
  <c r="K24" i="10" s="1"/>
  <c r="AC8" i="10"/>
  <c r="K8" i="10" s="1"/>
  <c r="AC15" i="10"/>
  <c r="AC27" i="10"/>
  <c r="K27" i="10" s="1"/>
  <c r="AC11" i="10"/>
  <c r="K11" i="10" s="1"/>
  <c r="AC12" i="10"/>
  <c r="K12" i="10" s="1"/>
  <c r="AA14" i="6"/>
  <c r="I14" i="6" s="1"/>
  <c r="AA34" i="6"/>
  <c r="I34" i="6" s="1"/>
  <c r="AO33" i="9" s="1"/>
  <c r="AA28" i="6"/>
  <c r="I28" i="6" s="1"/>
  <c r="AA30" i="6"/>
  <c r="I30" i="6" s="1"/>
  <c r="AO29" i="9" s="1"/>
  <c r="AA36" i="6"/>
  <c r="I36" i="6" s="1"/>
  <c r="AO35" i="9" s="1"/>
  <c r="AA25" i="6"/>
  <c r="I25" i="6" s="1"/>
  <c r="AA32" i="6"/>
  <c r="I32" i="6" s="1"/>
  <c r="AO31" i="9" s="1"/>
  <c r="AM31" i="9" s="1"/>
  <c r="S31" i="9" s="1"/>
  <c r="AA33" i="6"/>
  <c r="I33" i="6" s="1"/>
  <c r="AO32" i="9" s="1"/>
  <c r="AA35" i="6"/>
  <c r="I35" i="6" s="1"/>
  <c r="AO34" i="9" s="1"/>
  <c r="AA23" i="6"/>
  <c r="I23" i="6" s="1"/>
  <c r="AO22" i="9" s="1"/>
  <c r="AA7" i="6"/>
  <c r="I7" i="6" s="1"/>
  <c r="AA13" i="6"/>
  <c r="I13" i="6" s="1"/>
  <c r="AA10" i="6"/>
  <c r="I10" i="6" s="1"/>
  <c r="AA24" i="6"/>
  <c r="I24" i="6" s="1"/>
  <c r="AA17" i="6"/>
  <c r="I17" i="6" s="1"/>
  <c r="AA21" i="6"/>
  <c r="I21" i="6" s="1"/>
  <c r="AA27" i="6"/>
  <c r="I27" i="6" s="1"/>
  <c r="AA22" i="6"/>
  <c r="I22" i="6" s="1"/>
  <c r="AA18" i="6"/>
  <c r="I18" i="6" s="1"/>
  <c r="AA11" i="6"/>
  <c r="I11" i="6" s="1"/>
  <c r="AA19" i="6"/>
  <c r="I19" i="6" s="1"/>
  <c r="AA16" i="6"/>
  <c r="I16" i="6" s="1"/>
  <c r="AA12" i="6"/>
  <c r="I12" i="6" s="1"/>
  <c r="AA20" i="6"/>
  <c r="I20" i="6" s="1"/>
  <c r="AA15" i="6"/>
  <c r="I15" i="6" s="1"/>
  <c r="AA8" i="6"/>
  <c r="I8" i="6" s="1"/>
  <c r="AA26" i="6"/>
  <c r="I26" i="6" s="1"/>
  <c r="AP6" i="6" l="1"/>
  <c r="U6" i="6" s="1"/>
  <c r="CA34" i="9"/>
  <c r="BZ34" i="9"/>
  <c r="BX34" i="9"/>
  <c r="BY34" i="9"/>
  <c r="CA33" i="9"/>
  <c r="BY33" i="9"/>
  <c r="BZ33" i="9"/>
  <c r="BX33" i="9"/>
  <c r="AK35" i="9"/>
  <c r="AJ35" i="9"/>
  <c r="AL35" i="9"/>
  <c r="AM35" i="9"/>
  <c r="BX35" i="9"/>
  <c r="BY35" i="9"/>
  <c r="BZ35" i="9"/>
  <c r="CA35" i="9"/>
  <c r="BZ32" i="9"/>
  <c r="BY32" i="9"/>
  <c r="BX32" i="9"/>
  <c r="CA32" i="9"/>
  <c r="BZ31" i="9"/>
  <c r="BX31" i="9"/>
  <c r="BY31" i="9"/>
  <c r="CA31" i="9"/>
  <c r="AM33" i="9"/>
  <c r="AK33" i="9"/>
  <c r="AL33" i="9"/>
  <c r="AJ33" i="9"/>
  <c r="AM32" i="9"/>
  <c r="AH13" i="6"/>
  <c r="AO12" i="9"/>
  <c r="AM34" i="9"/>
  <c r="AJ34" i="9"/>
  <c r="AL34" i="9"/>
  <c r="AK34" i="9"/>
  <c r="CC12" i="9"/>
  <c r="CA12" i="9" s="1"/>
  <c r="AM28" i="9"/>
  <c r="AO6" i="10"/>
  <c r="AN6" i="10"/>
  <c r="AL6" i="10" s="1"/>
  <c r="AF6" i="10" s="1"/>
  <c r="H6" i="10" s="1"/>
  <c r="AO9" i="10"/>
  <c r="AN9" i="10"/>
  <c r="AL31" i="6"/>
  <c r="AK31" i="6"/>
  <c r="AI31" i="6" s="1"/>
  <c r="BZ5" i="9"/>
  <c r="BE5" i="9" s="1"/>
  <c r="BY5" i="9"/>
  <c r="BD5" i="9" s="1"/>
  <c r="BX5" i="9"/>
  <c r="BX8" i="9"/>
  <c r="BZ8" i="9"/>
  <c r="BE8" i="9" s="1"/>
  <c r="BY8" i="9"/>
  <c r="BD8" i="9" s="1"/>
  <c r="AH29" i="6"/>
  <c r="AK13" i="10"/>
  <c r="AO8" i="9"/>
  <c r="AH9" i="6"/>
  <c r="AK30" i="10"/>
  <c r="CA29" i="9"/>
  <c r="AK26" i="10"/>
  <c r="CC25" i="9"/>
  <c r="CA25" i="9" s="1"/>
  <c r="AK10" i="10"/>
  <c r="CC9" i="9"/>
  <c r="CA9" i="9" s="1"/>
  <c r="AK7" i="10"/>
  <c r="CC6" i="9"/>
  <c r="CA6" i="9" s="1"/>
  <c r="AK21" i="10"/>
  <c r="CC20" i="9"/>
  <c r="CA20" i="9" s="1"/>
  <c r="AK12" i="10"/>
  <c r="CC11" i="9"/>
  <c r="CA11" i="9" s="1"/>
  <c r="AK8" i="10"/>
  <c r="CC7" i="9"/>
  <c r="CA7" i="9" s="1"/>
  <c r="AK33" i="10"/>
  <c r="AK27" i="10"/>
  <c r="CC26" i="9"/>
  <c r="CA26" i="9" s="1"/>
  <c r="AK32" i="10"/>
  <c r="AK11" i="10"/>
  <c r="CC10" i="9"/>
  <c r="CA10" i="9" s="1"/>
  <c r="AK23" i="10"/>
  <c r="CA22" i="9"/>
  <c r="AK29" i="10"/>
  <c r="CC28" i="9"/>
  <c r="CA28" i="9" s="1"/>
  <c r="AK24" i="10"/>
  <c r="CC23" i="9"/>
  <c r="AK28" i="10"/>
  <c r="CC27" i="9"/>
  <c r="CA27" i="9" s="1"/>
  <c r="AK25" i="10"/>
  <c r="CC24" i="9"/>
  <c r="CA24" i="9" s="1"/>
  <c r="AK36" i="10"/>
  <c r="AK22" i="10"/>
  <c r="CC21" i="9"/>
  <c r="CA21" i="9" s="1"/>
  <c r="AK35" i="10"/>
  <c r="AK34" i="10"/>
  <c r="K16" i="10"/>
  <c r="K18" i="10"/>
  <c r="K14" i="10"/>
  <c r="K15" i="10"/>
  <c r="K20" i="10"/>
  <c r="K19" i="10"/>
  <c r="AO10" i="9"/>
  <c r="AH11" i="6"/>
  <c r="AO21" i="9"/>
  <c r="AH22" i="6"/>
  <c r="AH23" i="6"/>
  <c r="AO11" i="9"/>
  <c r="AH12" i="6"/>
  <c r="AH35" i="6"/>
  <c r="AO26" i="9"/>
  <c r="AH27" i="6"/>
  <c r="AH33" i="6"/>
  <c r="AO16" i="9"/>
  <c r="AH17" i="6"/>
  <c r="AO23" i="9"/>
  <c r="AH24" i="6"/>
  <c r="AH32" i="6"/>
  <c r="AO20" i="9"/>
  <c r="AH21" i="6"/>
  <c r="AO24" i="9"/>
  <c r="AH25" i="6"/>
  <c r="AO9" i="9"/>
  <c r="AH10" i="6"/>
  <c r="AH36" i="6"/>
  <c r="AO17" i="9"/>
  <c r="AH18" i="6"/>
  <c r="AO6" i="9"/>
  <c r="AH7" i="6"/>
  <c r="AH30" i="6"/>
  <c r="AO18" i="9"/>
  <c r="AH19" i="6"/>
  <c r="AO27" i="9"/>
  <c r="AH28" i="6"/>
  <c r="AO15" i="9"/>
  <c r="AH16" i="6"/>
  <c r="AO25" i="9"/>
  <c r="AH26" i="6"/>
  <c r="AO7" i="9"/>
  <c r="AH8" i="6"/>
  <c r="AO14" i="9"/>
  <c r="AH15" i="6"/>
  <c r="AH34" i="6"/>
  <c r="AO19" i="9"/>
  <c r="AH20" i="6"/>
  <c r="AO13" i="9"/>
  <c r="AH14" i="6"/>
  <c r="BZ12" i="9" l="1"/>
  <c r="BE12" i="9" s="1"/>
  <c r="BY12" i="9"/>
  <c r="BX12" i="9"/>
  <c r="BZ23" i="9"/>
  <c r="BX23" i="9"/>
  <c r="CA23" i="9"/>
  <c r="BY23" i="9"/>
  <c r="AM23" i="9"/>
  <c r="AM13" i="9"/>
  <c r="AG31" i="6"/>
  <c r="AE30" i="9" s="1"/>
  <c r="AD31" i="6"/>
  <c r="G31" i="6" s="1"/>
  <c r="AM9" i="9"/>
  <c r="AM18" i="9"/>
  <c r="AM20" i="9"/>
  <c r="AM22" i="9"/>
  <c r="AM27" i="9"/>
  <c r="AM11" i="9"/>
  <c r="AM19" i="9"/>
  <c r="AM29" i="9"/>
  <c r="AM21" i="9"/>
  <c r="AM6" i="9"/>
  <c r="AM10" i="9"/>
  <c r="AM14" i="9"/>
  <c r="AM17" i="9"/>
  <c r="AM16" i="9"/>
  <c r="AM8" i="9"/>
  <c r="AM24" i="9"/>
  <c r="AM7" i="9"/>
  <c r="AM12" i="9"/>
  <c r="AM15" i="9"/>
  <c r="AM25" i="9"/>
  <c r="AM26" i="9"/>
  <c r="AL9" i="10"/>
  <c r="AN34" i="10"/>
  <c r="AO34" i="10"/>
  <c r="AL34" i="10"/>
  <c r="E34" i="10" s="1"/>
  <c r="AO36" i="10"/>
  <c r="AN36" i="10"/>
  <c r="AL36" i="10"/>
  <c r="AJ36" i="10" s="1"/>
  <c r="AO27" i="10"/>
  <c r="AL27" i="10" s="1"/>
  <c r="E27" i="10" s="1"/>
  <c r="BT26" i="9" s="1"/>
  <c r="AN27" i="10"/>
  <c r="AO30" i="10"/>
  <c r="AL30" i="10" s="1"/>
  <c r="E30" i="10" s="1"/>
  <c r="AN30" i="10"/>
  <c r="AO7" i="10"/>
  <c r="AN7" i="10"/>
  <c r="AL7" i="10" s="1"/>
  <c r="AO32" i="10"/>
  <c r="AL32" i="10" s="1"/>
  <c r="E32" i="10" s="1"/>
  <c r="AN32" i="10"/>
  <c r="AO33" i="10"/>
  <c r="AN33" i="10"/>
  <c r="AL33" i="10"/>
  <c r="E33" i="10" s="1"/>
  <c r="AO8" i="10"/>
  <c r="AN8" i="10"/>
  <c r="AL8" i="10" s="1"/>
  <c r="AO23" i="10"/>
  <c r="AN23" i="10"/>
  <c r="AL23" i="10"/>
  <c r="AJ23" i="10" s="1"/>
  <c r="AN10" i="10"/>
  <c r="AO10" i="10"/>
  <c r="AL10" i="10" s="1"/>
  <c r="AO28" i="10"/>
  <c r="AL28" i="10" s="1"/>
  <c r="E28" i="10" s="1"/>
  <c r="BT27" i="9" s="1"/>
  <c r="AN28" i="10"/>
  <c r="AO35" i="10"/>
  <c r="AN35" i="10"/>
  <c r="AL35" i="10"/>
  <c r="E35" i="10" s="1"/>
  <c r="AO12" i="10"/>
  <c r="AL12" i="10" s="1"/>
  <c r="AF12" i="10" s="1"/>
  <c r="H12" i="10" s="1"/>
  <c r="AN12" i="10"/>
  <c r="AO26" i="10"/>
  <c r="AL26" i="10" s="1"/>
  <c r="AJ26" i="10" s="1"/>
  <c r="AN26" i="10"/>
  <c r="AO24" i="10"/>
  <c r="AL24" i="10" s="1"/>
  <c r="AN24" i="10"/>
  <c r="AO25" i="10"/>
  <c r="AL25" i="10" s="1"/>
  <c r="AN25" i="10"/>
  <c r="AO21" i="10"/>
  <c r="AN21" i="10"/>
  <c r="AL21" i="10"/>
  <c r="AO13" i="10"/>
  <c r="AL13" i="10" s="1"/>
  <c r="AN13" i="10"/>
  <c r="AO11" i="10"/>
  <c r="AL11" i="10" s="1"/>
  <c r="AF11" i="10" s="1"/>
  <c r="H11" i="10" s="1"/>
  <c r="AN11" i="10"/>
  <c r="AO22" i="10"/>
  <c r="AN22" i="10"/>
  <c r="AL22" i="10"/>
  <c r="E22" i="10" s="1"/>
  <c r="BT21" i="9" s="1"/>
  <c r="AO29" i="10"/>
  <c r="AL29" i="10" s="1"/>
  <c r="AJ29" i="10" s="1"/>
  <c r="AN29" i="10"/>
  <c r="AL22" i="6"/>
  <c r="AK22" i="6"/>
  <c r="AL14" i="6"/>
  <c r="AK14" i="6"/>
  <c r="AL19" i="6"/>
  <c r="AK19" i="6"/>
  <c r="AI19" i="6" s="1"/>
  <c r="AD19" i="6" s="1"/>
  <c r="G19" i="6" s="1"/>
  <c r="AL11" i="6"/>
  <c r="AK11" i="6"/>
  <c r="AI11" i="6" s="1"/>
  <c r="AD11" i="6" s="1"/>
  <c r="G11" i="6" s="1"/>
  <c r="AL15" i="6"/>
  <c r="AK15" i="6"/>
  <c r="AL21" i="6"/>
  <c r="AK21" i="6"/>
  <c r="AI21" i="6" s="1"/>
  <c r="AD21" i="6" s="1"/>
  <c r="G21" i="6" s="1"/>
  <c r="AL24" i="6"/>
  <c r="AK24" i="6"/>
  <c r="AL8" i="6"/>
  <c r="AK8" i="6"/>
  <c r="AL36" i="6"/>
  <c r="AK36" i="6"/>
  <c r="AI36" i="6"/>
  <c r="AG36" i="6" s="1"/>
  <c r="AE35" i="9" s="1"/>
  <c r="AH35" i="9" s="1"/>
  <c r="O35" i="9" s="1"/>
  <c r="AL33" i="6"/>
  <c r="AK33" i="6"/>
  <c r="AI33" i="6" s="1"/>
  <c r="AL30" i="6"/>
  <c r="AK30" i="6"/>
  <c r="AI30" i="6" s="1"/>
  <c r="AK17" i="6"/>
  <c r="AL17" i="6"/>
  <c r="AL9" i="6"/>
  <c r="AK9" i="6"/>
  <c r="AL20" i="6"/>
  <c r="AK20" i="6"/>
  <c r="AI20" i="6" s="1"/>
  <c r="AD20" i="6" s="1"/>
  <c r="G20" i="6" s="1"/>
  <c r="AL13" i="6"/>
  <c r="AK13" i="6"/>
  <c r="AI13" i="6" s="1"/>
  <c r="AD13" i="6" s="1"/>
  <c r="G13" i="6" s="1"/>
  <c r="AL27" i="6"/>
  <c r="AK27" i="6"/>
  <c r="AL7" i="6"/>
  <c r="AK7" i="6"/>
  <c r="AL16" i="6"/>
  <c r="AK16" i="6"/>
  <c r="AL35" i="6"/>
  <c r="AK35" i="6"/>
  <c r="AI35" i="6"/>
  <c r="AG35" i="6" s="1"/>
  <c r="AE34" i="9" s="1"/>
  <c r="AH34" i="9" s="1"/>
  <c r="O34" i="9" s="1"/>
  <c r="AL23" i="6"/>
  <c r="AK23" i="6"/>
  <c r="AL34" i="6"/>
  <c r="AI34" i="6"/>
  <c r="AG34" i="6" s="1"/>
  <c r="AE33" i="9" s="1"/>
  <c r="AH33" i="9" s="1"/>
  <c r="O33" i="9" s="1"/>
  <c r="AK34" i="6"/>
  <c r="AL26" i="6"/>
  <c r="AK26" i="6"/>
  <c r="AL12" i="6"/>
  <c r="AK12" i="6"/>
  <c r="AI12" i="6" s="1"/>
  <c r="AD12" i="6" s="1"/>
  <c r="G12" i="6" s="1"/>
  <c r="AL32" i="6"/>
  <c r="AK32" i="6"/>
  <c r="AI32" i="6" s="1"/>
  <c r="AL18" i="6"/>
  <c r="AK18" i="6"/>
  <c r="AL10" i="6"/>
  <c r="AK10" i="6"/>
  <c r="AL29" i="6"/>
  <c r="AK29" i="6"/>
  <c r="AL28" i="6"/>
  <c r="AK28" i="6"/>
  <c r="AK25" i="6"/>
  <c r="AL25" i="6"/>
  <c r="AJ6" i="10"/>
  <c r="E6" i="10"/>
  <c r="BT5" i="9" s="1"/>
  <c r="D31" i="6"/>
  <c r="AF30" i="9" s="1"/>
  <c r="AK19" i="10"/>
  <c r="CC18" i="9"/>
  <c r="CA18" i="9" s="1"/>
  <c r="BZ27" i="9"/>
  <c r="BE27" i="9" s="1"/>
  <c r="BY27" i="9"/>
  <c r="BX27" i="9"/>
  <c r="BZ7" i="9"/>
  <c r="BX7" i="9"/>
  <c r="BY7" i="9"/>
  <c r="AK20" i="10"/>
  <c r="CC19" i="9"/>
  <c r="CA19" i="9" s="1"/>
  <c r="AK15" i="10"/>
  <c r="CC14" i="9"/>
  <c r="CA14" i="9" s="1"/>
  <c r="BY11" i="9"/>
  <c r="BX11" i="9"/>
  <c r="BZ11" i="9"/>
  <c r="AK14" i="10"/>
  <c r="CC13" i="9"/>
  <c r="AK18" i="10"/>
  <c r="CC17" i="9"/>
  <c r="CA17" i="9" s="1"/>
  <c r="BZ28" i="9"/>
  <c r="BE28" i="9" s="1"/>
  <c r="BX28" i="9"/>
  <c r="BY28" i="9"/>
  <c r="BZ20" i="9"/>
  <c r="BX20" i="9"/>
  <c r="BY20" i="9"/>
  <c r="BD20" i="9" s="1"/>
  <c r="AK16" i="10"/>
  <c r="CC15" i="9"/>
  <c r="CA15" i="9" s="1"/>
  <c r="BZ22" i="9"/>
  <c r="BY22" i="9"/>
  <c r="BX22" i="9"/>
  <c r="BX6" i="9"/>
  <c r="BY6" i="9"/>
  <c r="BZ6" i="9"/>
  <c r="BE6" i="9" s="1"/>
  <c r="BY10" i="9"/>
  <c r="BD10" i="9" s="1"/>
  <c r="BZ10" i="9"/>
  <c r="BX10" i="9"/>
  <c r="BY9" i="9"/>
  <c r="BX9" i="9"/>
  <c r="BZ9" i="9"/>
  <c r="BZ21" i="9"/>
  <c r="BY21" i="9"/>
  <c r="BX21" i="9"/>
  <c r="BZ25" i="9"/>
  <c r="BE25" i="9" s="1"/>
  <c r="BY25" i="9"/>
  <c r="BX25" i="9"/>
  <c r="BZ24" i="9"/>
  <c r="BE24" i="9" s="1"/>
  <c r="BX24" i="9"/>
  <c r="BY24" i="9"/>
  <c r="BY26" i="9"/>
  <c r="BX26" i="9"/>
  <c r="BZ26" i="9"/>
  <c r="BZ29" i="9"/>
  <c r="BX29" i="9"/>
  <c r="BY29" i="9"/>
  <c r="AI7" i="6" l="1"/>
  <c r="AD7" i="6" s="1"/>
  <c r="G7" i="6" s="1"/>
  <c r="AI9" i="6"/>
  <c r="AD9" i="6" s="1"/>
  <c r="G9" i="6" s="1"/>
  <c r="AI10" i="6"/>
  <c r="AD10" i="6" s="1"/>
  <c r="G10" i="6" s="1"/>
  <c r="AI8" i="6"/>
  <c r="AD8" i="6" s="1"/>
  <c r="G8" i="6" s="1"/>
  <c r="AI17" i="6"/>
  <c r="AD17" i="6" s="1"/>
  <c r="G17" i="6" s="1"/>
  <c r="AI28" i="6"/>
  <c r="AG28" i="6" s="1"/>
  <c r="AE27" i="9" s="1"/>
  <c r="AI26" i="6"/>
  <c r="AD26" i="6" s="1"/>
  <c r="G26" i="6" s="1"/>
  <c r="AH30" i="9"/>
  <c r="AI27" i="6"/>
  <c r="AG27" i="6" s="1"/>
  <c r="AE26" i="9" s="1"/>
  <c r="AG33" i="6"/>
  <c r="AE32" i="9" s="1"/>
  <c r="AD33" i="6"/>
  <c r="G33" i="6" s="1"/>
  <c r="AI29" i="6"/>
  <c r="D29" i="6" s="1"/>
  <c r="AF28" i="9" s="1"/>
  <c r="AI25" i="6"/>
  <c r="AG25" i="6" s="1"/>
  <c r="AE24" i="9" s="1"/>
  <c r="AI18" i="6"/>
  <c r="AD18" i="6" s="1"/>
  <c r="G18" i="6" s="1"/>
  <c r="AI16" i="6"/>
  <c r="AD16" i="6" s="1"/>
  <c r="G16" i="6" s="1"/>
  <c r="AI15" i="6"/>
  <c r="AD15" i="6" s="1"/>
  <c r="G15" i="6" s="1"/>
  <c r="AI14" i="6"/>
  <c r="AD14" i="6" s="1"/>
  <c r="G14" i="6" s="1"/>
  <c r="D97" i="11"/>
  <c r="BR28" i="9"/>
  <c r="BV28" i="9" s="1"/>
  <c r="BB28" i="9" s="1"/>
  <c r="D85" i="11"/>
  <c r="T88" i="11" s="1"/>
  <c r="BR25" i="9"/>
  <c r="BV25" i="9" s="1"/>
  <c r="BB25" i="9" s="1"/>
  <c r="D73" i="11"/>
  <c r="T76" i="11" s="1"/>
  <c r="BR22" i="9"/>
  <c r="BV22" i="9" s="1"/>
  <c r="BB22" i="9" s="1"/>
  <c r="D125" i="11"/>
  <c r="T128" i="11" s="1"/>
  <c r="BR35" i="9"/>
  <c r="BV35" i="9" s="1"/>
  <c r="BB35" i="9" s="1"/>
  <c r="D5" i="11"/>
  <c r="BR5" i="9"/>
  <c r="BV5" i="9" s="1"/>
  <c r="BB5" i="9" s="1"/>
  <c r="E9" i="10"/>
  <c r="BT8" i="9" s="1"/>
  <c r="AF9" i="10"/>
  <c r="H9" i="10" s="1"/>
  <c r="AJ7" i="10"/>
  <c r="AF7" i="10"/>
  <c r="H7" i="10" s="1"/>
  <c r="AJ13" i="10"/>
  <c r="AF13" i="10"/>
  <c r="H13" i="10" s="1"/>
  <c r="E10" i="10"/>
  <c r="BT9" i="9" s="1"/>
  <c r="AZ9" i="9" s="1"/>
  <c r="AF10" i="10"/>
  <c r="H10" i="10" s="1"/>
  <c r="AZ5" i="9"/>
  <c r="AJ8" i="10"/>
  <c r="AF8" i="10"/>
  <c r="H8" i="10" s="1"/>
  <c r="BT32" i="9"/>
  <c r="BT34" i="9"/>
  <c r="BT31" i="9"/>
  <c r="BT29" i="9"/>
  <c r="AA30" i="9"/>
  <c r="M30" i="9"/>
  <c r="Z30" i="9"/>
  <c r="S30" i="9" s="1"/>
  <c r="BT33" i="9"/>
  <c r="CA13" i="9"/>
  <c r="BZ13" i="9"/>
  <c r="BE13" i="9" s="1"/>
  <c r="BY13" i="9"/>
  <c r="BX13" i="9"/>
  <c r="AG32" i="6"/>
  <c r="AE31" i="9" s="1"/>
  <c r="AD32" i="6"/>
  <c r="G32" i="6" s="1"/>
  <c r="AG30" i="6"/>
  <c r="AE29" i="9" s="1"/>
  <c r="AD30" i="6"/>
  <c r="G30" i="6" s="1"/>
  <c r="AG20" i="6"/>
  <c r="AE19" i="9" s="1"/>
  <c r="AG21" i="6"/>
  <c r="AE20" i="9" s="1"/>
  <c r="AG19" i="6"/>
  <c r="AE18" i="9" s="1"/>
  <c r="AG11" i="6"/>
  <c r="AG12" i="6"/>
  <c r="AE11" i="9" s="1"/>
  <c r="AG13" i="6"/>
  <c r="AJ9" i="10"/>
  <c r="AJ33" i="10"/>
  <c r="E36" i="10"/>
  <c r="BT35" i="9" s="1"/>
  <c r="E29" i="10"/>
  <c r="BT28" i="9" s="1"/>
  <c r="AJ27" i="10"/>
  <c r="E7" i="10"/>
  <c r="BT6" i="9" s="1"/>
  <c r="AZ6" i="9" s="1"/>
  <c r="AO19" i="10"/>
  <c r="AN19" i="10"/>
  <c r="AL19" i="10"/>
  <c r="E19" i="10" s="1"/>
  <c r="BT18" i="9" s="1"/>
  <c r="AO16" i="10"/>
  <c r="AN16" i="10"/>
  <c r="AL16" i="10"/>
  <c r="E16" i="10" s="1"/>
  <c r="BT15" i="9" s="1"/>
  <c r="AO20" i="10"/>
  <c r="AN20" i="10"/>
  <c r="AL20" i="10"/>
  <c r="AN18" i="10"/>
  <c r="AO18" i="10"/>
  <c r="AL18" i="10"/>
  <c r="E18" i="10" s="1"/>
  <c r="BT17" i="9" s="1"/>
  <c r="AO15" i="10"/>
  <c r="AN15" i="10"/>
  <c r="AL15" i="10"/>
  <c r="AO14" i="10"/>
  <c r="AN14" i="10"/>
  <c r="AL14" i="10"/>
  <c r="E21" i="10"/>
  <c r="BT20" i="9" s="1"/>
  <c r="AJ24" i="10"/>
  <c r="E24" i="10"/>
  <c r="BT23" i="9" s="1"/>
  <c r="E25" i="10"/>
  <c r="BT24" i="9" s="1"/>
  <c r="AJ25" i="10"/>
  <c r="E12" i="10"/>
  <c r="BT11" i="9" s="1"/>
  <c r="AZ11" i="9" s="1"/>
  <c r="AJ34" i="10"/>
  <c r="AJ21" i="10"/>
  <c r="AJ32" i="10"/>
  <c r="E26" i="10"/>
  <c r="BT25" i="9" s="1"/>
  <c r="AJ30" i="10"/>
  <c r="Q17" i="10"/>
  <c r="D105" i="8"/>
  <c r="P107" i="8" s="1"/>
  <c r="AJ22" i="10"/>
  <c r="AJ35" i="10"/>
  <c r="AJ10" i="10"/>
  <c r="E13" i="10"/>
  <c r="BE10" i="9"/>
  <c r="BD7" i="9"/>
  <c r="BE11" i="9"/>
  <c r="BE9" i="9"/>
  <c r="BD6" i="9"/>
  <c r="E8" i="10"/>
  <c r="BT7" i="9" s="1"/>
  <c r="AZ7" i="9" s="1"/>
  <c r="AJ28" i="10"/>
  <c r="BX19" i="9"/>
  <c r="BZ19" i="9"/>
  <c r="BY19" i="9"/>
  <c r="BZ17" i="9"/>
  <c r="BY17" i="9"/>
  <c r="BX17" i="9"/>
  <c r="BZ15" i="9"/>
  <c r="BE15" i="9" s="1"/>
  <c r="BY15" i="9"/>
  <c r="BX15" i="9"/>
  <c r="BZ18" i="9"/>
  <c r="BX18" i="9"/>
  <c r="BY18" i="9"/>
  <c r="BD18" i="9" s="1"/>
  <c r="AJ12" i="10"/>
  <c r="BZ14" i="9"/>
  <c r="BX14" i="9"/>
  <c r="BY14" i="9"/>
  <c r="BD14" i="9" s="1"/>
  <c r="D13" i="6"/>
  <c r="AF12" i="9" s="1"/>
  <c r="E23" i="10"/>
  <c r="D12" i="6"/>
  <c r="AF11" i="9" s="1"/>
  <c r="D36" i="6"/>
  <c r="AF35" i="9" s="1"/>
  <c r="D34" i="6"/>
  <c r="AF33" i="9" s="1"/>
  <c r="D35" i="6"/>
  <c r="AF34" i="9" s="1"/>
  <c r="D32" i="6"/>
  <c r="AF31" i="9" s="1"/>
  <c r="D33" i="6"/>
  <c r="AF32" i="9" s="1"/>
  <c r="D21" i="6"/>
  <c r="AF20" i="9" s="1"/>
  <c r="D19" i="6"/>
  <c r="AF18" i="9" s="1"/>
  <c r="D11" i="6"/>
  <c r="AF10" i="9" s="1"/>
  <c r="D20" i="6"/>
  <c r="AF19" i="9" s="1"/>
  <c r="AD27" i="6" l="1"/>
  <c r="G27" i="6" s="1"/>
  <c r="AD28" i="6"/>
  <c r="G28" i="6" s="1"/>
  <c r="T97" i="11"/>
  <c r="T100" i="11"/>
  <c r="AS6" i="10"/>
  <c r="W6" i="10" s="1"/>
  <c r="T99" i="11"/>
  <c r="AG26" i="6"/>
  <c r="D85" i="8" s="1"/>
  <c r="P87" i="8" s="1"/>
  <c r="T8" i="11"/>
  <c r="P7" i="11"/>
  <c r="T73" i="11"/>
  <c r="P75" i="11"/>
  <c r="P127" i="11"/>
  <c r="T86" i="11"/>
  <c r="P87" i="11"/>
  <c r="T98" i="11"/>
  <c r="P99" i="11"/>
  <c r="AG7" i="6"/>
  <c r="D9" i="8" s="1"/>
  <c r="P11" i="8" s="1"/>
  <c r="D7" i="6"/>
  <c r="AF6" i="9" s="1"/>
  <c r="T75" i="11"/>
  <c r="D28" i="6"/>
  <c r="AF27" i="9" s="1"/>
  <c r="T74" i="11"/>
  <c r="T126" i="11"/>
  <c r="T125" i="11"/>
  <c r="T127" i="11"/>
  <c r="O30" i="9"/>
  <c r="D26" i="6"/>
  <c r="AF25" i="9" s="1"/>
  <c r="AG29" i="6"/>
  <c r="D97" i="8" s="1"/>
  <c r="P99" i="8" s="1"/>
  <c r="AD29" i="6"/>
  <c r="G29" i="6" s="1"/>
  <c r="AD25" i="6"/>
  <c r="G25" i="6" s="1"/>
  <c r="AH24" i="9" s="1"/>
  <c r="AG17" i="6"/>
  <c r="AE16" i="9" s="1"/>
  <c r="AH16" i="9" s="1"/>
  <c r="D17" i="6"/>
  <c r="AF16" i="9" s="1"/>
  <c r="AG8" i="6"/>
  <c r="AE7" i="9" s="1"/>
  <c r="AH7" i="9" s="1"/>
  <c r="D8" i="6"/>
  <c r="AF7" i="9" s="1"/>
  <c r="D10" i="6"/>
  <c r="AF9" i="9" s="1"/>
  <c r="AG10" i="6"/>
  <c r="D21" i="8" s="1"/>
  <c r="P23" i="8" s="1"/>
  <c r="D9" i="6"/>
  <c r="AF8" i="9" s="1"/>
  <c r="AG9" i="6"/>
  <c r="AE8" i="9" s="1"/>
  <c r="AH8" i="9" s="1"/>
  <c r="AG15" i="6"/>
  <c r="D41" i="8" s="1"/>
  <c r="P43" i="8" s="1"/>
  <c r="AH20" i="9"/>
  <c r="AG18" i="6"/>
  <c r="D53" i="8" s="1"/>
  <c r="P55" i="8" s="1"/>
  <c r="D18" i="6"/>
  <c r="AF17" i="9" s="1"/>
  <c r="AG16" i="6"/>
  <c r="AE15" i="9" s="1"/>
  <c r="AH15" i="9" s="1"/>
  <c r="AG14" i="6"/>
  <c r="AE13" i="9" s="1"/>
  <c r="AH13" i="9" s="1"/>
  <c r="D16" i="6"/>
  <c r="AF15" i="9" s="1"/>
  <c r="AA15" i="9" s="1"/>
  <c r="D14" i="6"/>
  <c r="AF13" i="9" s="1"/>
  <c r="AH27" i="9"/>
  <c r="AH26" i="9"/>
  <c r="AH32" i="9"/>
  <c r="AH29" i="9"/>
  <c r="AH31" i="9"/>
  <c r="Z32" i="9"/>
  <c r="AA32" i="9"/>
  <c r="M32" i="9"/>
  <c r="AH19" i="9"/>
  <c r="AH11" i="9"/>
  <c r="AH18" i="9"/>
  <c r="D15" i="6"/>
  <c r="AF14" i="9" s="1"/>
  <c r="AA14" i="9" s="1"/>
  <c r="T87" i="11"/>
  <c r="T85" i="11"/>
  <c r="T6" i="11"/>
  <c r="T7" i="11"/>
  <c r="D65" i="8"/>
  <c r="P67" i="8" s="1"/>
  <c r="T5" i="11"/>
  <c r="D29" i="8"/>
  <c r="P31" i="8" s="1"/>
  <c r="D77" i="11"/>
  <c r="T80" i="11" s="1"/>
  <c r="BR23" i="9"/>
  <c r="BV23" i="9" s="1"/>
  <c r="BB23" i="9" s="1"/>
  <c r="D121" i="11"/>
  <c r="T124" i="11" s="1"/>
  <c r="BR34" i="9"/>
  <c r="BV34" i="9" s="1"/>
  <c r="BB34" i="9" s="1"/>
  <c r="D69" i="11"/>
  <c r="T72" i="11" s="1"/>
  <c r="BR21" i="9"/>
  <c r="BV21" i="9" s="1"/>
  <c r="BB21" i="9" s="1"/>
  <c r="D89" i="11"/>
  <c r="T92" i="11" s="1"/>
  <c r="BR26" i="9"/>
  <c r="BV26" i="9" s="1"/>
  <c r="BB26" i="9" s="1"/>
  <c r="D101" i="11"/>
  <c r="T104" i="11" s="1"/>
  <c r="BR29" i="9"/>
  <c r="BV29" i="9" s="1"/>
  <c r="BB29" i="9" s="1"/>
  <c r="D113" i="11"/>
  <c r="T116" i="11" s="1"/>
  <c r="BR32" i="9"/>
  <c r="BV32" i="9" s="1"/>
  <c r="BB32" i="9" s="1"/>
  <c r="D93" i="11"/>
  <c r="T96" i="11" s="1"/>
  <c r="BR27" i="9"/>
  <c r="BV27" i="9" s="1"/>
  <c r="BB27" i="9" s="1"/>
  <c r="D109" i="11"/>
  <c r="T112" i="11" s="1"/>
  <c r="BR31" i="9"/>
  <c r="BV31" i="9" s="1"/>
  <c r="BB31" i="9" s="1"/>
  <c r="D65" i="11"/>
  <c r="T68" i="11" s="1"/>
  <c r="BR20" i="9"/>
  <c r="BV20" i="9" s="1"/>
  <c r="BB20" i="9" s="1"/>
  <c r="D117" i="11"/>
  <c r="T120" i="11" s="1"/>
  <c r="BR33" i="9"/>
  <c r="BV33" i="9" s="1"/>
  <c r="BB33" i="9" s="1"/>
  <c r="D81" i="11"/>
  <c r="T84" i="11" s="1"/>
  <c r="BR24" i="9"/>
  <c r="BV24" i="9" s="1"/>
  <c r="BB24" i="9" s="1"/>
  <c r="D29" i="11"/>
  <c r="T32" i="11" s="1"/>
  <c r="BR11" i="9"/>
  <c r="BV11" i="9" s="1"/>
  <c r="BB11" i="9" s="1"/>
  <c r="D33" i="11"/>
  <c r="T36" i="11" s="1"/>
  <c r="BR12" i="9"/>
  <c r="BV12" i="9" s="1"/>
  <c r="BB12" i="9" s="1"/>
  <c r="D21" i="11"/>
  <c r="T24" i="11" s="1"/>
  <c r="BR9" i="9"/>
  <c r="BV9" i="9" s="1"/>
  <c r="BB9" i="9" s="1"/>
  <c r="D13" i="11"/>
  <c r="T16" i="11" s="1"/>
  <c r="BR7" i="9"/>
  <c r="BV7" i="9" s="1"/>
  <c r="BB7" i="9" s="1"/>
  <c r="AS8" i="10" s="1"/>
  <c r="W8" i="10" s="1"/>
  <c r="D17" i="11"/>
  <c r="T20" i="11" s="1"/>
  <c r="BR8" i="9"/>
  <c r="BV8" i="9" s="1"/>
  <c r="BB8" i="9" s="1"/>
  <c r="D9" i="11"/>
  <c r="BR6" i="9"/>
  <c r="BV6" i="9" s="1"/>
  <c r="BB6" i="9" s="1"/>
  <c r="AS7" i="10" s="1"/>
  <c r="W7" i="10" s="1"/>
  <c r="AL30" i="9"/>
  <c r="P30" i="9"/>
  <c r="D61" i="8"/>
  <c r="P63" i="8" s="1"/>
  <c r="D33" i="8"/>
  <c r="P35" i="8" s="1"/>
  <c r="AE12" i="9"/>
  <c r="AH12" i="9" s="1"/>
  <c r="D25" i="8"/>
  <c r="P27" i="8" s="1"/>
  <c r="AE10" i="9"/>
  <c r="AH10" i="9" s="1"/>
  <c r="AJ14" i="10"/>
  <c r="AF14" i="10"/>
  <c r="H14" i="10" s="1"/>
  <c r="AZ8" i="9"/>
  <c r="AS9" i="10" s="1"/>
  <c r="W9" i="10" s="1"/>
  <c r="AK30" i="9"/>
  <c r="Q30" i="9" s="1"/>
  <c r="AJ30" i="9"/>
  <c r="N30" i="9"/>
  <c r="AA31" i="9"/>
  <c r="Z31" i="9"/>
  <c r="M31" i="9"/>
  <c r="BT12" i="9"/>
  <c r="AZ12" i="9" s="1"/>
  <c r="BT22" i="9"/>
  <c r="AA12" i="9"/>
  <c r="Z12" i="9"/>
  <c r="M12" i="9"/>
  <c r="Z27" i="9"/>
  <c r="AA27" i="9"/>
  <c r="M27" i="9"/>
  <c r="M10" i="9"/>
  <c r="AA10" i="9"/>
  <c r="Z10" i="9"/>
  <c r="M20" i="9"/>
  <c r="AA20" i="9"/>
  <c r="Z20" i="9"/>
  <c r="Z11" i="9"/>
  <c r="M11" i="9"/>
  <c r="AA11" i="9"/>
  <c r="Z28" i="9"/>
  <c r="M28" i="9"/>
  <c r="AA28" i="9"/>
  <c r="AA19" i="9"/>
  <c r="Z19" i="9"/>
  <c r="AL19" i="9" s="1"/>
  <c r="M19" i="9"/>
  <c r="Z18" i="9"/>
  <c r="AA18" i="9"/>
  <c r="M18" i="9"/>
  <c r="T107" i="8"/>
  <c r="T106" i="8"/>
  <c r="T105" i="8"/>
  <c r="T108" i="8"/>
  <c r="Q25" i="10"/>
  <c r="E15" i="10"/>
  <c r="BT14" i="9" s="1"/>
  <c r="Q23" i="10"/>
  <c r="D101" i="8"/>
  <c r="P103" i="8" s="1"/>
  <c r="D109" i="8"/>
  <c r="P111" i="8" s="1"/>
  <c r="D121" i="8"/>
  <c r="P123" i="8" s="1"/>
  <c r="Q21" i="10"/>
  <c r="D89" i="8"/>
  <c r="P91" i="8" s="1"/>
  <c r="D117" i="8"/>
  <c r="P119" i="8" s="1"/>
  <c r="D125" i="8"/>
  <c r="P127" i="8" s="1"/>
  <c r="D113" i="8"/>
  <c r="P115" i="8" s="1"/>
  <c r="AJ18" i="10"/>
  <c r="BE14" i="9"/>
  <c r="E11" i="10"/>
  <c r="BT10" i="9" s="1"/>
  <c r="AJ11" i="10"/>
  <c r="D27" i="6"/>
  <c r="AF26" i="9" s="1"/>
  <c r="E14" i="10"/>
  <c r="BT13" i="9" s="1"/>
  <c r="AZ13" i="9" s="1"/>
  <c r="D30" i="6"/>
  <c r="AF29" i="9" s="1"/>
  <c r="AJ15" i="10"/>
  <c r="AJ16" i="10"/>
  <c r="AJ19" i="10"/>
  <c r="E20" i="10"/>
  <c r="BT19" i="9" s="1"/>
  <c r="AJ20" i="10"/>
  <c r="D57" i="8"/>
  <c r="P59" i="8" s="1"/>
  <c r="R11" i="9" l="1"/>
  <c r="M17" i="9"/>
  <c r="AA25" i="9"/>
  <c r="AA16" i="9"/>
  <c r="R19" i="9"/>
  <c r="P11" i="11"/>
  <c r="T12" i="11"/>
  <c r="AE25" i="9"/>
  <c r="AH25" i="9" s="1"/>
  <c r="O25" i="9" s="1"/>
  <c r="M13" i="9"/>
  <c r="M8" i="9"/>
  <c r="S12" i="9"/>
  <c r="N12" i="9"/>
  <c r="AL11" i="9"/>
  <c r="N11" i="9"/>
  <c r="AL10" i="9"/>
  <c r="N10" i="9"/>
  <c r="R10" i="9"/>
  <c r="Z6" i="9"/>
  <c r="AL6" i="9" s="1"/>
  <c r="M6" i="9"/>
  <c r="AA6" i="9"/>
  <c r="L5" i="11"/>
  <c r="AQ6" i="10" s="1"/>
  <c r="Q6" i="10" s="1"/>
  <c r="P79" i="11"/>
  <c r="T22" i="11"/>
  <c r="P23" i="11"/>
  <c r="P19" i="11"/>
  <c r="P35" i="11"/>
  <c r="P111" i="11"/>
  <c r="P67" i="11"/>
  <c r="T101" i="11"/>
  <c r="P103" i="11"/>
  <c r="T94" i="11"/>
  <c r="P95" i="11"/>
  <c r="T113" i="11"/>
  <c r="P115" i="11"/>
  <c r="T71" i="11"/>
  <c r="P71" i="11"/>
  <c r="T13" i="11"/>
  <c r="P15" i="11"/>
  <c r="T91" i="11"/>
  <c r="P91" i="11"/>
  <c r="P31" i="11"/>
  <c r="T81" i="11"/>
  <c r="P83" i="11"/>
  <c r="T118" i="11"/>
  <c r="P119" i="11"/>
  <c r="P123" i="11"/>
  <c r="Z9" i="9"/>
  <c r="AA7" i="9"/>
  <c r="O7" i="9" s="1"/>
  <c r="T26" i="8"/>
  <c r="T98" i="8"/>
  <c r="T36" i="8"/>
  <c r="T64" i="8"/>
  <c r="T55" i="8"/>
  <c r="T85" i="8"/>
  <c r="T44" i="8"/>
  <c r="T21" i="8"/>
  <c r="T32" i="8"/>
  <c r="T67" i="8"/>
  <c r="AE28" i="9"/>
  <c r="AH28" i="9" s="1"/>
  <c r="O28" i="9" s="1"/>
  <c r="AE6" i="9"/>
  <c r="AH6" i="9" s="1"/>
  <c r="T12" i="8"/>
  <c r="M16" i="9"/>
  <c r="Z16" i="9"/>
  <c r="AK16" i="9" s="1"/>
  <c r="T95" i="11"/>
  <c r="D49" i="8"/>
  <c r="M25" i="9"/>
  <c r="Z25" i="9"/>
  <c r="AL27" i="9"/>
  <c r="R27" i="9" s="1"/>
  <c r="S27" i="9"/>
  <c r="AA9" i="9"/>
  <c r="AE14" i="9"/>
  <c r="AH14" i="9" s="1"/>
  <c r="O14" i="9" s="1"/>
  <c r="M9" i="9"/>
  <c r="Z8" i="9"/>
  <c r="N8" i="9" s="1"/>
  <c r="AA8" i="9"/>
  <c r="O8" i="9" s="1"/>
  <c r="D13" i="8"/>
  <c r="P15" i="8" s="1"/>
  <c r="D17" i="8"/>
  <c r="P19" i="8" s="1"/>
  <c r="M7" i="9"/>
  <c r="Z7" i="9"/>
  <c r="N7" i="9" s="1"/>
  <c r="AE9" i="9"/>
  <c r="AH9" i="9" s="1"/>
  <c r="Z15" i="9"/>
  <c r="AL15" i="9" s="1"/>
  <c r="R15" i="9" s="1"/>
  <c r="M15" i="9"/>
  <c r="AE17" i="9"/>
  <c r="AH17" i="9" s="1"/>
  <c r="AA17" i="9"/>
  <c r="Z17" i="9"/>
  <c r="AL17" i="9" s="1"/>
  <c r="O20" i="9"/>
  <c r="D37" i="8"/>
  <c r="P39" i="8" s="1"/>
  <c r="D45" i="8"/>
  <c r="P47" i="8" s="1"/>
  <c r="AL25" i="9"/>
  <c r="S25" i="9"/>
  <c r="AL28" i="9"/>
  <c r="R28" i="9" s="1"/>
  <c r="S28" i="9"/>
  <c r="O31" i="9"/>
  <c r="O27" i="9"/>
  <c r="M14" i="9"/>
  <c r="AA13" i="9"/>
  <c r="O13" i="9" s="1"/>
  <c r="Z13" i="9"/>
  <c r="AK13" i="9" s="1"/>
  <c r="Z14" i="9"/>
  <c r="AL14" i="9" s="1"/>
  <c r="R14" i="9" s="1"/>
  <c r="O11" i="9"/>
  <c r="O19" i="9"/>
  <c r="O16" i="9"/>
  <c r="O18" i="9"/>
  <c r="O32" i="9"/>
  <c r="N32" i="9"/>
  <c r="AL32" i="9"/>
  <c r="AJ32" i="9"/>
  <c r="AK32" i="9"/>
  <c r="T65" i="8"/>
  <c r="T66" i="8"/>
  <c r="T66" i="11"/>
  <c r="AL12" i="9"/>
  <c r="R12" i="9" s="1"/>
  <c r="T117" i="11"/>
  <c r="T34" i="8"/>
  <c r="T65" i="11"/>
  <c r="T119" i="11"/>
  <c r="T67" i="11"/>
  <c r="T29" i="8"/>
  <c r="T30" i="8"/>
  <c r="T15" i="11"/>
  <c r="T17" i="11"/>
  <c r="T33" i="8"/>
  <c r="T14" i="11"/>
  <c r="T77" i="11"/>
  <c r="T35" i="8"/>
  <c r="T78" i="11"/>
  <c r="T79" i="11"/>
  <c r="T27" i="8"/>
  <c r="T18" i="11"/>
  <c r="T28" i="8"/>
  <c r="T19" i="11"/>
  <c r="T25" i="8"/>
  <c r="T123" i="11"/>
  <c r="T83" i="11"/>
  <c r="T23" i="8"/>
  <c r="T22" i="8"/>
  <c r="T31" i="8"/>
  <c r="T69" i="11"/>
  <c r="T70" i="11"/>
  <c r="T121" i="11"/>
  <c r="T122" i="11"/>
  <c r="T24" i="8"/>
  <c r="T82" i="11"/>
  <c r="T10" i="8"/>
  <c r="T68" i="8"/>
  <c r="T93" i="11"/>
  <c r="T33" i="11"/>
  <c r="T115" i="11"/>
  <c r="T102" i="11"/>
  <c r="T103" i="11"/>
  <c r="T42" i="8"/>
  <c r="T89" i="11"/>
  <c r="T114" i="11"/>
  <c r="T41" i="8"/>
  <c r="T99" i="8"/>
  <c r="T43" i="8"/>
  <c r="T90" i="11"/>
  <c r="T97" i="8"/>
  <c r="T100" i="8"/>
  <c r="O12" i="9"/>
  <c r="T35" i="11"/>
  <c r="T29" i="11"/>
  <c r="T30" i="11"/>
  <c r="T31" i="11"/>
  <c r="O15" i="9"/>
  <c r="T86" i="8"/>
  <c r="T9" i="8"/>
  <c r="T11" i="8"/>
  <c r="T88" i="8"/>
  <c r="T56" i="8"/>
  <c r="T53" i="8"/>
  <c r="T54" i="8"/>
  <c r="T34" i="11"/>
  <c r="Q13" i="10" s="1"/>
  <c r="T87" i="8"/>
  <c r="O10" i="9"/>
  <c r="T61" i="8"/>
  <c r="T63" i="8"/>
  <c r="T62" i="8"/>
  <c r="T23" i="11"/>
  <c r="D41" i="11"/>
  <c r="T44" i="11" s="1"/>
  <c r="BR14" i="9"/>
  <c r="BV14" i="9" s="1"/>
  <c r="BB14" i="9" s="1"/>
  <c r="T109" i="11"/>
  <c r="T110" i="11"/>
  <c r="D53" i="11"/>
  <c r="T56" i="11" s="1"/>
  <c r="BR17" i="9"/>
  <c r="BV17" i="9" s="1"/>
  <c r="BB17" i="9" s="1"/>
  <c r="T111" i="11"/>
  <c r="D61" i="11"/>
  <c r="T64" i="11" s="1"/>
  <c r="BR19" i="9"/>
  <c r="BV19" i="9" s="1"/>
  <c r="BB19" i="9" s="1"/>
  <c r="D45" i="11"/>
  <c r="T48" i="11" s="1"/>
  <c r="BR15" i="9"/>
  <c r="BV15" i="9" s="1"/>
  <c r="BB15" i="9" s="1"/>
  <c r="T21" i="11"/>
  <c r="D57" i="11"/>
  <c r="T60" i="11" s="1"/>
  <c r="BR18" i="9"/>
  <c r="BV18" i="9" s="1"/>
  <c r="BB18" i="9" s="1"/>
  <c r="D37" i="11"/>
  <c r="T40" i="11" s="1"/>
  <c r="BR13" i="9"/>
  <c r="BV13" i="9" s="1"/>
  <c r="BB13" i="9" s="1"/>
  <c r="D25" i="11"/>
  <c r="T28" i="11" s="1"/>
  <c r="BR10" i="9"/>
  <c r="BV10" i="9" s="1"/>
  <c r="BB10" i="9" s="1"/>
  <c r="T11" i="11"/>
  <c r="T9" i="11"/>
  <c r="T10" i="11"/>
  <c r="AL31" i="9"/>
  <c r="P31" i="9"/>
  <c r="AL20" i="9"/>
  <c r="R20" i="9" s="1"/>
  <c r="S20" i="9"/>
  <c r="AL18" i="9"/>
  <c r="R18" i="9" s="1"/>
  <c r="S18" i="9"/>
  <c r="P12" i="9"/>
  <c r="AZ10" i="9"/>
  <c r="AA29" i="9"/>
  <c r="O29" i="9" s="1"/>
  <c r="M29" i="9"/>
  <c r="Z29" i="9"/>
  <c r="S29" i="9" s="1"/>
  <c r="N31" i="9"/>
  <c r="AK31" i="9"/>
  <c r="Q31" i="9" s="1"/>
  <c r="AJ31" i="9"/>
  <c r="Z26" i="9"/>
  <c r="M26" i="9"/>
  <c r="AA26" i="9"/>
  <c r="O26" i="9" s="1"/>
  <c r="S15" i="9"/>
  <c r="AJ28" i="9"/>
  <c r="AN31" i="6"/>
  <c r="O31" i="6" s="1"/>
  <c r="T126" i="8"/>
  <c r="T125" i="8"/>
  <c r="T128" i="8"/>
  <c r="T127" i="8"/>
  <c r="T116" i="8"/>
  <c r="T115" i="8"/>
  <c r="T114" i="8"/>
  <c r="T113" i="8"/>
  <c r="T117" i="8"/>
  <c r="T120" i="8"/>
  <c r="T118" i="8"/>
  <c r="T119" i="8"/>
  <c r="T121" i="8"/>
  <c r="T123" i="8"/>
  <c r="T124" i="8"/>
  <c r="T122" i="8"/>
  <c r="T112" i="8"/>
  <c r="T111" i="8"/>
  <c r="T109" i="8"/>
  <c r="T110" i="8"/>
  <c r="T103" i="8"/>
  <c r="T104" i="8"/>
  <c r="T102" i="8"/>
  <c r="T101" i="8"/>
  <c r="T59" i="8"/>
  <c r="T58" i="8"/>
  <c r="T57" i="8"/>
  <c r="T60" i="8"/>
  <c r="T91" i="8"/>
  <c r="T90" i="8"/>
  <c r="T89" i="8"/>
  <c r="T92" i="8"/>
  <c r="S10" i="9"/>
  <c r="Q12" i="10"/>
  <c r="Q22" i="10"/>
  <c r="Q24" i="10"/>
  <c r="Q15" i="10"/>
  <c r="Q34" i="10"/>
  <c r="Q35" i="10"/>
  <c r="D93" i="8"/>
  <c r="P95" i="8" s="1"/>
  <c r="Q29" i="10"/>
  <c r="Q31" i="10"/>
  <c r="Q26" i="10"/>
  <c r="P28" i="9"/>
  <c r="N28" i="9"/>
  <c r="N20" i="9"/>
  <c r="N19" i="9"/>
  <c r="AJ18" i="9"/>
  <c r="AK12" i="9"/>
  <c r="Q12" i="9" s="1"/>
  <c r="AJ12" i="9"/>
  <c r="AK28" i="9"/>
  <c r="Q28" i="9" s="1"/>
  <c r="N27" i="9"/>
  <c r="S11" i="9"/>
  <c r="P11" i="9"/>
  <c r="AK11" i="9"/>
  <c r="Q11" i="9" s="1"/>
  <c r="AJ11" i="9"/>
  <c r="S19" i="9"/>
  <c r="R25" i="9" l="1"/>
  <c r="L61" i="8"/>
  <c r="AN20" i="6" s="1"/>
  <c r="O20" i="6" s="1"/>
  <c r="L65" i="8"/>
  <c r="AN21" i="6" s="1"/>
  <c r="O21" i="6" s="1"/>
  <c r="L53" i="8"/>
  <c r="L57" i="8"/>
  <c r="L89" i="8"/>
  <c r="L85" i="8"/>
  <c r="AN26" i="6" s="1"/>
  <c r="O26" i="6" s="1"/>
  <c r="L101" i="8"/>
  <c r="AN30" i="6" s="1"/>
  <c r="O30" i="6" s="1"/>
  <c r="R17" i="9"/>
  <c r="S7" i="9"/>
  <c r="AL16" i="9"/>
  <c r="R16" i="9" s="1"/>
  <c r="S16" i="9"/>
  <c r="AP13" i="6"/>
  <c r="U13" i="6" s="1"/>
  <c r="AP29" i="6"/>
  <c r="U29" i="6" s="1"/>
  <c r="S6" i="9"/>
  <c r="AP12" i="6"/>
  <c r="U12" i="6" s="1"/>
  <c r="L97" i="8"/>
  <c r="AN29" i="6" s="1"/>
  <c r="O29" i="6" s="1"/>
  <c r="L33" i="8"/>
  <c r="AN13" i="6" s="1"/>
  <c r="O13" i="6" s="1"/>
  <c r="R6" i="9"/>
  <c r="AL9" i="9"/>
  <c r="R9" i="9" s="1"/>
  <c r="N9" i="9"/>
  <c r="AK7" i="9"/>
  <c r="Q7" i="9" s="1"/>
  <c r="O6" i="9"/>
  <c r="L9" i="8"/>
  <c r="AN7" i="6" s="1"/>
  <c r="O7" i="6" s="1"/>
  <c r="T50" i="8"/>
  <c r="P51" i="8"/>
  <c r="L9" i="11"/>
  <c r="L13" i="11"/>
  <c r="L17" i="11"/>
  <c r="P59" i="11"/>
  <c r="P47" i="11"/>
  <c r="T62" i="11"/>
  <c r="P63" i="11"/>
  <c r="P55" i="11"/>
  <c r="T25" i="11"/>
  <c r="P27" i="11"/>
  <c r="T43" i="11"/>
  <c r="P43" i="11"/>
  <c r="P39" i="11"/>
  <c r="L41" i="8"/>
  <c r="AN15" i="6" s="1"/>
  <c r="O15" i="6" s="1"/>
  <c r="L21" i="8"/>
  <c r="AN10" i="6" s="1"/>
  <c r="O10" i="6" s="1"/>
  <c r="L29" i="8"/>
  <c r="AN12" i="6" s="1"/>
  <c r="O12" i="6" s="1"/>
  <c r="L25" i="8"/>
  <c r="AN11" i="6" s="1"/>
  <c r="O11" i="6" s="1"/>
  <c r="T51" i="8"/>
  <c r="T17" i="8"/>
  <c r="T45" i="8"/>
  <c r="T38" i="8"/>
  <c r="T49" i="8"/>
  <c r="T52" i="8"/>
  <c r="T13" i="8"/>
  <c r="S8" i="9"/>
  <c r="P17" i="9"/>
  <c r="O9" i="9"/>
  <c r="T18" i="8"/>
  <c r="T20" i="8"/>
  <c r="T19" i="8"/>
  <c r="P8" i="9"/>
  <c r="P7" i="9"/>
  <c r="AL8" i="9"/>
  <c r="R8" i="9" s="1"/>
  <c r="AL7" i="9"/>
  <c r="R7" i="9" s="1"/>
  <c r="T14" i="8"/>
  <c r="T15" i="8"/>
  <c r="T16" i="8"/>
  <c r="AJ8" i="9"/>
  <c r="AK8" i="9"/>
  <c r="Q8" i="9" s="1"/>
  <c r="AJ17" i="9"/>
  <c r="N17" i="9"/>
  <c r="AJ7" i="9"/>
  <c r="O17" i="9"/>
  <c r="T40" i="8"/>
  <c r="T39" i="8"/>
  <c r="T37" i="8"/>
  <c r="T48" i="8"/>
  <c r="S17" i="9"/>
  <c r="AK17" i="9"/>
  <c r="Q17" i="9" s="1"/>
  <c r="T47" i="8"/>
  <c r="T46" i="8"/>
  <c r="P13" i="9"/>
  <c r="AL13" i="9"/>
  <c r="R13" i="9" s="1"/>
  <c r="AJ14" i="9"/>
  <c r="N14" i="9"/>
  <c r="AK14" i="9"/>
  <c r="Q14" i="9" s="1"/>
  <c r="S14" i="9"/>
  <c r="Q13" i="9"/>
  <c r="S13" i="9"/>
  <c r="AN18" i="6"/>
  <c r="O18" i="6" s="1"/>
  <c r="AJ13" i="9"/>
  <c r="N13" i="9"/>
  <c r="P14" i="9"/>
  <c r="AL26" i="9"/>
  <c r="R26" i="9" s="1"/>
  <c r="S26" i="9"/>
  <c r="Q10" i="10"/>
  <c r="T58" i="11"/>
  <c r="T41" i="11"/>
  <c r="T59" i="11"/>
  <c r="T57" i="11"/>
  <c r="T54" i="11"/>
  <c r="T47" i="11"/>
  <c r="T42" i="11"/>
  <c r="T63" i="11"/>
  <c r="T45" i="11"/>
  <c r="T46" i="11"/>
  <c r="T38" i="11"/>
  <c r="T26" i="11"/>
  <c r="T39" i="11"/>
  <c r="T37" i="11"/>
  <c r="T27" i="11"/>
  <c r="T53" i="11"/>
  <c r="T55" i="11"/>
  <c r="T61" i="11"/>
  <c r="AL29" i="9"/>
  <c r="R29" i="9" s="1"/>
  <c r="P29" i="9"/>
  <c r="AN34" i="6"/>
  <c r="O34" i="6" s="1"/>
  <c r="AN32" i="6"/>
  <c r="O32" i="6" s="1"/>
  <c r="AN35" i="6"/>
  <c r="O35" i="6" s="1"/>
  <c r="AN36" i="6"/>
  <c r="O36" i="6" s="1"/>
  <c r="N29" i="9"/>
  <c r="T95" i="8"/>
  <c r="T94" i="8"/>
  <c r="T93" i="8"/>
  <c r="T96" i="8"/>
  <c r="AN27" i="6"/>
  <c r="O27" i="6" s="1"/>
  <c r="Q18" i="10"/>
  <c r="Q20" i="10"/>
  <c r="Q19" i="10"/>
  <c r="AN33" i="6"/>
  <c r="O33" i="6" s="1"/>
  <c r="Q16" i="10"/>
  <c r="Q33" i="10"/>
  <c r="Q27" i="10"/>
  <c r="Q30" i="10"/>
  <c r="Q32" i="10"/>
  <c r="Q14" i="10"/>
  <c r="AJ19" i="9"/>
  <c r="P19" i="9"/>
  <c r="P26" i="9"/>
  <c r="P15" i="9"/>
  <c r="AJ16" i="9"/>
  <c r="N16" i="9"/>
  <c r="Q16" i="9"/>
  <c r="AJ20" i="9"/>
  <c r="P20" i="9"/>
  <c r="AK20" i="9"/>
  <c r="Q20" i="9" s="1"/>
  <c r="P25" i="9"/>
  <c r="AJ29" i="9"/>
  <c r="AK29" i="9"/>
  <c r="Q29" i="9" s="1"/>
  <c r="P27" i="9"/>
  <c r="N26" i="9"/>
  <c r="P18" i="9"/>
  <c r="N6" i="9"/>
  <c r="P6" i="9"/>
  <c r="AK27" i="9"/>
  <c r="Q27" i="9" s="1"/>
  <c r="AJ27" i="9"/>
  <c r="N25" i="9"/>
  <c r="AJ25" i="9"/>
  <c r="AK25" i="9"/>
  <c r="Q25" i="9" s="1"/>
  <c r="AK18" i="9"/>
  <c r="Q18" i="9" s="1"/>
  <c r="AK19" i="9"/>
  <c r="Q19" i="9" s="1"/>
  <c r="AJ6" i="9"/>
  <c r="AK6" i="9"/>
  <c r="Q6" i="9" s="1"/>
  <c r="N18" i="9"/>
  <c r="AJ26" i="9"/>
  <c r="AK26" i="9"/>
  <c r="Q26" i="9" s="1"/>
  <c r="P16" i="9"/>
  <c r="N15" i="9"/>
  <c r="AJ15" i="9"/>
  <c r="AK15" i="9"/>
  <c r="Q15" i="9" s="1"/>
  <c r="P9" i="9"/>
  <c r="S9" i="9"/>
  <c r="AK9" i="9"/>
  <c r="Q9" i="9" s="1"/>
  <c r="AJ9" i="9"/>
  <c r="P10" i="9"/>
  <c r="AK10" i="9"/>
  <c r="Q10" i="9" s="1"/>
  <c r="AJ10" i="9"/>
  <c r="AP15" i="6" l="1"/>
  <c r="U15" i="6" s="1"/>
  <c r="AP30" i="6"/>
  <c r="U30" i="6" s="1"/>
  <c r="AP17" i="6"/>
  <c r="U17" i="6" s="1"/>
  <c r="AP21" i="6"/>
  <c r="U21" i="6" s="1"/>
  <c r="AP14" i="6"/>
  <c r="U14" i="6" s="1"/>
  <c r="L93" i="8"/>
  <c r="AP8" i="6"/>
  <c r="U8" i="6" s="1"/>
  <c r="AP20" i="6"/>
  <c r="U20" i="6" s="1"/>
  <c r="AP16" i="6"/>
  <c r="U16" i="6" s="1"/>
  <c r="AP28" i="6"/>
  <c r="U28" i="6" s="1"/>
  <c r="AP26" i="6"/>
  <c r="U26" i="6" s="1"/>
  <c r="AP11" i="6"/>
  <c r="U11" i="6" s="1"/>
  <c r="AP10" i="6"/>
  <c r="U10" i="6" s="1"/>
  <c r="L49" i="8"/>
  <c r="AN17" i="6" s="1"/>
  <c r="O17" i="6" s="1"/>
  <c r="AP9" i="6"/>
  <c r="U9" i="6" s="1"/>
  <c r="AP27" i="6"/>
  <c r="U27" i="6" s="1"/>
  <c r="AP7" i="6"/>
  <c r="U7" i="6" s="1"/>
  <c r="AP19" i="6"/>
  <c r="U19" i="6" s="1"/>
  <c r="AP18" i="6"/>
  <c r="U18" i="6" s="1"/>
  <c r="Q9" i="10"/>
  <c r="AQ9" i="10"/>
  <c r="Q8" i="10"/>
  <c r="AQ8" i="10"/>
  <c r="Q7" i="10"/>
  <c r="AQ7" i="10"/>
  <c r="L17" i="8"/>
  <c r="AN9" i="6" s="1"/>
  <c r="O9" i="6" s="1"/>
  <c r="L13" i="8"/>
  <c r="AN8" i="6" s="1"/>
  <c r="O8" i="6" s="1"/>
  <c r="L45" i="8"/>
  <c r="AN16" i="6" s="1"/>
  <c r="O16" i="6" s="1"/>
  <c r="L37" i="8"/>
  <c r="AN14" i="6" s="1"/>
  <c r="O14" i="6" s="1"/>
  <c r="Q11" i="10"/>
  <c r="AN28" i="6"/>
  <c r="O28" i="6" s="1"/>
  <c r="Q28" i="10"/>
  <c r="AN19" i="6"/>
  <c r="O19" i="6" s="1"/>
  <c r="D25" i="6"/>
  <c r="AF24" i="9" s="1"/>
  <c r="AA24" i="9" l="1"/>
  <c r="O24" i="9" s="1"/>
  <c r="M24" i="9"/>
  <c r="Z24" i="9"/>
  <c r="D81" i="8"/>
  <c r="P83" i="8" s="1"/>
  <c r="AL24" i="9" l="1"/>
  <c r="R24" i="9" s="1"/>
  <c r="S24" i="9"/>
  <c r="T81" i="8"/>
  <c r="T83" i="8"/>
  <c r="T82" i="8"/>
  <c r="T84" i="8"/>
  <c r="N24" i="9"/>
  <c r="L81" i="8" l="1"/>
  <c r="AK24" i="9"/>
  <c r="Q24" i="9" s="1"/>
  <c r="P24" i="9"/>
  <c r="AJ24" i="9"/>
  <c r="AP25" i="6" l="1"/>
  <c r="U25" i="6" s="1"/>
  <c r="AN25" i="6"/>
  <c r="O25" i="6" s="1"/>
  <c r="AI22" i="6" l="1"/>
  <c r="AD22" i="6" s="1"/>
  <c r="G22" i="6" s="1"/>
  <c r="AI23" i="6"/>
  <c r="AD23" i="6" s="1"/>
  <c r="G23" i="6" s="1"/>
  <c r="AI24" i="6"/>
  <c r="AD24" i="6" s="1"/>
  <c r="G24" i="6" s="1"/>
  <c r="D24" i="6" l="1"/>
  <c r="AF23" i="9" s="1"/>
  <c r="AG24" i="6"/>
  <c r="D23" i="6"/>
  <c r="AF22" i="9" s="1"/>
  <c r="AG23" i="6"/>
  <c r="AG22" i="6"/>
  <c r="D22" i="6"/>
  <c r="AF21" i="9" s="1"/>
  <c r="D77" i="8" l="1"/>
  <c r="P79" i="8" s="1"/>
  <c r="AE23" i="9"/>
  <c r="AH23" i="9" s="1"/>
  <c r="D73" i="8"/>
  <c r="P75" i="8" s="1"/>
  <c r="AE22" i="9"/>
  <c r="AH22" i="9" s="1"/>
  <c r="D69" i="8"/>
  <c r="P71" i="8" s="1"/>
  <c r="AE21" i="9"/>
  <c r="AH21" i="9" s="1"/>
  <c r="AA22" i="9"/>
  <c r="Z22" i="9"/>
  <c r="M22" i="9"/>
  <c r="AA21" i="9"/>
  <c r="Z21" i="9"/>
  <c r="M21" i="9"/>
  <c r="AA23" i="9"/>
  <c r="M23" i="9"/>
  <c r="Z23" i="9"/>
  <c r="S23" i="9" s="1"/>
  <c r="T71" i="8" l="1"/>
  <c r="T76" i="8"/>
  <c r="T80" i="8"/>
  <c r="T69" i="8"/>
  <c r="AJ22" i="9"/>
  <c r="S22" i="9"/>
  <c r="AL21" i="9"/>
  <c r="R21" i="9" s="1"/>
  <c r="S21" i="9"/>
  <c r="AK22" i="9"/>
  <c r="Q22" i="9" s="1"/>
  <c r="T77" i="8"/>
  <c r="T78" i="8"/>
  <c r="T79" i="8"/>
  <c r="T73" i="8"/>
  <c r="O23" i="9"/>
  <c r="T74" i="8"/>
  <c r="T75" i="8"/>
  <c r="T70" i="8"/>
  <c r="T72" i="8"/>
  <c r="AL23" i="9"/>
  <c r="R23" i="9" s="1"/>
  <c r="P23" i="9"/>
  <c r="AL22" i="9"/>
  <c r="R22" i="9" s="1"/>
  <c r="P22" i="9"/>
  <c r="N22" i="9"/>
  <c r="O22" i="9"/>
  <c r="O21" i="9"/>
  <c r="N23" i="9"/>
  <c r="AJ23" i="9"/>
  <c r="AK23" i="9"/>
  <c r="Q23" i="9" s="1"/>
  <c r="C9" i="9"/>
  <c r="P21" i="9"/>
  <c r="AK21" i="9"/>
  <c r="Q21" i="9" s="1"/>
  <c r="AJ21" i="9"/>
  <c r="N21" i="9"/>
  <c r="L77" i="8" l="1"/>
  <c r="L69" i="8"/>
  <c r="L73" i="8"/>
  <c r="AP24" i="6"/>
  <c r="U24" i="6" s="1"/>
  <c r="AP22" i="6"/>
  <c r="U22" i="6" s="1"/>
  <c r="AN24" i="6"/>
  <c r="O24" i="6" s="1"/>
  <c r="AP23" i="6"/>
  <c r="U23" i="6" s="1"/>
  <c r="C12" i="9"/>
  <c r="D9" i="9"/>
  <c r="AN22" i="6"/>
  <c r="O22" i="6" s="1"/>
  <c r="C11" i="9"/>
  <c r="D11" i="9" s="1"/>
  <c r="C10" i="9"/>
  <c r="D10" i="9" s="1"/>
  <c r="AN23" i="6"/>
  <c r="O23" i="6" s="1"/>
  <c r="C15" i="9" l="1"/>
  <c r="D15" i="9" s="1"/>
  <c r="D1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<sst xmlns="http://schemas.openxmlformats.org/spreadsheetml/2006/main" count="3100" uniqueCount="509">
  <si>
    <t>Model Name</t>
  </si>
  <si>
    <t>Dallara P217</t>
  </si>
  <si>
    <t>Ligier JS P217</t>
  </si>
  <si>
    <t>Oreca 07</t>
  </si>
  <si>
    <t>Riley-Multimatic Mk. 30</t>
  </si>
  <si>
    <t>Lexus RC F GT3</t>
  </si>
  <si>
    <t>Porsche 911 GT3 R</t>
  </si>
  <si>
    <t>Ford Mustang GT4</t>
  </si>
  <si>
    <t>Platform</t>
  </si>
  <si>
    <t>LMP2</t>
  </si>
  <si>
    <t>LMP3</t>
  </si>
  <si>
    <t>GT3</t>
  </si>
  <si>
    <t>GT4</t>
  </si>
  <si>
    <t>Cost ($M)</t>
  </si>
  <si>
    <t>Spare Chassis ($M)</t>
  </si>
  <si>
    <t>Spare Engine ($M)</t>
  </si>
  <si>
    <t>Spares Package ($M)</t>
  </si>
  <si>
    <t>Maintenance Cost ($M)</t>
  </si>
  <si>
    <t>Running Cost ($M)</t>
  </si>
  <si>
    <t>Series Data</t>
  </si>
  <si>
    <t>Series Name</t>
  </si>
  <si>
    <t>Classes</t>
  </si>
  <si>
    <t>Global Endurance Masters</t>
  </si>
  <si>
    <t>North American Sportscar Championship</t>
  </si>
  <si>
    <t>GTD</t>
  </si>
  <si>
    <t>Eurasian Endurance Masters</t>
  </si>
  <si>
    <t>World GT Sprint Series</t>
  </si>
  <si>
    <t>World GT Masters</t>
  </si>
  <si>
    <t>GT3-P</t>
  </si>
  <si>
    <t>GT3-A</t>
  </si>
  <si>
    <t>World Prototype Challenge</t>
  </si>
  <si>
    <t>American Sportscar Masters</t>
  </si>
  <si>
    <t>Class</t>
  </si>
  <si>
    <t>GEM</t>
  </si>
  <si>
    <t>Tyres</t>
  </si>
  <si>
    <t>Series Abbreviation</t>
  </si>
  <si>
    <t>Lineup Composition</t>
  </si>
  <si>
    <t>Michelin</t>
  </si>
  <si>
    <t>NASCC</t>
  </si>
  <si>
    <t>EuEM</t>
  </si>
  <si>
    <t>WPC</t>
  </si>
  <si>
    <t>WGTSS</t>
  </si>
  <si>
    <t>WGTM</t>
  </si>
  <si>
    <t>ASM</t>
  </si>
  <si>
    <t>Silver</t>
  </si>
  <si>
    <t>Bronze</t>
  </si>
  <si>
    <t>Free</t>
  </si>
  <si>
    <t>Gold</t>
  </si>
  <si>
    <t>Platinum</t>
  </si>
  <si>
    <t>Rank</t>
  </si>
  <si>
    <t>Cost</t>
  </si>
  <si>
    <t>Funding</t>
  </si>
  <si>
    <t>Races</t>
  </si>
  <si>
    <t>Entry Cost ($M)</t>
  </si>
  <si>
    <t>One Off ($M)</t>
  </si>
  <si>
    <t>Series Calendar</t>
  </si>
  <si>
    <t>Rd No</t>
  </si>
  <si>
    <t>Title</t>
  </si>
  <si>
    <t>Track</t>
  </si>
  <si>
    <t>Length</t>
  </si>
  <si>
    <t>Points</t>
  </si>
  <si>
    <t>Date</t>
  </si>
  <si>
    <t>R1</t>
  </si>
  <si>
    <t>Australia</t>
  </si>
  <si>
    <t>10 Hours</t>
  </si>
  <si>
    <t>R2</t>
  </si>
  <si>
    <t>Lonestar Le Mans</t>
  </si>
  <si>
    <t>Circuit of The Americas</t>
  </si>
  <si>
    <t>United States</t>
  </si>
  <si>
    <t>6 Hours</t>
  </si>
  <si>
    <t>R3</t>
  </si>
  <si>
    <t>6 Hours of Spa</t>
  </si>
  <si>
    <t>Circuit de Spa-Francorshamps</t>
  </si>
  <si>
    <t>Belgium</t>
  </si>
  <si>
    <t>R4</t>
  </si>
  <si>
    <t>24 Heures du Mans</t>
  </si>
  <si>
    <t>Circuit de la Sarthe</t>
  </si>
  <si>
    <t>France</t>
  </si>
  <si>
    <t>24 Hours</t>
  </si>
  <si>
    <t>A</t>
  </si>
  <si>
    <t>R5</t>
  </si>
  <si>
    <t>8 Hours of Silverstone</t>
  </si>
  <si>
    <t>Silverstone Circuit</t>
  </si>
  <si>
    <t>Great Britain</t>
  </si>
  <si>
    <t>8 Hours</t>
  </si>
  <si>
    <t>R6</t>
  </si>
  <si>
    <t>6 Hours of Kyalami</t>
  </si>
  <si>
    <t>Kyalami Circuit</t>
  </si>
  <si>
    <t>South Africa</t>
  </si>
  <si>
    <t>R7</t>
  </si>
  <si>
    <t>6 Hours of Fuji</t>
  </si>
  <si>
    <t>Fuji Speedway</t>
  </si>
  <si>
    <t>Japan</t>
  </si>
  <si>
    <t>R8</t>
  </si>
  <si>
    <t>8 Hours of Bahrain</t>
  </si>
  <si>
    <t>Bahrain International Circuit</t>
  </si>
  <si>
    <t>Bahrain</t>
  </si>
  <si>
    <t>Rolex 24 at Daytona</t>
  </si>
  <si>
    <t>Daytona International Speedway</t>
  </si>
  <si>
    <t>All</t>
  </si>
  <si>
    <t>12 Hours of Sebring</t>
  </si>
  <si>
    <t>Sebring International Raceway</t>
  </si>
  <si>
    <t>12 Hours</t>
  </si>
  <si>
    <t>Acura Grand Prix of Long Beach</t>
  </si>
  <si>
    <t>Streets of Long Beach</t>
  </si>
  <si>
    <t>100 Mins</t>
  </si>
  <si>
    <t>Michelin Grand Prix at VIR</t>
  </si>
  <si>
    <t>Virginia International Raceway</t>
  </si>
  <si>
    <t>160 Mins</t>
  </si>
  <si>
    <t>LMP2, GT</t>
  </si>
  <si>
    <t>Motul Course de Monterey</t>
  </si>
  <si>
    <t>WeatherTech Raceway Laguna Seca</t>
  </si>
  <si>
    <t>Sahlen's 6 Hours of The Glen</t>
  </si>
  <si>
    <t>Watkins Glen International</t>
  </si>
  <si>
    <t>American Sportscar Classic</t>
  </si>
  <si>
    <t>Road America</t>
  </si>
  <si>
    <t>Grand Prix of Texas</t>
  </si>
  <si>
    <t>R9</t>
  </si>
  <si>
    <t>Mexico City Grand Prix</t>
  </si>
  <si>
    <t>Autodromo Hermanos Rodriguez</t>
  </si>
  <si>
    <t>Mexico</t>
  </si>
  <si>
    <t>R10</t>
  </si>
  <si>
    <t>R11</t>
  </si>
  <si>
    <t>Mosport Showdown</t>
  </si>
  <si>
    <t>Canadian Tire Motorsport Park</t>
  </si>
  <si>
    <t>Canada</t>
  </si>
  <si>
    <t>R12</t>
  </si>
  <si>
    <t>Petit Le Mans</t>
  </si>
  <si>
    <t>Road Atlanta</t>
  </si>
  <si>
    <t>Mount Panorama</t>
  </si>
  <si>
    <t>4 Hours</t>
  </si>
  <si>
    <t>4 Hours of The Bend</t>
  </si>
  <si>
    <t>The Bend Motorsports Park</t>
  </si>
  <si>
    <t>4 Hours of Paul Ricard</t>
  </si>
  <si>
    <t>Circuit Paul Ricard</t>
  </si>
  <si>
    <t>4 Hours of Imola</t>
  </si>
  <si>
    <t>Imola Circuit</t>
  </si>
  <si>
    <t>Italy</t>
  </si>
  <si>
    <t>Donnington Park</t>
  </si>
  <si>
    <t>4 Hours of Aragon</t>
  </si>
  <si>
    <t>Motorland Aragon</t>
  </si>
  <si>
    <t>Spain</t>
  </si>
  <si>
    <t>4 Hours of Portimao</t>
  </si>
  <si>
    <t>Autodromo Internacional do Algarve</t>
  </si>
  <si>
    <t>Portugal</t>
  </si>
  <si>
    <t>4 Hours of Sepang</t>
  </si>
  <si>
    <t>Sepang International Circuit</t>
  </si>
  <si>
    <t>Malaysia</t>
  </si>
  <si>
    <t>4 Hours of Buddh</t>
  </si>
  <si>
    <t>Buddh International Circuit</t>
  </si>
  <si>
    <t>India</t>
  </si>
  <si>
    <t>World GT Sprint Series at Sepang</t>
  </si>
  <si>
    <t>World GT Sprint Series at Shanghai</t>
  </si>
  <si>
    <t>Shanghai International Circuit</t>
  </si>
  <si>
    <t>China</t>
  </si>
  <si>
    <t>World GT Sprint Series at Laguna Seca</t>
  </si>
  <si>
    <t>World GT Sprint Series at Circuit Zolder</t>
  </si>
  <si>
    <t>Circuit Zolder</t>
  </si>
  <si>
    <t>Netherlands</t>
  </si>
  <si>
    <t>World GT Sprint Series at Le Mans</t>
  </si>
  <si>
    <t>2 Hrs</t>
  </si>
  <si>
    <t>World GT Sprint Series at Donnington Park</t>
  </si>
  <si>
    <t>World GT Sprint Series at Misano World Circuit</t>
  </si>
  <si>
    <t>Misano World Circuit Marco Simoncelli</t>
  </si>
  <si>
    <t>World GT Sprint Series at Portimao</t>
  </si>
  <si>
    <t>World GT Sprint Series in India</t>
  </si>
  <si>
    <t>World GT Sprint Series in Korea</t>
  </si>
  <si>
    <t>Korea International Circuit</t>
  </si>
  <si>
    <t>South Korea</t>
  </si>
  <si>
    <t>World GT Sprint Series at The Gold Coast</t>
  </si>
  <si>
    <t>Surfers Paradise Street Circuit</t>
  </si>
  <si>
    <t>Bathurst 12 Hours</t>
  </si>
  <si>
    <t>B</t>
  </si>
  <si>
    <t>8 Hours of Road America</t>
  </si>
  <si>
    <t>24 Hours of The Nurburgring</t>
  </si>
  <si>
    <t>Nurburgring Nordschleiffe</t>
  </si>
  <si>
    <t>Germany</t>
  </si>
  <si>
    <t>24 Hours of Spa</t>
  </si>
  <si>
    <t>8 Hours of Indianapolis</t>
  </si>
  <si>
    <t>Indianapolis Motor Speedway RC</t>
  </si>
  <si>
    <t>1000km of Suzuka</t>
  </si>
  <si>
    <t>Suzuka Circuit</t>
  </si>
  <si>
    <t>1000km</t>
  </si>
  <si>
    <t>9 Hours of Kyalami</t>
  </si>
  <si>
    <t>Kyalami Grand Prix Circuit</t>
  </si>
  <si>
    <t>9 Hours</t>
  </si>
  <si>
    <t>Nurburgring</t>
  </si>
  <si>
    <t>ASM 150 Minutes of VIR</t>
  </si>
  <si>
    <t>150 Mins</t>
  </si>
  <si>
    <t>ASM 150 Minutes of Sebring</t>
  </si>
  <si>
    <t>ASM 150 Minutes of Daytona</t>
  </si>
  <si>
    <t>ASM 150 Minutes of Laguna Seca</t>
  </si>
  <si>
    <t>ASM 150 Minutes of CTMP</t>
  </si>
  <si>
    <t>ASM 150 Minutes of Charlotte</t>
  </si>
  <si>
    <t>Charlotte Motor Speedway Roval</t>
  </si>
  <si>
    <t>ASM 150 Minutes of Watkins Glen</t>
  </si>
  <si>
    <t>ASM 210 Minutes of CoTA</t>
  </si>
  <si>
    <t>210 Mins</t>
  </si>
  <si>
    <t>Car Purchase</t>
  </si>
  <si>
    <t>Given ID</t>
  </si>
  <si>
    <t>Chassis</t>
  </si>
  <si>
    <t>Powertrain</t>
  </si>
  <si>
    <t>Spares</t>
  </si>
  <si>
    <t>Spares Purchase</t>
  </si>
  <si>
    <t>Entry No</t>
  </si>
  <si>
    <t>Series Information</t>
  </si>
  <si>
    <t>Car No</t>
  </si>
  <si>
    <t>Team Name</t>
  </si>
  <si>
    <t>Entry Details</t>
  </si>
  <si>
    <t>Car Model Details</t>
  </si>
  <si>
    <t>Model ID</t>
  </si>
  <si>
    <t>Driver 1</t>
  </si>
  <si>
    <t>Driver 2</t>
  </si>
  <si>
    <t>Driver 3</t>
  </si>
  <si>
    <t>Driver 4</t>
  </si>
  <si>
    <t>Legality</t>
  </si>
  <si>
    <t>Driver Details</t>
  </si>
  <si>
    <t>Total Costs</t>
  </si>
  <si>
    <t>Full Season Entries</t>
  </si>
  <si>
    <t>Car Model Fetching</t>
  </si>
  <si>
    <t>Class Fetching</t>
  </si>
  <si>
    <t>Rough</t>
  </si>
  <si>
    <t>Final</t>
  </si>
  <si>
    <t>North American Sportscar Championship
(Rolex 24 Driver is Completely Free Choice)</t>
  </si>
  <si>
    <t xml:space="preserve"> GT4 </t>
  </si>
  <si>
    <t xml:space="preserve"> GT3 </t>
  </si>
  <si>
    <t xml:space="preserve"> LMP3 </t>
  </si>
  <si>
    <t xml:space="preserve"> LMP2 </t>
  </si>
  <si>
    <t>Lineup Legality Checker - Full Season Entries</t>
  </si>
  <si>
    <t>Indices</t>
  </si>
  <si>
    <t>Entry</t>
  </si>
  <si>
    <t>Driver</t>
  </si>
  <si>
    <t>All Blank</t>
  </si>
  <si>
    <t>D1</t>
  </si>
  <si>
    <t>D2</t>
  </si>
  <si>
    <t>D3</t>
  </si>
  <si>
    <t>D4</t>
  </si>
  <si>
    <t xml:space="preserve">  LMP2  </t>
  </si>
  <si>
    <t>Area</t>
  </si>
  <si>
    <t>Total Spent</t>
  </si>
  <si>
    <t>Spare Chassis</t>
  </si>
  <si>
    <t>Spares Packages</t>
  </si>
  <si>
    <t>Spare Powertrains</t>
  </si>
  <si>
    <t>Entry Fees</t>
  </si>
  <si>
    <t>Running Costs</t>
  </si>
  <si>
    <t>Drivers</t>
  </si>
  <si>
    <t>Accounting</t>
  </si>
  <si>
    <t>Chassis Purchase</t>
  </si>
  <si>
    <t>Packages</t>
  </si>
  <si>
    <t>Running</t>
  </si>
  <si>
    <t>Driver Costs</t>
  </si>
  <si>
    <t>Fees</t>
  </si>
  <si>
    <t>Race Times</t>
  </si>
  <si>
    <t>North American Sportscar Championship - SC</t>
  </si>
  <si>
    <t>North American Sportscar Championship - EC</t>
  </si>
  <si>
    <t>Entry Costs - One Off Entries</t>
  </si>
  <si>
    <t>Entry Costs - Full Time Entries</t>
  </si>
  <si>
    <t>Model Running</t>
  </si>
  <si>
    <t>Season Hours</t>
  </si>
  <si>
    <t xml:space="preserve">  GT4  </t>
  </si>
  <si>
    <t>Abbreviation</t>
  </si>
  <si>
    <t>Notes</t>
  </si>
  <si>
    <t>Permitted One Off Entries</t>
  </si>
  <si>
    <t>Invite + Application</t>
  </si>
  <si>
    <t>Application</t>
  </si>
  <si>
    <t>Event</t>
  </si>
  <si>
    <t>Invited</t>
  </si>
  <si>
    <t>Series</t>
  </si>
  <si>
    <t>Event Hours</t>
  </si>
  <si>
    <t>Driver Rules</t>
  </si>
  <si>
    <t>Where a Grading is listed, that is the Highest Driver Grading permitted for that Seat on a Crew. Free means any Grading can be chosen. Certain Classes ban the use of Bronze Drivers.</t>
  </si>
  <si>
    <t>Bronze Payments</t>
  </si>
  <si>
    <t>Events denoted by a Gold Strip in the
Calendars Page allow Teams to apply for Up to 2 Additional Entries per Class.
All Other One Off Events only permit 1 Additional Entry per Class.</t>
  </si>
  <si>
    <t>Model Platform and Name will automatically fill in when given an existing Model ID set in 'Car Purchase'</t>
  </si>
  <si>
    <t>Class Field will Automatically fill in based on the Series and Desired Car Model Provided</t>
  </si>
  <si>
    <t>Only Driver Rankings can be entered in the Driver Details Columns, Real Driver Names will not be accepted</t>
  </si>
  <si>
    <t>Entry Costs are Automatically Calculated and displayed</t>
  </si>
  <si>
    <t>Usage Guide</t>
  </si>
  <si>
    <t>Pro</t>
  </si>
  <si>
    <t>Free (No Bronzes)</t>
  </si>
  <si>
    <t>A Designation of 'Pro' means the selected Driver for that seat must either be a Platinum or a Gold Ranked Driver.</t>
  </si>
  <si>
    <t>LMP1</t>
  </si>
  <si>
    <t>Porsche 919 Hybrid</t>
  </si>
  <si>
    <t>ENSO CLM P1/01</t>
  </si>
  <si>
    <t>Toyota TS050 Hybrid</t>
  </si>
  <si>
    <t>Nissan Onroak DPi</t>
  </si>
  <si>
    <t>Cadillac DPi-V.R</t>
  </si>
  <si>
    <t>Mazda RT24-P</t>
  </si>
  <si>
    <t>DPi</t>
  </si>
  <si>
    <t>ADESS-03</t>
  </si>
  <si>
    <t>Norma M30</t>
  </si>
  <si>
    <t>Ginetta-Juno P3</t>
  </si>
  <si>
    <t>GTE</t>
  </si>
  <si>
    <t>BMW M6 GTLM</t>
  </si>
  <si>
    <t>Chevrolet Corvette C7.R</t>
  </si>
  <si>
    <t>Ferrari 488 GTE</t>
  </si>
  <si>
    <t>Ford GT</t>
  </si>
  <si>
    <t>Porsche 911 RSR</t>
  </si>
  <si>
    <t>Aston Martin Vantage GTE</t>
  </si>
  <si>
    <t>Acura NSX GT3</t>
  </si>
  <si>
    <t>Callaway Corvette C7 GT3-R</t>
  </si>
  <si>
    <t>Ferrari 488 GT3</t>
  </si>
  <si>
    <t>BMW M6 GT3</t>
  </si>
  <si>
    <t>Mercedes-AMG GT3</t>
  </si>
  <si>
    <t>Lamborghini Huracan GT3</t>
  </si>
  <si>
    <t>Audi R8 LMS</t>
  </si>
  <si>
    <t>McLaren 650S GT3</t>
  </si>
  <si>
    <t>Bentley Continental GT3</t>
  </si>
  <si>
    <t>Aston Martin V12 Vantage GT3</t>
  </si>
  <si>
    <t>Porsche Cayman GT4 Clubsport MR</t>
  </si>
  <si>
    <t>McLaren 570S GT4</t>
  </si>
  <si>
    <t>KTM X-Bow GT4</t>
  </si>
  <si>
    <t>Nissan 370Z GT4</t>
  </si>
  <si>
    <t>Ginetta G55 GT4</t>
  </si>
  <si>
    <t>Maserati GranTurismo MC GT4</t>
  </si>
  <si>
    <t>Audi R18</t>
  </si>
  <si>
    <t>Ekris M4 GT4</t>
  </si>
  <si>
    <t>LMGTE PRO</t>
  </si>
  <si>
    <t>LMGTE AM</t>
  </si>
  <si>
    <t>GTLM</t>
  </si>
  <si>
    <t>LMGTE</t>
  </si>
  <si>
    <t>Dunlop</t>
  </si>
  <si>
    <t>Bronze Drivers may never be Signed to the Driver 1 Seat.</t>
  </si>
  <si>
    <t>8 Hours of The Nurburgring</t>
  </si>
  <si>
    <t>DPi, GTD</t>
  </si>
  <si>
    <t>DPi, GT</t>
  </si>
  <si>
    <t>Grand Prix of Lime Rock</t>
  </si>
  <si>
    <t>Lime Rock Park</t>
  </si>
  <si>
    <t>LMP2, GTLM</t>
  </si>
  <si>
    <t>4 Hours of Buriram</t>
  </si>
  <si>
    <t>Buriram International Circuit</t>
  </si>
  <si>
    <t>Thailand</t>
  </si>
  <si>
    <t>4 Hours of Silverstone</t>
  </si>
  <si>
    <t>90 Mins</t>
  </si>
  <si>
    <t>Ligier JS P3</t>
  </si>
  <si>
    <t>Max Entries</t>
  </si>
  <si>
    <t>Free (NB)</t>
  </si>
  <si>
    <t>The Rolex 24 at Daytona is the only Event that permits 4th Drivers, these are Mandatory in LMP2 and GTD, however are optional in DPi
and GTLM.</t>
  </si>
  <si>
    <t>Max Class Entries for each Class are outlined under 'Max Entries'.</t>
  </si>
  <si>
    <t>Teams may Apply for up to 3 Additional Entries for any given Event.
Unless an Invite has been received.
This increases to 4 Entries for an Event with a Gold Strip</t>
  </si>
  <si>
    <t>R24, EC</t>
  </si>
  <si>
    <t>E, EC</t>
  </si>
  <si>
    <t>S</t>
  </si>
  <si>
    <t>Apr 30</t>
  </si>
  <si>
    <t>May 21</t>
  </si>
  <si>
    <t>Jul 16</t>
  </si>
  <si>
    <t>Oct 29</t>
  </si>
  <si>
    <t>Mar 5</t>
  </si>
  <si>
    <t>Mar 26</t>
  </si>
  <si>
    <t>Jun 16</t>
  </si>
  <si>
    <t>Jul 9</t>
  </si>
  <si>
    <t>Jul 30</t>
  </si>
  <si>
    <t>Aug 27</t>
  </si>
  <si>
    <t>Oct 8</t>
  </si>
  <si>
    <t>Nov 19</t>
  </si>
  <si>
    <t>Sep 3</t>
  </si>
  <si>
    <t>Feb 5</t>
  </si>
  <si>
    <t>Apr 9</t>
  </si>
  <si>
    <t>May 28</t>
  </si>
  <si>
    <t>Dec 3</t>
  </si>
  <si>
    <t>Apr 2</t>
  </si>
  <si>
    <t>May 7</t>
  </si>
  <si>
    <t>Jun 25</t>
  </si>
  <si>
    <t>Aug 13</t>
  </si>
  <si>
    <t>Oct 1</t>
  </si>
  <si>
    <t>Jun 4</t>
  </si>
  <si>
    <t>LMP1-H</t>
  </si>
  <si>
    <t>LMP1-L</t>
  </si>
  <si>
    <t>Race Times (Hrs)</t>
  </si>
  <si>
    <t>Tyre Supplier</t>
  </si>
  <si>
    <t>Continental</t>
  </si>
  <si>
    <t>Tyre Supplier Costs</t>
  </si>
  <si>
    <t>Cost Per Race ($M)</t>
  </si>
  <si>
    <t>LMGTE
(PRO + AM)</t>
  </si>
  <si>
    <t>Tyre Costs</t>
  </si>
  <si>
    <t>Season Races</t>
  </si>
  <si>
    <t>North American Sportscar Championship
Sprint Cup</t>
  </si>
  <si>
    <t>North American Sportscar Championship
Endurance Cup</t>
  </si>
  <si>
    <t>Series ID</t>
  </si>
  <si>
    <t>Class ID</t>
  </si>
  <si>
    <t>Class Name</t>
  </si>
  <si>
    <t>Tyre Cost</t>
  </si>
  <si>
    <t>Teams may Enter a Maximum of 3 Classes for a Given Series, with the exception of the
Global Endurance Masters, where the limit is 2 Classes.</t>
  </si>
  <si>
    <t>-</t>
  </si>
  <si>
    <t>Selected Tyre Suppliers</t>
  </si>
  <si>
    <t>Lineups may contain AT MOST 1 Bronze Driver
(This Requirement is waived in the LMP2 and GTD Classes for the Rolex 24 4th Driver Slot)</t>
  </si>
  <si>
    <t>Series is NASCC</t>
  </si>
  <si>
    <t>Class is LMP2 or DPi</t>
  </si>
  <si>
    <t>Multiple Bronzes</t>
  </si>
  <si>
    <t>Team Creator V8</t>
  </si>
  <si>
    <t>Aston Martin V9 Vantage GT4</t>
  </si>
  <si>
    <t>Team Creator V9</t>
  </si>
  <si>
    <t>The 'LMP1' platform encompasses both LMP1-H, and LMP1-L</t>
  </si>
  <si>
    <t>Reliability</t>
  </si>
  <si>
    <t>Setup</t>
  </si>
  <si>
    <t>Level 1</t>
  </si>
  <si>
    <t>Level 2</t>
  </si>
  <si>
    <t>Level 3</t>
  </si>
  <si>
    <t>General</t>
  </si>
  <si>
    <t>Aero</t>
  </si>
  <si>
    <t>Entrant Setup Bonuses</t>
  </si>
  <si>
    <t>Team Creator V10 - 2018</t>
  </si>
  <si>
    <t>Level</t>
  </si>
  <si>
    <t>Bonus</t>
  </si>
  <si>
    <t>Team Bonuses - Aero</t>
  </si>
  <si>
    <t>BR Engineering BR1</t>
  </si>
  <si>
    <t>Ginetta G60-LT-P1</t>
  </si>
  <si>
    <t>Rebellion R13</t>
  </si>
  <si>
    <t>Toyota TS050 - Hybrid</t>
  </si>
  <si>
    <t>Acura ARX-05</t>
  </si>
  <si>
    <t>BMW M8 GTE</t>
  </si>
  <si>
    <t>Ferrari 488 GTE Evo</t>
  </si>
  <si>
    <t>Aston Martin Vantage GT3</t>
  </si>
  <si>
    <t>Lamborghini Huracán GT3</t>
  </si>
  <si>
    <t>Nissan GT-R NISMO GT3</t>
  </si>
  <si>
    <t>April 15</t>
  </si>
  <si>
    <t>May 5</t>
  </si>
  <si>
    <t>July 15</t>
  </si>
  <si>
    <t>Sept 9</t>
  </si>
  <si>
    <t>Oct 7</t>
  </si>
  <si>
    <t>Oct 28</t>
  </si>
  <si>
    <t>Nov 18</t>
  </si>
  <si>
    <t>Jan 27-28</t>
  </si>
  <si>
    <t>June 16-17</t>
  </si>
  <si>
    <t>March 18</t>
  </si>
  <si>
    <t>April 7</t>
  </si>
  <si>
    <t>April 29</t>
  </si>
  <si>
    <t>May 20</t>
  </si>
  <si>
    <t>July 1</t>
  </si>
  <si>
    <t>Aug 5</t>
  </si>
  <si>
    <t>Aug 19</t>
  </si>
  <si>
    <t>Sept 30</t>
  </si>
  <si>
    <t>Oct 14</t>
  </si>
  <si>
    <t>Jan 14</t>
  </si>
  <si>
    <t>Feb 25</t>
  </si>
  <si>
    <t>April 14</t>
  </si>
  <si>
    <t>May 13</t>
  </si>
  <si>
    <t>June 24</t>
  </si>
  <si>
    <t>Sept 2</t>
  </si>
  <si>
    <t>Nov 4</t>
  </si>
  <si>
    <t>OLD</t>
  </si>
  <si>
    <t>Lineup Legality</t>
  </si>
  <si>
    <t>Entry Costs</t>
  </si>
  <si>
    <t>Team Creator V10</t>
  </si>
  <si>
    <t>One-Off Entries</t>
  </si>
  <si>
    <t>Front Susp</t>
  </si>
  <si>
    <t>Rear Susp</t>
  </si>
  <si>
    <t>Team Bonuses - Front Susp</t>
  </si>
  <si>
    <t>Team Bonuses - Rear Susp</t>
  </si>
  <si>
    <t>Team Bonuses - General</t>
  </si>
  <si>
    <t>Team Bonuses - Chassis</t>
  </si>
  <si>
    <t>Team Bonuses - Tyres</t>
  </si>
  <si>
    <t>+1</t>
  </si>
  <si>
    <t>+2</t>
  </si>
  <si>
    <t>+3</t>
  </si>
  <si>
    <t>+1-2</t>
  </si>
  <si>
    <t>+4-6</t>
  </si>
  <si>
    <t>+2-3</t>
  </si>
  <si>
    <t>$500k</t>
  </si>
  <si>
    <t>$800k</t>
  </si>
  <si>
    <t>$1.5m</t>
  </si>
  <si>
    <t>+3-4</t>
  </si>
  <si>
    <t>$350k</t>
  </si>
  <si>
    <t>$600k</t>
  </si>
  <si>
    <t>$1m</t>
  </si>
  <si>
    <t>$300k</t>
  </si>
  <si>
    <t>$850k</t>
  </si>
  <si>
    <t>+3-5</t>
  </si>
  <si>
    <t>$450k</t>
  </si>
  <si>
    <t>$200k</t>
  </si>
  <si>
    <t>+4</t>
  </si>
  <si>
    <t>+5</t>
  </si>
  <si>
    <t>$400k</t>
  </si>
  <si>
    <t>$1.1m</t>
  </si>
  <si>
    <t>bonuses don’t carry between seasons</t>
  </si>
  <si>
    <t>chance a portion of bonus carries, but the stat will return to its base for the next seaston</t>
  </si>
  <si>
    <t>done to rapid increase of setup stats</t>
  </si>
  <si>
    <t>Total Cost</t>
  </si>
  <si>
    <t>Calc</t>
  </si>
  <si>
    <t>Level 4</t>
  </si>
  <si>
    <t>Level 5</t>
  </si>
  <si>
    <t>Team Bonuses - Reliability</t>
  </si>
  <si>
    <t>Setup Bonuses - General</t>
  </si>
  <si>
    <t>Setup Bonuses - Aero</t>
  </si>
  <si>
    <t>Setup Bonuses - Front Susp</t>
  </si>
  <si>
    <t>Setup Bonuses - Rear Susp</t>
  </si>
  <si>
    <t>Setup Bonuses - Chassis</t>
  </si>
  <si>
    <t>Setup Bonuses - Tyres</t>
  </si>
  <si>
    <t>Setup Bonuses - Reliability</t>
  </si>
  <si>
    <t>Setup Bonuses - Selected</t>
  </si>
  <si>
    <t>notes for Stephen</t>
  </si>
  <si>
    <t>Team Setup Bonuses</t>
  </si>
  <si>
    <t>Entry Setup Bonuses</t>
  </si>
  <si>
    <t>Bonus 1</t>
  </si>
  <si>
    <t>Bonus 2</t>
  </si>
  <si>
    <t>Setup Bonuses</t>
  </si>
  <si>
    <t>Enter Bonus Levels as "LX", where X is the Level Number (ie L2 for Level 2)</t>
  </si>
  <si>
    <t>Please Enter Setup Bonus Areas as their names listed in 'Setup Bonuses'</t>
  </si>
  <si>
    <t>Reliability Bonuses must be entered as the full Level Name (ie Level 2)</t>
  </si>
  <si>
    <t>DPi_1</t>
  </si>
  <si>
    <t>DPi_2</t>
  </si>
  <si>
    <t>DPi_3</t>
  </si>
  <si>
    <t>DPi_4</t>
  </si>
  <si>
    <t>LMP1_1</t>
  </si>
  <si>
    <t>LMP1_2</t>
  </si>
  <si>
    <t>LMP1_3</t>
  </si>
  <si>
    <t>LMP1_4</t>
  </si>
  <si>
    <t>LMP1_5</t>
  </si>
  <si>
    <t>LMP1_6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</si>
</sst>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</font>
    <font>
      <sz val="11"/>
      <color theme="1"/>
      <name val="Daytona Condensed"/>
      <family val="2"/>
    </font>
    <font>
      <sz val="11"/>
      <color theme="1"/>
      <name val="Aptos Narrow"/>
      <family val="2"/>
      <scheme val="minor"/>
    </font>
    <font>
      <sz val="11"/>
      <color theme="0"/>
      <name val="Daytona Condensed"/>
      <family val="2"/>
    </font>
    <font>
      <sz val="11"/>
      <color rgb="FFFF0000"/>
      <name val="Daytona Condensed"/>
      <family val="2"/>
    </font>
    <font>
      <sz val="11"/>
      <color rgb="FFFF00FF"/>
      <name val="Daytona Condensed"/>
      <family val="2"/>
    </font>
    <font>
      <sz val="11"/>
      <color rgb="FF0000FF"/>
      <name val="Daytona Condensed"/>
      <family val="2"/>
    </font>
    <font>
      <sz val="11"/>
      <color rgb="FF757171"/>
      <name val="Daytona Condensed"/>
      <family val="2"/>
    </font>
    <font>
      <sz val="11"/>
      <color rgb="FFED7D31"/>
      <name val="Daytona Condensed"/>
      <family val="2"/>
    </font>
    <font>
      <sz val="11"/>
      <color rgb="FF0070C0"/>
      <name val="Daytona Condensed"/>
      <family val="2"/>
    </font>
    <font>
      <sz val="11"/>
      <color rgb="FF00FFFF"/>
      <name val="Daytona Condensed"/>
      <family val="2"/>
    </font>
    <font>
      <sz val="11"/>
      <color rgb="FFC00000"/>
      <name val="Daytona Condensed"/>
      <family val="2"/>
    </font>
    <font>
      <sz val="11"/>
      <color rgb="FF326295"/>
      <name val="Daytona Condensed"/>
      <family val="2"/>
    </font>
    <font>
      <sz val="11"/>
      <color rgb="FF671E75"/>
      <name val="Daytona Condensed"/>
      <family val="2"/>
    </font>
    <font>
      <sz val="11"/>
      <color rgb="FF007939"/>
      <name val="Daytona Condensed"/>
      <family val="2"/>
    </font>
    <font>
      <sz val="11"/>
      <color theme="5"/>
      <name val="Daytona Condensed"/>
      <family val="2"/>
    </font>
    <font>
      <sz val="8"/>
      <name val="Calibri"/>
      <family val="2"/>
    </font>
    <font>
      <sz val="11"/>
      <color rgb="FFFE5000"/>
      <name val="Daytona Condensed"/>
      <family val="2"/>
    </font>
    <font>
      <sz val="11"/>
      <color theme="9" tint="-0.499984740745262"/>
      <name val="Daytona Condensed"/>
      <family val="2"/>
    </font>
    <font>
      <sz val="11"/>
      <color theme="7"/>
      <name val="Daytona Condensed"/>
      <family val="2"/>
    </font>
    <font>
      <sz val="11"/>
      <color rgb="FF66FF99"/>
      <name val="Daytona Condensed"/>
      <family val="2"/>
    </font>
    <font>
      <sz val="11"/>
      <color rgb="FF66FF33"/>
      <name val="Daytona Condensed"/>
      <family val="2"/>
    </font>
    <font>
      <sz val="11"/>
      <color rgb="FFEE0000"/>
      <name val="Daytona Condensed"/>
      <family val="2"/>
    </font>
    <font>
      <sz val="11"/>
      <color rgb="FFCCFF33"/>
      <name val="Daytona Condensed"/>
      <family val="2"/>
    </font>
  </fonts>
  <fills count="4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CD4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F51FF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A291C"/>
        <bgColor indexed="64"/>
      </patternFill>
    </fill>
    <fill>
      <patternFill patternType="solid">
        <fgColor rgb="FF326295"/>
        <bgColor indexed="64"/>
      </patternFill>
    </fill>
    <fill>
      <patternFill patternType="solid">
        <fgColor rgb="FF007939"/>
        <bgColor indexed="64"/>
      </patternFill>
    </fill>
    <fill>
      <patternFill patternType="solid">
        <fgColor rgb="FF212721"/>
        <bgColor indexed="64"/>
      </patternFill>
    </fill>
    <fill>
      <patternFill patternType="solid">
        <fgColor rgb="FF3A5DAE"/>
        <bgColor indexed="64"/>
      </patternFill>
    </fill>
    <fill>
      <patternFill patternType="solid">
        <fgColor rgb="FFCB333B"/>
        <bgColor indexed="64"/>
      </patternFill>
    </fill>
    <fill>
      <patternFill patternType="solid">
        <fgColor rgb="FF00B140"/>
        <bgColor indexed="64"/>
      </patternFill>
    </fill>
    <fill>
      <patternFill patternType="solid">
        <fgColor rgb="FF671E7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E5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-0.24997711111789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29" borderId="1" xfId="0" quotePrefix="1" applyFont="1" applyFill="1" applyBorder="1" applyAlignment="1">
      <alignment horizontal="center" vertical="center"/>
    </xf>
    <xf numFmtId="0" fontId="3" fillId="22" borderId="1" xfId="0" quotePrefix="1" applyFont="1" applyFill="1" applyBorder="1" applyAlignment="1">
      <alignment horizontal="center" vertical="center"/>
    </xf>
    <xf numFmtId="0" fontId="3" fillId="27" borderId="1" xfId="0" quotePrefix="1" applyFont="1" applyFill="1" applyBorder="1" applyAlignment="1">
      <alignment horizontal="center" vertical="center"/>
    </xf>
    <xf numFmtId="0" fontId="3" fillId="20" borderId="1" xfId="0" quotePrefix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17" borderId="1" xfId="0" quotePrefix="1" applyFont="1" applyFill="1" applyBorder="1" applyAlignment="1">
      <alignment horizontal="center" vertical="center"/>
    </xf>
    <xf numFmtId="0" fontId="3" fillId="15" borderId="1" xfId="0" quotePrefix="1" applyFont="1" applyFill="1" applyBorder="1" applyAlignment="1">
      <alignment horizontal="center" vertical="center"/>
    </xf>
    <xf numFmtId="0" fontId="3" fillId="28" borderId="1" xfId="0" quotePrefix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1" fillId="5" borderId="22" xfId="1" applyFont="1" applyFill="1" applyBorder="1" applyAlignment="1">
      <alignment horizontal="center" vertical="center"/>
    </xf>
    <xf numFmtId="0" fontId="1" fillId="6" borderId="22" xfId="1" applyFont="1" applyFill="1" applyBorder="1" applyAlignment="1">
      <alignment horizontal="center" vertical="center"/>
    </xf>
    <xf numFmtId="0" fontId="1" fillId="7" borderId="22" xfId="1" applyFont="1" applyFill="1" applyBorder="1" applyAlignment="1">
      <alignment horizontal="center" vertical="center"/>
    </xf>
    <xf numFmtId="0" fontId="1" fillId="8" borderId="22" xfId="1" applyFont="1" applyFill="1" applyBorder="1" applyAlignment="1">
      <alignment horizontal="center" vertical="center"/>
    </xf>
    <xf numFmtId="0" fontId="3" fillId="4" borderId="22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3" fillId="9" borderId="22" xfId="1" applyFont="1" applyFill="1" applyBorder="1" applyAlignment="1">
      <alignment horizontal="center" vertical="center"/>
    </xf>
    <xf numFmtId="0" fontId="8" fillId="9" borderId="22" xfId="1" applyFont="1" applyFill="1" applyBorder="1" applyAlignment="1">
      <alignment horizontal="center" vertical="center"/>
    </xf>
    <xf numFmtId="0" fontId="1" fillId="10" borderId="22" xfId="1" applyFont="1" applyFill="1" applyBorder="1" applyAlignment="1">
      <alignment horizontal="center" vertical="center"/>
    </xf>
    <xf numFmtId="0" fontId="4" fillId="11" borderId="22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3" fillId="12" borderId="22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10" fillId="9" borderId="22" xfId="1" applyFont="1" applyFill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" fillId="3" borderId="22" xfId="1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3" fillId="17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center" vertical="center"/>
    </xf>
    <xf numFmtId="0" fontId="3" fillId="22" borderId="22" xfId="0" applyFont="1" applyFill="1" applyBorder="1" applyAlignment="1">
      <alignment horizontal="center" vertical="center"/>
    </xf>
    <xf numFmtId="0" fontId="3" fillId="23" borderId="22" xfId="0" applyFont="1" applyFill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/>
    </xf>
    <xf numFmtId="0" fontId="3" fillId="25" borderId="22" xfId="0" applyFont="1" applyFill="1" applyBorder="1" applyAlignment="1">
      <alignment horizontal="center" vertical="center"/>
    </xf>
    <xf numFmtId="0" fontId="3" fillId="26" borderId="22" xfId="0" applyFont="1" applyFill="1" applyBorder="1" applyAlignment="1">
      <alignment horizontal="center" vertical="center"/>
    </xf>
    <xf numFmtId="0" fontId="3" fillId="28" borderId="22" xfId="0" applyFont="1" applyFill="1" applyBorder="1" applyAlignment="1">
      <alignment horizontal="center" vertical="center"/>
    </xf>
    <xf numFmtId="0" fontId="3" fillId="29" borderId="23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3" fillId="22" borderId="23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3" fillId="25" borderId="21" xfId="0" applyFont="1" applyFill="1" applyBorder="1" applyAlignment="1">
      <alignment horizontal="center" vertical="center"/>
    </xf>
    <xf numFmtId="0" fontId="3" fillId="27" borderId="21" xfId="0" applyFont="1" applyFill="1" applyBorder="1" applyAlignment="1">
      <alignment horizontal="center" vertical="center"/>
    </xf>
    <xf numFmtId="0" fontId="6" fillId="30" borderId="22" xfId="0" applyFont="1" applyFill="1" applyBorder="1" applyAlignment="1">
      <alignment horizontal="center" vertical="center"/>
    </xf>
    <xf numFmtId="0" fontId="1" fillId="32" borderId="28" xfId="0" applyFont="1" applyFill="1" applyBorder="1" applyAlignment="1">
      <alignment horizontal="center" vertical="center"/>
    </xf>
    <xf numFmtId="0" fontId="1" fillId="32" borderId="16" xfId="0" applyFont="1" applyFill="1" applyBorder="1" applyAlignment="1">
      <alignment horizontal="center" vertical="center"/>
    </xf>
    <xf numFmtId="0" fontId="1" fillId="26" borderId="17" xfId="0" applyFont="1" applyFill="1" applyBorder="1" applyAlignment="1">
      <alignment horizontal="center" vertical="center"/>
    </xf>
    <xf numFmtId="0" fontId="6" fillId="30" borderId="21" xfId="0" applyFont="1" applyFill="1" applyBorder="1" applyAlignment="1">
      <alignment horizontal="center" vertical="center"/>
    </xf>
    <xf numFmtId="0" fontId="6" fillId="30" borderId="23" xfId="0" applyFont="1" applyFill="1" applyBorder="1" applyAlignment="1">
      <alignment horizontal="center" vertical="center"/>
    </xf>
    <xf numFmtId="0" fontId="1" fillId="26" borderId="16" xfId="0" applyFont="1" applyFill="1" applyBorder="1" applyAlignment="1">
      <alignment horizontal="center" vertical="center"/>
    </xf>
    <xf numFmtId="0" fontId="1" fillId="32" borderId="17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" fillId="34" borderId="21" xfId="0" applyFont="1" applyFill="1" applyBorder="1" applyAlignment="1">
      <alignment horizontal="center" vertical="center"/>
    </xf>
    <xf numFmtId="0" fontId="1" fillId="33" borderId="22" xfId="0" applyFont="1" applyFill="1" applyBorder="1" applyAlignment="1">
      <alignment horizontal="center" vertical="center"/>
    </xf>
    <xf numFmtId="0" fontId="1" fillId="32" borderId="22" xfId="0" applyFont="1" applyFill="1" applyBorder="1" applyAlignment="1">
      <alignment horizontal="center" vertical="center"/>
    </xf>
    <xf numFmtId="0" fontId="1" fillId="26" borderId="23" xfId="0" applyFont="1" applyFill="1" applyBorder="1" applyAlignment="1">
      <alignment horizontal="center" vertical="center"/>
    </xf>
    <xf numFmtId="0" fontId="1" fillId="3" borderId="23" xfId="0" quotePrefix="1" applyFont="1" applyFill="1" applyBorder="1" applyAlignment="1">
      <alignment horizontal="center" vertical="center"/>
    </xf>
    <xf numFmtId="0" fontId="3" fillId="27" borderId="23" xfId="0" applyFont="1" applyFill="1" applyBorder="1" applyAlignment="1">
      <alignment horizontal="center" vertical="center"/>
    </xf>
    <xf numFmtId="0" fontId="1" fillId="33" borderId="29" xfId="0" applyFont="1" applyFill="1" applyBorder="1" applyAlignment="1">
      <alignment horizontal="center" vertical="center"/>
    </xf>
    <xf numFmtId="0" fontId="1" fillId="24" borderId="37" xfId="0" applyFont="1" applyFill="1" applyBorder="1" applyAlignment="1">
      <alignment horizontal="center" vertical="center"/>
    </xf>
    <xf numFmtId="0" fontId="1" fillId="33" borderId="37" xfId="0" applyFont="1" applyFill="1" applyBorder="1" applyAlignment="1">
      <alignment horizontal="center" vertical="center"/>
    </xf>
    <xf numFmtId="0" fontId="1" fillId="24" borderId="32" xfId="0" applyFont="1" applyFill="1" applyBorder="1" applyAlignment="1">
      <alignment horizontal="center" vertical="center"/>
    </xf>
    <xf numFmtId="0" fontId="1" fillId="24" borderId="29" xfId="0" applyFont="1" applyFill="1" applyBorder="1" applyAlignment="1">
      <alignment horizontal="center" vertical="center"/>
    </xf>
    <xf numFmtId="0" fontId="1" fillId="3" borderId="36" xfId="1" applyFont="1" applyFill="1" applyBorder="1" applyAlignment="1">
      <alignment horizontal="center" vertical="center"/>
    </xf>
    <xf numFmtId="0" fontId="1" fillId="3" borderId="21" xfId="1" applyFont="1" applyFill="1" applyBorder="1" applyAlignment="1">
      <alignment horizontal="center" vertical="center"/>
    </xf>
    <xf numFmtId="0" fontId="1" fillId="3" borderId="23" xfId="1" applyFont="1" applyFill="1" applyBorder="1" applyAlignment="1">
      <alignment horizontal="center" vertical="center"/>
    </xf>
    <xf numFmtId="0" fontId="1" fillId="33" borderId="27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8" fillId="3" borderId="22" xfId="1" applyFont="1" applyFill="1" applyBorder="1" applyAlignment="1">
      <alignment horizontal="center" vertical="center"/>
    </xf>
    <xf numFmtId="0" fontId="19" fillId="9" borderId="22" xfId="1" applyFont="1" applyFill="1" applyBorder="1" applyAlignment="1">
      <alignment horizontal="center" vertical="center"/>
    </xf>
    <xf numFmtId="0" fontId="20" fillId="9" borderId="22" xfId="1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21" fillId="32" borderId="22" xfId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2" fillId="36" borderId="21" xfId="1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0" fontId="3" fillId="35" borderId="23" xfId="0" applyFont="1" applyFill="1" applyBorder="1" applyAlignment="1">
      <alignment horizontal="center" vertical="center"/>
    </xf>
    <xf numFmtId="0" fontId="1" fillId="31" borderId="22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" fillId="37" borderId="37" xfId="0" applyFont="1" applyFill="1" applyBorder="1" applyAlignment="1">
      <alignment horizontal="center" vertical="center"/>
    </xf>
    <xf numFmtId="0" fontId="1" fillId="37" borderId="29" xfId="0" applyFont="1" applyFill="1" applyBorder="1" applyAlignment="1">
      <alignment horizontal="center" vertical="center"/>
    </xf>
    <xf numFmtId="0" fontId="1" fillId="37" borderId="32" xfId="0" applyFont="1" applyFill="1" applyBorder="1" applyAlignment="1">
      <alignment horizontal="center" vertical="center"/>
    </xf>
    <xf numFmtId="0" fontId="1" fillId="24" borderId="46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17" fontId="1" fillId="3" borderId="22" xfId="0" quotePrefix="1" applyNumberFormat="1" applyFont="1" applyFill="1" applyBorder="1" applyAlignment="1">
      <alignment horizontal="center" vertical="center"/>
    </xf>
    <xf numFmtId="0" fontId="1" fillId="3" borderId="22" xfId="0" quotePrefix="1" applyFont="1" applyFill="1" applyBorder="1" applyAlignment="1">
      <alignment horizontal="center" vertical="center"/>
    </xf>
    <xf numFmtId="17" fontId="1" fillId="3" borderId="23" xfId="0" quotePrefix="1" applyNumberFormat="1" applyFont="1" applyFill="1" applyBorder="1" applyAlignment="1">
      <alignment horizontal="center" vertical="center"/>
    </xf>
    <xf numFmtId="0" fontId="3" fillId="16" borderId="36" xfId="0" applyFont="1" applyFill="1" applyBorder="1" applyAlignment="1">
      <alignment horizontal="center" vertical="center"/>
    </xf>
    <xf numFmtId="0" fontId="6" fillId="30" borderId="36" xfId="0" applyFont="1" applyFill="1" applyBorder="1" applyAlignment="1">
      <alignment horizontal="center" vertical="center"/>
    </xf>
    <xf numFmtId="0" fontId="3" fillId="19" borderId="36" xfId="0" applyFont="1" applyFill="1" applyBorder="1" applyAlignment="1">
      <alignment horizontal="center" vertical="center"/>
    </xf>
    <xf numFmtId="0" fontId="1" fillId="38" borderId="36" xfId="0" applyFont="1" applyFill="1" applyBorder="1" applyAlignment="1">
      <alignment horizontal="center" vertical="center"/>
    </xf>
    <xf numFmtId="0" fontId="1" fillId="38" borderId="23" xfId="0" applyFont="1" applyFill="1" applyBorder="1" applyAlignment="1">
      <alignment horizontal="center" vertical="center"/>
    </xf>
    <xf numFmtId="0" fontId="3" fillId="24" borderId="36" xfId="0" applyFont="1" applyFill="1" applyBorder="1" applyAlignment="1">
      <alignment horizontal="center" vertical="center"/>
    </xf>
    <xf numFmtId="0" fontId="1" fillId="31" borderId="36" xfId="0" applyFont="1" applyFill="1" applyBorder="1" applyAlignment="1">
      <alignment horizontal="center" vertical="center"/>
    </xf>
    <xf numFmtId="0" fontId="3" fillId="27" borderId="36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1" fillId="37" borderId="22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0" borderId="22" xfId="0" applyFont="1" applyFill="1" applyBorder="1" applyAlignment="1">
      <alignment horizontal="center" vertical="center"/>
    </xf>
    <xf numFmtId="0" fontId="1" fillId="30" borderId="23" xfId="0" applyFont="1" applyFill="1" applyBorder="1" applyAlignment="1">
      <alignment horizontal="center" vertical="center"/>
    </xf>
    <xf numFmtId="0" fontId="1" fillId="30" borderId="21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3" fillId="39" borderId="22" xfId="1" applyFont="1" applyFill="1" applyBorder="1" applyAlignment="1">
      <alignment horizontal="center" vertical="center"/>
    </xf>
    <xf numFmtId="0" fontId="1" fillId="33" borderId="15" xfId="0" applyFont="1" applyFill="1" applyBorder="1" applyAlignment="1">
      <alignment horizontal="center" vertical="center"/>
    </xf>
    <xf numFmtId="0" fontId="1" fillId="33" borderId="12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0" fontId="3" fillId="27" borderId="20" xfId="0" applyFont="1" applyFill="1" applyBorder="1" applyAlignment="1">
      <alignment horizontal="center" vertical="center"/>
    </xf>
    <xf numFmtId="0" fontId="1" fillId="26" borderId="14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19" borderId="23" xfId="0" applyFont="1" applyFill="1" applyBorder="1" applyAlignment="1">
      <alignment horizontal="center" vertical="center"/>
    </xf>
    <xf numFmtId="17" fontId="1" fillId="3" borderId="21" xfId="0" quotePrefix="1" applyNumberFormat="1" applyFont="1" applyFill="1" applyBorder="1" applyAlignment="1">
      <alignment horizontal="center" vertical="center"/>
    </xf>
    <xf numFmtId="0" fontId="1" fillId="3" borderId="21" xfId="0" quotePrefix="1" applyFont="1" applyFill="1" applyBorder="1" applyAlignment="1">
      <alignment horizontal="center" vertical="center"/>
    </xf>
    <xf numFmtId="0" fontId="1" fillId="3" borderId="31" xfId="0" quotePrefix="1" applyFont="1" applyFill="1" applyBorder="1" applyAlignment="1">
      <alignment horizontal="center" vertical="center"/>
    </xf>
    <xf numFmtId="0" fontId="1" fillId="3" borderId="38" xfId="0" quotePrefix="1" applyFont="1" applyFill="1" applyBorder="1" applyAlignment="1">
      <alignment horizontal="center" vertical="center"/>
    </xf>
    <xf numFmtId="0" fontId="1" fillId="3" borderId="34" xfId="0" quotePrefix="1" applyFont="1" applyFill="1" applyBorder="1" applyAlignment="1">
      <alignment horizontal="center" vertical="center"/>
    </xf>
    <xf numFmtId="0" fontId="23" fillId="40" borderId="22" xfId="1" applyFont="1" applyFill="1" applyBorder="1" applyAlignment="1">
      <alignment horizontal="center" vertical="center"/>
    </xf>
    <xf numFmtId="0" fontId="15" fillId="9" borderId="2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3" fillId="24" borderId="21" xfId="1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0" fontId="8" fillId="3" borderId="21" xfId="1" applyFont="1" applyFill="1" applyBorder="1" applyAlignment="1">
      <alignment horizontal="center" vertical="center"/>
    </xf>
    <xf numFmtId="0" fontId="20" fillId="9" borderId="23" xfId="1" applyFont="1" applyFill="1" applyBorder="1" applyAlignment="1">
      <alignment horizontal="center" vertical="center"/>
    </xf>
    <xf numFmtId="0" fontId="1" fillId="8" borderId="21" xfId="1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3" fillId="9" borderId="21" xfId="1" applyFont="1" applyFill="1" applyBorder="1" applyAlignment="1">
      <alignment horizontal="center" vertical="center"/>
    </xf>
    <xf numFmtId="0" fontId="1" fillId="5" borderId="23" xfId="1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" fillId="10" borderId="21" xfId="1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1" fillId="31" borderId="21" xfId="0" applyFont="1" applyFill="1" applyBorder="1" applyAlignment="1">
      <alignment horizontal="center" vertical="center"/>
    </xf>
    <xf numFmtId="0" fontId="1" fillId="38" borderId="21" xfId="0" applyFont="1" applyFill="1" applyBorder="1" applyAlignment="1">
      <alignment horizontal="center" vertical="center"/>
    </xf>
    <xf numFmtId="0" fontId="3" fillId="23" borderId="11" xfId="0" applyFont="1" applyFill="1" applyBorder="1" applyAlignment="1">
      <alignment horizontal="center" vertical="center"/>
    </xf>
    <xf numFmtId="0" fontId="6" fillId="30" borderId="11" xfId="0" applyFont="1" applyFill="1" applyBorder="1" applyAlignment="1">
      <alignment horizontal="center" vertical="center"/>
    </xf>
    <xf numFmtId="0" fontId="6" fillId="30" borderId="14" xfId="0" applyFont="1" applyFill="1" applyBorder="1" applyAlignment="1">
      <alignment horizontal="center" vertical="center"/>
    </xf>
    <xf numFmtId="0" fontId="1" fillId="31" borderId="12" xfId="0" applyFont="1" applyFill="1" applyBorder="1" applyAlignment="1">
      <alignment horizontal="center" vertical="center"/>
    </xf>
    <xf numFmtId="0" fontId="1" fillId="31" borderId="27" xfId="0" applyFont="1" applyFill="1" applyBorder="1" applyAlignment="1">
      <alignment horizontal="center" vertical="center"/>
    </xf>
    <xf numFmtId="0" fontId="6" fillId="30" borderId="28" xfId="0" applyFont="1" applyFill="1" applyBorder="1" applyAlignment="1">
      <alignment horizontal="center" vertical="center"/>
    </xf>
    <xf numFmtId="0" fontId="1" fillId="31" borderId="15" xfId="0" applyFont="1" applyFill="1" applyBorder="1" applyAlignment="1">
      <alignment horizontal="center" vertical="center"/>
    </xf>
    <xf numFmtId="0" fontId="6" fillId="30" borderId="17" xfId="0" applyFont="1" applyFill="1" applyBorder="1" applyAlignment="1">
      <alignment horizontal="center" vertical="center"/>
    </xf>
    <xf numFmtId="0" fontId="1" fillId="38" borderId="12" xfId="0" applyFont="1" applyFill="1" applyBorder="1" applyAlignment="1">
      <alignment horizontal="center" vertical="center"/>
    </xf>
    <xf numFmtId="0" fontId="1" fillId="38" borderId="27" xfId="0" applyFont="1" applyFill="1" applyBorder="1" applyAlignment="1">
      <alignment horizontal="center" vertical="center"/>
    </xf>
    <xf numFmtId="0" fontId="1" fillId="38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35" borderId="21" xfId="0" applyFont="1" applyFill="1" applyBorder="1" applyAlignment="1">
      <alignment horizontal="center" vertical="center"/>
    </xf>
    <xf numFmtId="0" fontId="3" fillId="35" borderId="23" xfId="0" applyFont="1" applyFill="1" applyBorder="1" applyAlignment="1">
      <alignment horizontal="center" vertical="center"/>
    </xf>
    <xf numFmtId="0" fontId="3" fillId="16" borderId="41" xfId="0" applyFont="1" applyFill="1" applyBorder="1" applyAlignment="1">
      <alignment horizontal="center" vertical="center"/>
    </xf>
    <xf numFmtId="0" fontId="3" fillId="16" borderId="43" xfId="0" applyFont="1" applyFill="1" applyBorder="1" applyAlignment="1">
      <alignment horizontal="center" vertical="center"/>
    </xf>
    <xf numFmtId="0" fontId="3" fillId="19" borderId="41" xfId="0" applyFont="1" applyFill="1" applyBorder="1" applyAlignment="1">
      <alignment horizontal="center" vertical="center"/>
    </xf>
    <xf numFmtId="0" fontId="3" fillId="19" borderId="43" xfId="0" applyFont="1" applyFill="1" applyBorder="1" applyAlignment="1">
      <alignment horizontal="center" vertical="center"/>
    </xf>
    <xf numFmtId="0" fontId="3" fillId="21" borderId="41" xfId="0" applyFont="1" applyFill="1" applyBorder="1" applyAlignment="1">
      <alignment horizontal="center" vertical="center"/>
    </xf>
    <xf numFmtId="0" fontId="3" fillId="21" borderId="43" xfId="0" applyFont="1" applyFill="1" applyBorder="1" applyAlignment="1">
      <alignment horizontal="center" vertical="center"/>
    </xf>
    <xf numFmtId="0" fontId="3" fillId="22" borderId="41" xfId="0" applyFont="1" applyFill="1" applyBorder="1" applyAlignment="1">
      <alignment horizontal="center" vertical="center"/>
    </xf>
    <xf numFmtId="0" fontId="3" fillId="22" borderId="43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0" fontId="3" fillId="20" borderId="23" xfId="0" applyFont="1" applyFill="1" applyBorder="1" applyAlignment="1">
      <alignment horizontal="center" vertical="center"/>
    </xf>
    <xf numFmtId="0" fontId="3" fillId="23" borderId="18" xfId="0" applyFont="1" applyFill="1" applyBorder="1" applyAlignment="1">
      <alignment horizontal="center" vertical="center"/>
    </xf>
    <xf numFmtId="0" fontId="3" fillId="23" borderId="19" xfId="0" applyFont="1" applyFill="1" applyBorder="1" applyAlignment="1">
      <alignment horizontal="center" vertical="center"/>
    </xf>
    <xf numFmtId="0" fontId="3" fillId="23" borderId="20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7" borderId="23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3" fillId="18" borderId="21" xfId="0" applyFont="1" applyFill="1" applyBorder="1" applyAlignment="1">
      <alignment horizontal="center" vertical="center" wrapText="1"/>
    </xf>
    <xf numFmtId="0" fontId="3" fillId="18" borderId="23" xfId="0" applyFont="1" applyFill="1" applyBorder="1" applyAlignment="1">
      <alignment horizontal="center" vertical="center"/>
    </xf>
    <xf numFmtId="0" fontId="3" fillId="23" borderId="41" xfId="0" applyFont="1" applyFill="1" applyBorder="1" applyAlignment="1">
      <alignment horizontal="center" vertical="center" wrapText="1"/>
    </xf>
    <xf numFmtId="0" fontId="3" fillId="23" borderId="42" xfId="0" applyFont="1" applyFill="1" applyBorder="1" applyAlignment="1">
      <alignment horizontal="center" vertical="center" wrapText="1"/>
    </xf>
    <xf numFmtId="0" fontId="3" fillId="23" borderId="43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16" borderId="41" xfId="0" applyFont="1" applyFill="1" applyBorder="1" applyAlignment="1">
      <alignment horizontal="center" vertical="center" wrapText="1"/>
    </xf>
    <xf numFmtId="0" fontId="3" fillId="16" borderId="42" xfId="0" applyFont="1" applyFill="1" applyBorder="1" applyAlignment="1">
      <alignment horizontal="center" vertical="center" wrapText="1"/>
    </xf>
    <xf numFmtId="0" fontId="3" fillId="16" borderId="43" xfId="0" applyFont="1" applyFill="1" applyBorder="1" applyAlignment="1">
      <alignment horizontal="center" vertical="center" wrapText="1"/>
    </xf>
    <xf numFmtId="0" fontId="3" fillId="19" borderId="41" xfId="0" applyFont="1" applyFill="1" applyBorder="1" applyAlignment="1">
      <alignment horizontal="center" vertical="center" wrapText="1"/>
    </xf>
    <xf numFmtId="0" fontId="3" fillId="19" borderId="42" xfId="0" applyFont="1" applyFill="1" applyBorder="1" applyAlignment="1">
      <alignment horizontal="center" vertical="center" wrapText="1"/>
    </xf>
    <xf numFmtId="0" fontId="3" fillId="19" borderId="4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3" fillId="16" borderId="18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6" borderId="20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3" fillId="17" borderId="48" xfId="0" applyFont="1" applyFill="1" applyBorder="1" applyAlignment="1">
      <alignment horizontal="center" vertical="center"/>
    </xf>
    <xf numFmtId="0" fontId="3" fillId="17" borderId="36" xfId="0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/>
    </xf>
    <xf numFmtId="0" fontId="3" fillId="19" borderId="24" xfId="0" applyFont="1" applyFill="1" applyBorder="1" applyAlignment="1">
      <alignment horizontal="center" vertical="center"/>
    </xf>
    <xf numFmtId="0" fontId="3" fillId="19" borderId="25" xfId="0" applyFont="1" applyFill="1" applyBorder="1" applyAlignment="1">
      <alignment horizontal="center" vertical="center"/>
    </xf>
    <xf numFmtId="0" fontId="3" fillId="19" borderId="26" xfId="0" applyFont="1" applyFill="1" applyBorder="1" applyAlignment="1">
      <alignment horizontal="center" vertical="center"/>
    </xf>
    <xf numFmtId="0" fontId="3" fillId="20" borderId="48" xfId="0" applyFont="1" applyFill="1" applyBorder="1" applyAlignment="1">
      <alignment horizontal="center" vertical="center"/>
    </xf>
    <xf numFmtId="0" fontId="3" fillId="20" borderId="36" xfId="0" applyFont="1" applyFill="1" applyBorder="1" applyAlignment="1">
      <alignment horizontal="center" vertical="center"/>
    </xf>
    <xf numFmtId="0" fontId="3" fillId="24" borderId="41" xfId="0" applyFont="1" applyFill="1" applyBorder="1" applyAlignment="1">
      <alignment horizontal="center" vertical="center" wrapText="1"/>
    </xf>
    <xf numFmtId="0" fontId="3" fillId="24" borderId="43" xfId="0" applyFont="1" applyFill="1" applyBorder="1" applyAlignment="1">
      <alignment horizontal="center" vertical="center" wrapText="1"/>
    </xf>
    <xf numFmtId="0" fontId="3" fillId="23" borderId="24" xfId="0" applyFont="1" applyFill="1" applyBorder="1" applyAlignment="1">
      <alignment horizontal="center" vertical="center"/>
    </xf>
    <xf numFmtId="0" fontId="3" fillId="23" borderId="25" xfId="0" applyFont="1" applyFill="1" applyBorder="1" applyAlignment="1">
      <alignment horizontal="center" vertical="center"/>
    </xf>
    <xf numFmtId="0" fontId="3" fillId="23" borderId="26" xfId="0" applyFont="1" applyFill="1" applyBorder="1" applyAlignment="1">
      <alignment horizontal="center" vertical="center"/>
    </xf>
    <xf numFmtId="0" fontId="3" fillId="25" borderId="41" xfId="0" applyFont="1" applyFill="1" applyBorder="1" applyAlignment="1">
      <alignment horizontal="center" vertical="center" wrapText="1"/>
    </xf>
    <xf numFmtId="0" fontId="3" fillId="25" borderId="42" xfId="0" applyFont="1" applyFill="1" applyBorder="1" applyAlignment="1">
      <alignment horizontal="center" vertical="center" wrapText="1"/>
    </xf>
    <xf numFmtId="0" fontId="3" fillId="25" borderId="43" xfId="0" applyFont="1" applyFill="1" applyBorder="1" applyAlignment="1">
      <alignment horizontal="center" vertical="center" wrapText="1"/>
    </xf>
    <xf numFmtId="0" fontId="3" fillId="24" borderId="24" xfId="0" applyFont="1" applyFill="1" applyBorder="1" applyAlignment="1">
      <alignment horizontal="center" vertical="center"/>
    </xf>
    <xf numFmtId="0" fontId="3" fillId="24" borderId="25" xfId="0" applyFont="1" applyFill="1" applyBorder="1" applyAlignment="1">
      <alignment horizontal="center" vertical="center"/>
    </xf>
    <xf numFmtId="0" fontId="3" fillId="24" borderId="26" xfId="0" applyFont="1" applyFill="1" applyBorder="1" applyAlignment="1">
      <alignment horizontal="center" vertical="center"/>
    </xf>
    <xf numFmtId="0" fontId="3" fillId="25" borderId="24" xfId="0" applyFont="1" applyFill="1" applyBorder="1" applyAlignment="1">
      <alignment horizontal="center" vertical="center"/>
    </xf>
    <xf numFmtId="0" fontId="3" fillId="25" borderId="25" xfId="0" applyFont="1" applyFill="1" applyBorder="1" applyAlignment="1">
      <alignment horizontal="center" vertical="center"/>
    </xf>
    <xf numFmtId="0" fontId="3" fillId="25" borderId="26" xfId="0" applyFont="1" applyFill="1" applyBorder="1" applyAlignment="1">
      <alignment horizontal="center" vertical="center"/>
    </xf>
    <xf numFmtId="0" fontId="3" fillId="27" borderId="41" xfId="0" applyFont="1" applyFill="1" applyBorder="1" applyAlignment="1">
      <alignment horizontal="center" vertical="center" wrapText="1"/>
    </xf>
    <xf numFmtId="0" fontId="3" fillId="27" borderId="42" xfId="0" applyFont="1" applyFill="1" applyBorder="1" applyAlignment="1">
      <alignment horizontal="center" vertical="center" wrapText="1"/>
    </xf>
    <xf numFmtId="0" fontId="3" fillId="27" borderId="43" xfId="0" applyFont="1" applyFill="1" applyBorder="1" applyAlignment="1">
      <alignment horizontal="center" vertical="center" wrapText="1"/>
    </xf>
    <xf numFmtId="0" fontId="3" fillId="25" borderId="41" xfId="0" applyFont="1" applyFill="1" applyBorder="1" applyAlignment="1">
      <alignment horizontal="center" vertical="center"/>
    </xf>
    <xf numFmtId="0" fontId="3" fillId="25" borderId="36" xfId="0" applyFont="1" applyFill="1" applyBorder="1" applyAlignment="1">
      <alignment horizontal="center" vertical="center"/>
    </xf>
    <xf numFmtId="0" fontId="3" fillId="27" borderId="24" xfId="0" applyFont="1" applyFill="1" applyBorder="1" applyAlignment="1">
      <alignment horizontal="center" vertical="center"/>
    </xf>
    <xf numFmtId="0" fontId="3" fillId="27" borderId="25" xfId="0" applyFont="1" applyFill="1" applyBorder="1" applyAlignment="1">
      <alignment horizontal="center" vertical="center"/>
    </xf>
    <xf numFmtId="0" fontId="3" fillId="27" borderId="26" xfId="0" applyFont="1" applyFill="1" applyBorder="1" applyAlignment="1">
      <alignment horizontal="center" vertical="center"/>
    </xf>
    <xf numFmtId="0" fontId="3" fillId="35" borderId="48" xfId="0" applyFont="1" applyFill="1" applyBorder="1" applyAlignment="1">
      <alignment horizontal="center" vertical="center"/>
    </xf>
    <xf numFmtId="0" fontId="3" fillId="35" borderId="4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9" xfId="0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vertical="center" wrapText="1"/>
    </xf>
    <xf numFmtId="0" fontId="3" fillId="24" borderId="8" xfId="0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3" fillId="25" borderId="10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3" fillId="27" borderId="9" xfId="0" applyFont="1" applyFill="1" applyBorder="1" applyAlignment="1">
      <alignment horizontal="center" vertical="center" wrapText="1"/>
    </xf>
    <xf numFmtId="0" fontId="3" fillId="27" borderId="10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25" borderId="18" xfId="0" applyFont="1" applyFill="1" applyBorder="1" applyAlignment="1">
      <alignment horizontal="center" vertical="center"/>
    </xf>
    <xf numFmtId="0" fontId="3" fillId="25" borderId="20" xfId="0" applyFont="1" applyFill="1" applyBorder="1" applyAlignment="1">
      <alignment horizontal="center" vertical="center"/>
    </xf>
    <xf numFmtId="0" fontId="3" fillId="27" borderId="18" xfId="0" applyFont="1" applyFill="1" applyBorder="1" applyAlignment="1">
      <alignment horizontal="center" vertical="center"/>
    </xf>
    <xf numFmtId="0" fontId="3" fillId="27" borderId="20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0" borderId="37" xfId="0" applyFont="1" applyFill="1" applyBorder="1" applyAlignment="1">
      <alignment horizontal="center" vertical="center"/>
    </xf>
    <xf numFmtId="0" fontId="6" fillId="30" borderId="38" xfId="0" applyFont="1" applyFill="1" applyBorder="1" applyAlignment="1">
      <alignment horizontal="center" vertical="center"/>
    </xf>
    <xf numFmtId="0" fontId="3" fillId="23" borderId="12" xfId="0" applyFont="1" applyFill="1" applyBorder="1" applyAlignment="1">
      <alignment horizontal="center" vertical="center"/>
    </xf>
    <xf numFmtId="0" fontId="3" fillId="23" borderId="13" xfId="0" applyFont="1" applyFill="1" applyBorder="1" applyAlignment="1">
      <alignment horizontal="center" vertical="center"/>
    </xf>
    <xf numFmtId="0" fontId="3" fillId="23" borderId="14" xfId="0" applyFont="1" applyFill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/>
    </xf>
    <xf numFmtId="0" fontId="3" fillId="23" borderId="16" xfId="0" applyFont="1" applyFill="1" applyBorder="1" applyAlignment="1">
      <alignment horizontal="center" vertical="center"/>
    </xf>
    <xf numFmtId="0" fontId="3" fillId="23" borderId="17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3" fillId="16" borderId="17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 wrapText="1"/>
    </xf>
    <xf numFmtId="0" fontId="3" fillId="19" borderId="13" xfId="0" applyFont="1" applyFill="1" applyBorder="1" applyAlignment="1">
      <alignment horizontal="center" vertical="center"/>
    </xf>
    <xf numFmtId="0" fontId="3" fillId="19" borderId="14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3" fillId="27" borderId="12" xfId="0" applyFont="1" applyFill="1" applyBorder="1" applyAlignment="1">
      <alignment horizontal="center" vertical="center" wrapText="1"/>
    </xf>
    <xf numFmtId="0" fontId="3" fillId="27" borderId="13" xfId="0" applyFont="1" applyFill="1" applyBorder="1" applyAlignment="1">
      <alignment horizontal="center" vertical="center"/>
    </xf>
    <xf numFmtId="0" fontId="3" fillId="27" borderId="14" xfId="0" applyFont="1" applyFill="1" applyBorder="1" applyAlignment="1">
      <alignment horizontal="center" vertical="center"/>
    </xf>
    <xf numFmtId="0" fontId="3" fillId="27" borderId="15" xfId="0" applyFont="1" applyFill="1" applyBorder="1" applyAlignment="1">
      <alignment horizontal="center" vertical="center"/>
    </xf>
    <xf numFmtId="0" fontId="3" fillId="27" borderId="16" xfId="0" applyFont="1" applyFill="1" applyBorder="1" applyAlignment="1">
      <alignment horizontal="center" vertical="center"/>
    </xf>
    <xf numFmtId="0" fontId="3" fillId="27" borderId="17" xfId="0" applyFont="1" applyFill="1" applyBorder="1" applyAlignment="1">
      <alignment horizontal="center" vertical="center"/>
    </xf>
    <xf numFmtId="0" fontId="3" fillId="25" borderId="12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14" xfId="0" applyFont="1" applyFill="1" applyBorder="1" applyAlignment="1">
      <alignment horizontal="center" vertical="center"/>
    </xf>
    <xf numFmtId="0" fontId="3" fillId="25" borderId="15" xfId="0" applyFont="1" applyFill="1" applyBorder="1" applyAlignment="1">
      <alignment horizontal="center" vertical="center"/>
    </xf>
    <xf numFmtId="0" fontId="3" fillId="25" borderId="16" xfId="0" applyFont="1" applyFill="1" applyBorder="1" applyAlignment="1">
      <alignment horizontal="center" vertical="center"/>
    </xf>
    <xf numFmtId="0" fontId="3" fillId="25" borderId="17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3" fillId="24" borderId="12" xfId="0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7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7" borderId="7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3" fillId="16" borderId="44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DF6B65A2-C53A-4B06-81AD-620A3D9E10C3}"/>
  </cellStyles>
  <dxfs count="424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EE0000"/>
      </font>
      <fill>
        <patternFill>
          <bgColor rgb="FFEE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rgb="FFEE0000"/>
      </font>
      <fill>
        <patternFill>
          <bgColor rgb="FFEE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5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rgb="FF1F51FF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FFFF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1"/>
      </font>
      <fill>
        <patternFill>
          <bgColor rgb="FF6CD424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9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rgb="FFFF00FF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1F51FF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66FF99"/>
      </font>
      <fill>
        <patternFill>
          <bgColor theme="1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7"/>
      </font>
      <fill>
        <patternFill>
          <bgColor theme="1"/>
        </patternFill>
      </fill>
    </dxf>
    <dxf>
      <font>
        <color rgb="FF66FF33"/>
      </font>
      <fill>
        <patternFill>
          <bgColor theme="0" tint="-0.34998626667073579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1" tint="0.499984740745262"/>
        </patternFill>
      </fill>
    </dxf>
    <dxf>
      <font>
        <color rgb="FFED7D31"/>
      </font>
      <fill>
        <patternFill>
          <bgColor theme="0"/>
        </patternFill>
      </fill>
    </dxf>
    <dxf>
      <font>
        <color rgb="FFFE5000"/>
      </font>
      <fill>
        <patternFill>
          <bgColor theme="0"/>
        </patternFill>
      </fill>
    </dxf>
    <dxf>
      <font>
        <color rgb="FF007939"/>
      </font>
      <fill>
        <patternFill>
          <bgColor theme="0"/>
        </patternFill>
      </fill>
    </dxf>
    <dxf>
      <font>
        <color rgb="FF671E75"/>
      </font>
      <fill>
        <patternFill>
          <bgColor theme="0"/>
        </patternFill>
      </fill>
    </dxf>
    <dxf>
      <font>
        <color rgb="FF326295"/>
      </font>
      <fill>
        <patternFill>
          <bgColor theme="0"/>
        </patternFill>
      </fill>
    </dxf>
    <dxf>
      <font>
        <color rgb="FF212721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EE0000"/>
      </font>
      <fill>
        <patternFill>
          <bgColor rgb="FFEE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5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rgb="FF1F51FF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FFFF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1"/>
      </font>
      <fill>
        <patternFill>
          <bgColor rgb="FF6CD424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9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rgb="FFFF00FF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1F51FF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66FF99"/>
      </font>
      <fill>
        <patternFill>
          <bgColor theme="1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7"/>
      </font>
      <fill>
        <patternFill>
          <bgColor theme="1"/>
        </patternFill>
      </fill>
    </dxf>
    <dxf>
      <font>
        <color theme="5"/>
      </font>
      <fill>
        <patternFill>
          <bgColor theme="0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rgb="FF66FF33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ED7D31"/>
      </font>
      <fill>
        <patternFill>
          <bgColor theme="0"/>
        </patternFill>
      </fill>
    </dxf>
    <dxf>
      <font>
        <color rgb="FFFE5000"/>
      </font>
      <fill>
        <patternFill>
          <bgColor theme="0"/>
        </patternFill>
      </fill>
    </dxf>
    <dxf>
      <font>
        <color rgb="FF007939"/>
      </font>
      <fill>
        <patternFill>
          <bgColor theme="0"/>
        </patternFill>
      </fill>
    </dxf>
    <dxf>
      <font>
        <color rgb="FF671E75"/>
      </font>
      <fill>
        <patternFill>
          <bgColor theme="0"/>
        </patternFill>
      </fill>
    </dxf>
    <dxf>
      <font>
        <color rgb="FF326295"/>
      </font>
      <fill>
        <patternFill>
          <bgColor theme="0"/>
        </patternFill>
      </fill>
    </dxf>
    <dxf>
      <font>
        <color rgb="FF212721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ED7D31"/>
        </patternFill>
      </fill>
    </dxf>
    <dxf>
      <font>
        <color theme="0"/>
      </font>
      <fill>
        <patternFill>
          <bgColor rgb="FFC65911"/>
        </patternFill>
      </fill>
    </dxf>
    <dxf>
      <font>
        <color theme="0"/>
      </font>
      <fill>
        <patternFill>
          <bgColor rgb="FFBF8F00"/>
        </patternFill>
      </fill>
    </dxf>
    <dxf>
      <font>
        <color theme="0"/>
      </font>
      <fill>
        <patternFill>
          <bgColor rgb="FFED7D3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E5000"/>
        </patternFill>
      </fill>
    </dxf>
    <dxf>
      <font>
        <color theme="0"/>
      </font>
      <fill>
        <patternFill>
          <bgColor rgb="FF671E75"/>
        </patternFill>
      </fill>
    </dxf>
    <dxf>
      <font>
        <color theme="0"/>
      </font>
      <fill>
        <patternFill>
          <bgColor rgb="FF326295"/>
        </patternFill>
      </fill>
    </dxf>
    <dxf>
      <font>
        <color theme="0"/>
      </font>
      <fill>
        <patternFill>
          <bgColor rgb="FF00B140"/>
        </patternFill>
      </fill>
    </dxf>
    <dxf>
      <font>
        <color theme="0"/>
      </font>
      <fill>
        <patternFill>
          <bgColor rgb="FFCB333B"/>
        </patternFill>
      </fill>
    </dxf>
    <dxf>
      <font>
        <color theme="0"/>
      </font>
      <fill>
        <patternFill>
          <bgColor rgb="FF326295"/>
        </patternFill>
      </fill>
    </dxf>
    <dxf>
      <font>
        <color theme="0"/>
      </font>
      <fill>
        <patternFill>
          <bgColor rgb="FF212721"/>
        </patternFill>
      </fill>
    </dxf>
    <dxf>
      <font>
        <color theme="0"/>
      </font>
      <fill>
        <patternFill>
          <bgColor rgb="FFFE5000"/>
        </patternFill>
      </fill>
    </dxf>
    <dxf>
      <font>
        <color theme="0"/>
      </font>
      <fill>
        <patternFill>
          <bgColor rgb="FF007939"/>
        </patternFill>
      </fill>
    </dxf>
    <dxf>
      <font>
        <color theme="0"/>
      </font>
      <fill>
        <patternFill>
          <bgColor rgb="FF326295"/>
        </patternFill>
      </fill>
    </dxf>
    <dxf>
      <font>
        <color theme="0"/>
      </font>
      <fill>
        <patternFill>
          <bgColor rgb="FFDA291C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BF8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671E75"/>
        </patternFill>
      </fill>
    </dxf>
    <dxf>
      <font>
        <color theme="0"/>
      </font>
      <fill>
        <patternFill>
          <bgColor rgb="FF212721"/>
        </patternFill>
      </fill>
    </dxf>
    <dxf>
      <font>
        <color theme="0"/>
      </font>
      <fill>
        <patternFill>
          <bgColor rgb="FFDA291C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5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rgb="FF1F51FF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FFFF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1"/>
      </font>
      <fill>
        <patternFill>
          <bgColor rgb="FF6CD424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9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rgb="FFFF00FF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1F51FF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66FF99"/>
      </font>
      <fill>
        <patternFill>
          <bgColor theme="1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7"/>
      </font>
      <fill>
        <patternFill>
          <bgColor theme="1"/>
        </patternFill>
      </fill>
    </dxf>
    <dxf>
      <font>
        <color rgb="FF66FF33"/>
      </font>
      <fill>
        <patternFill>
          <bgColor theme="0" tint="-0.34998626667073579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1" tint="0.499984740745262"/>
        </patternFill>
      </fill>
    </dxf>
    <dxf>
      <font>
        <color rgb="FFED7D31"/>
      </font>
      <fill>
        <patternFill>
          <bgColor theme="0"/>
        </patternFill>
      </fill>
    </dxf>
    <dxf>
      <font>
        <color rgb="FFFE5000"/>
      </font>
      <fill>
        <patternFill>
          <bgColor theme="0"/>
        </patternFill>
      </fill>
    </dxf>
    <dxf>
      <font>
        <color rgb="FF007939"/>
      </font>
      <fill>
        <patternFill>
          <bgColor theme="0"/>
        </patternFill>
      </fill>
    </dxf>
    <dxf>
      <font>
        <color rgb="FF671E75"/>
      </font>
      <fill>
        <patternFill>
          <bgColor theme="0"/>
        </patternFill>
      </fill>
    </dxf>
    <dxf>
      <font>
        <color rgb="FF326295"/>
      </font>
      <fill>
        <patternFill>
          <bgColor theme="0"/>
        </patternFill>
      </fill>
    </dxf>
    <dxf>
      <font>
        <color rgb="FF212721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EE0000"/>
      </font>
      <fill>
        <patternFill>
          <bgColor rgb="FFEE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5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rgb="FF1F51FF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FFFF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1"/>
      </font>
      <fill>
        <patternFill>
          <bgColor rgb="FF6CD424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9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rgb="FFFF00FF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1F51FF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66FF99"/>
      </font>
      <fill>
        <patternFill>
          <bgColor theme="1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7"/>
      </font>
      <fill>
        <patternFill>
          <bgColor theme="1"/>
        </patternFill>
      </fill>
    </dxf>
    <dxf>
      <font>
        <color theme="5"/>
      </font>
      <fill>
        <patternFill>
          <bgColor theme="0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rgb="FF66FF33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ED7D31"/>
      </font>
      <fill>
        <patternFill>
          <bgColor theme="0"/>
        </patternFill>
      </fill>
    </dxf>
    <dxf>
      <font>
        <color rgb="FFFE5000"/>
      </font>
      <fill>
        <patternFill>
          <bgColor theme="0"/>
        </patternFill>
      </fill>
    </dxf>
    <dxf>
      <font>
        <color rgb="FF007939"/>
      </font>
      <fill>
        <patternFill>
          <bgColor theme="0"/>
        </patternFill>
      </fill>
    </dxf>
    <dxf>
      <font>
        <color rgb="FF671E75"/>
      </font>
      <fill>
        <patternFill>
          <bgColor theme="0"/>
        </patternFill>
      </fill>
    </dxf>
    <dxf>
      <font>
        <color rgb="FF326295"/>
      </font>
      <fill>
        <patternFill>
          <bgColor theme="0"/>
        </patternFill>
      </fill>
    </dxf>
    <dxf>
      <font>
        <color rgb="FF212721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ED7D31"/>
        </patternFill>
      </fill>
    </dxf>
    <dxf>
      <font>
        <color theme="0"/>
      </font>
      <fill>
        <patternFill>
          <bgColor rgb="FFC65911"/>
        </patternFill>
      </fill>
    </dxf>
    <dxf>
      <font>
        <color theme="0"/>
      </font>
      <fill>
        <patternFill>
          <bgColor rgb="FFBF8F00"/>
        </patternFill>
      </fill>
    </dxf>
    <dxf>
      <font>
        <color theme="0"/>
      </font>
      <fill>
        <patternFill>
          <bgColor rgb="FFED7D3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E5000"/>
        </patternFill>
      </fill>
    </dxf>
    <dxf>
      <font>
        <color theme="0"/>
      </font>
      <fill>
        <patternFill>
          <bgColor rgb="FF671E75"/>
        </patternFill>
      </fill>
    </dxf>
    <dxf>
      <font>
        <color theme="0"/>
      </font>
      <fill>
        <patternFill>
          <bgColor rgb="FF326295"/>
        </patternFill>
      </fill>
    </dxf>
    <dxf>
      <font>
        <color theme="0"/>
      </font>
      <fill>
        <patternFill>
          <bgColor rgb="FF00B140"/>
        </patternFill>
      </fill>
    </dxf>
    <dxf>
      <font>
        <color theme="0"/>
      </font>
      <fill>
        <patternFill>
          <bgColor rgb="FFCB333B"/>
        </patternFill>
      </fill>
    </dxf>
    <dxf>
      <font>
        <color theme="0"/>
      </font>
      <fill>
        <patternFill>
          <bgColor rgb="FF326295"/>
        </patternFill>
      </fill>
    </dxf>
    <dxf>
      <font>
        <color theme="0"/>
      </font>
      <fill>
        <patternFill>
          <bgColor rgb="FF212721"/>
        </patternFill>
      </fill>
    </dxf>
    <dxf>
      <font>
        <color theme="0"/>
      </font>
      <fill>
        <patternFill>
          <bgColor rgb="FFFE5000"/>
        </patternFill>
      </fill>
    </dxf>
    <dxf>
      <font>
        <color theme="0"/>
      </font>
      <fill>
        <patternFill>
          <bgColor rgb="FF007939"/>
        </patternFill>
      </fill>
    </dxf>
    <dxf>
      <font>
        <color theme="0"/>
      </font>
      <fill>
        <patternFill>
          <bgColor rgb="FF326295"/>
        </patternFill>
      </fill>
    </dxf>
    <dxf>
      <font>
        <color theme="0"/>
      </font>
      <fill>
        <patternFill>
          <bgColor rgb="FFDA291C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BF8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671E75"/>
        </patternFill>
      </fill>
    </dxf>
    <dxf>
      <font>
        <color theme="0"/>
      </font>
      <fill>
        <patternFill>
          <bgColor rgb="FF212721"/>
        </patternFill>
      </fill>
    </dxf>
    <dxf>
      <font>
        <color theme="0"/>
      </font>
      <fill>
        <patternFill>
          <bgColor rgb="FF212721"/>
        </patternFill>
      </fill>
    </dxf>
    <dxf>
      <font>
        <color theme="0"/>
      </font>
      <fill>
        <patternFill>
          <bgColor rgb="FF212721"/>
        </patternFill>
      </fill>
    </dxf>
    <dxf>
      <font>
        <color theme="0"/>
      </font>
      <fill>
        <patternFill>
          <bgColor rgb="FFDA291C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5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rgb="FF1F51FF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FFFF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1"/>
      </font>
      <fill>
        <patternFill>
          <bgColor rgb="FF6CD424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9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rgb="FFFF00FF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1F51FF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66FF99"/>
      </font>
      <fill>
        <patternFill>
          <bgColor theme="1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7"/>
      </font>
      <fill>
        <patternFill>
          <bgColor theme="1"/>
        </patternFill>
      </fill>
    </dxf>
    <dxf>
      <font>
        <color theme="5"/>
      </font>
      <fill>
        <patternFill>
          <bgColor theme="0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rgb="FF66FF33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ED7D31"/>
      </font>
      <fill>
        <patternFill>
          <bgColor theme="0"/>
        </patternFill>
      </fill>
    </dxf>
    <dxf>
      <font>
        <color rgb="FFFE5000"/>
      </font>
      <fill>
        <patternFill>
          <bgColor theme="0"/>
        </patternFill>
      </fill>
    </dxf>
    <dxf>
      <font>
        <color rgb="FF007939"/>
      </font>
      <fill>
        <patternFill>
          <bgColor theme="0"/>
        </patternFill>
      </fill>
    </dxf>
    <dxf>
      <font>
        <color rgb="FF671E75"/>
      </font>
      <fill>
        <patternFill>
          <bgColor theme="0"/>
        </patternFill>
      </fill>
    </dxf>
    <dxf>
      <font>
        <color rgb="FF326295"/>
      </font>
      <fill>
        <patternFill>
          <bgColor theme="0"/>
        </patternFill>
      </fill>
    </dxf>
    <dxf>
      <font>
        <color rgb="FF212721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1"/>
      </font>
      <fill>
        <patternFill>
          <bgColor theme="7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5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rgb="FF1F51FF"/>
        </patternFill>
      </fill>
    </dxf>
    <dxf>
      <font>
        <color rgb="FF0070C0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C00000"/>
      </font>
      <fill>
        <patternFill>
          <bgColor theme="0"/>
        </patternFill>
      </fill>
    </dxf>
    <dxf>
      <font>
        <color rgb="FF00FFFF"/>
      </font>
      <fill>
        <patternFill>
          <bgColor theme="1"/>
        </patternFill>
      </fill>
    </dxf>
    <dxf>
      <font>
        <color theme="1"/>
      </font>
      <fill>
        <patternFill>
          <bgColor theme="7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1"/>
      </font>
      <fill>
        <patternFill>
          <bgColor rgb="FF6CD424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9" tint="-0.499984740745262"/>
      </font>
      <fill>
        <patternFill>
          <bgColor theme="0"/>
        </patternFill>
      </fill>
    </dxf>
    <dxf>
      <font>
        <color rgb="FFEE0000"/>
      </font>
      <fill>
        <patternFill>
          <bgColor theme="2" tint="-0.24994659260841701"/>
        </patternFill>
      </fill>
    </dxf>
    <dxf>
      <font>
        <color theme="1"/>
      </font>
      <fill>
        <patternFill>
          <bgColor rgb="FFCCFF33"/>
        </patternFill>
      </fill>
    </dxf>
    <dxf>
      <font>
        <color rgb="FFFF00FF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1F51FF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0070C0"/>
      </font>
      <fill>
        <patternFill>
          <bgColor theme="0"/>
        </patternFill>
      </fill>
    </dxf>
    <dxf>
      <font>
        <color theme="1"/>
      </font>
      <fill>
        <patternFill>
          <bgColor rgb="FFCCFF33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5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0"/>
      </font>
      <fill>
        <patternFill>
          <bgColor rgb="FFEE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66FF99"/>
      </font>
      <fill>
        <patternFill>
          <bgColor theme="1"/>
        </patternFill>
      </fill>
    </dxf>
    <dxf>
      <font>
        <color rgb="FFC00000"/>
      </font>
      <fill>
        <patternFill>
          <bgColor theme="0"/>
        </patternFill>
      </fill>
    </dxf>
    <dxf>
      <font>
        <color theme="7"/>
      </font>
      <fill>
        <patternFill>
          <bgColor theme="1"/>
        </patternFill>
      </fill>
    </dxf>
    <dxf>
      <font>
        <color theme="5"/>
      </font>
      <fill>
        <patternFill>
          <bgColor theme="0"/>
        </patternFill>
      </fill>
    </dxf>
    <dxf>
      <font>
        <color rgb="FFEE0000"/>
      </font>
      <fill>
        <patternFill>
          <bgColor theme="0"/>
        </patternFill>
      </fill>
    </dxf>
    <dxf>
      <font>
        <color theme="2" tint="-0.499984740745262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rgb="FF66FF33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ED7D31"/>
      </font>
      <fill>
        <patternFill>
          <bgColor theme="0"/>
        </patternFill>
      </fill>
    </dxf>
    <dxf>
      <font>
        <color rgb="FFFE5000"/>
      </font>
      <fill>
        <patternFill>
          <bgColor theme="0"/>
        </patternFill>
      </fill>
    </dxf>
    <dxf>
      <font>
        <color rgb="FF007939"/>
      </font>
      <fill>
        <patternFill>
          <bgColor theme="0"/>
        </patternFill>
      </fill>
    </dxf>
    <dxf>
      <font>
        <color rgb="FF671E75"/>
      </font>
      <fill>
        <patternFill>
          <bgColor theme="0"/>
        </patternFill>
      </fill>
    </dxf>
    <dxf>
      <font>
        <color rgb="FF326295"/>
      </font>
      <fill>
        <patternFill>
          <bgColor theme="0"/>
        </patternFill>
      </fill>
    </dxf>
    <dxf>
      <font>
        <color rgb="FF212721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DA291C"/>
      </font>
      <fill>
        <patternFill>
          <bgColor theme="0"/>
        </patternFill>
      </fill>
    </dxf>
    <dxf>
      <font>
        <color rgb="FF0000FF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EE0000"/>
      <color rgb="FF0000FF"/>
      <color rgb="FFFE5000"/>
      <color rgb="FF66FF33"/>
      <color rgb="FF66FF99"/>
      <color rgb="FF2DCCD3"/>
      <color rgb="FFCB333B"/>
      <color rgb="FF00B140"/>
      <color rgb="FF3A5DAE"/>
      <color rgb="FF212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EE68-A468-4EEA-A3F3-BC14E092940B}">
  <dimension ref="B1:AF47"/>
  <sheetViews>
    <sheetView workbookViewId="0">
      <selection activeCell="B3" sqref="B3:B4"/>
    </sheetView>
  </sheetViews>
  <sheetFormatPr defaultColWidth="8.88671875" defaultRowHeight="18" customHeight="1" x14ac:dyDescent="0.3"/>
  <cols>
    <col min="1" max="1" width="3.33203125" style="1" customWidth="1"/>
    <col min="2" max="2" width="34.44140625" style="1" customWidth="1"/>
    <col min="3" max="3" width="8.88671875" style="1"/>
    <col min="4" max="4" width="12.21875" style="1" customWidth="1"/>
    <col min="5" max="5" width="12.21875" style="1" hidden="1" customWidth="1"/>
    <col min="6" max="7" width="12.21875" style="1" customWidth="1"/>
    <col min="8" max="8" width="12.21875" style="1" hidden="1" customWidth="1"/>
    <col min="9" max="9" width="12.21875" style="1" customWidth="1"/>
    <col min="10" max="10" width="3.33203125" style="1" customWidth="1"/>
    <col min="11" max="11" width="3.77734375" style="1" customWidth="1"/>
    <col min="12" max="12" width="11.109375" style="1" customWidth="1"/>
    <col min="13" max="13" width="12.21875" style="1" customWidth="1"/>
    <col min="14" max="14" width="3.77734375" style="1" customWidth="1"/>
    <col min="15" max="15" width="3.33203125" style="1" customWidth="1"/>
    <col min="16" max="16" width="10.5546875" style="1" customWidth="1"/>
    <col min="17" max="17" width="13.33203125" style="1" customWidth="1"/>
    <col min="18" max="18" width="16.6640625" style="1" customWidth="1"/>
    <col min="19" max="20" width="3.33203125" style="1" customWidth="1"/>
    <col min="21" max="21" width="24.44140625" style="1" customWidth="1"/>
    <col min="22" max="22" width="11.109375" style="1" customWidth="1"/>
    <col min="23" max="28" width="5.5546875" style="1" customWidth="1"/>
    <col min="29" max="31" width="5" style="1" customWidth="1"/>
    <col min="32" max="32" width="14.44140625" style="1" customWidth="1"/>
    <col min="33" max="34" width="3.33203125" style="1" customWidth="1"/>
    <col min="35" max="16384" width="8.88671875" style="1"/>
  </cols>
  <sheetData>
    <row r="1" spans="2:32" ht="18" customHeight="1" thickBot="1" x14ac:dyDescent="0.35"/>
    <row r="2" spans="2:32" ht="18" customHeight="1" thickBot="1" x14ac:dyDescent="0.35">
      <c r="B2" s="272" t="s">
        <v>401</v>
      </c>
      <c r="C2" s="273"/>
      <c r="D2" s="273"/>
      <c r="E2" s="273"/>
      <c r="F2" s="273"/>
      <c r="G2" s="273"/>
      <c r="H2" s="273"/>
      <c r="I2" s="274"/>
      <c r="L2" s="247" t="s">
        <v>401</v>
      </c>
      <c r="M2" s="248"/>
      <c r="P2" s="252" t="s">
        <v>401</v>
      </c>
      <c r="Q2" s="253"/>
      <c r="R2" s="254"/>
      <c r="U2" s="252" t="s">
        <v>401</v>
      </c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4"/>
    </row>
    <row r="3" spans="2:32" ht="18" customHeight="1" thickBot="1" x14ac:dyDescent="0.35">
      <c r="B3" s="252" t="s">
        <v>0</v>
      </c>
      <c r="C3" s="279" t="s">
        <v>8</v>
      </c>
      <c r="D3" s="275" t="s">
        <v>13</v>
      </c>
      <c r="E3" s="292" t="s">
        <v>14</v>
      </c>
      <c r="F3" s="294" t="s">
        <v>15</v>
      </c>
      <c r="G3" s="296" t="s">
        <v>16</v>
      </c>
      <c r="H3" s="277" t="s">
        <v>17</v>
      </c>
      <c r="I3" s="277" t="s">
        <v>18</v>
      </c>
      <c r="L3" s="237" t="s">
        <v>250</v>
      </c>
      <c r="M3" s="239"/>
      <c r="P3" s="237" t="s">
        <v>371</v>
      </c>
      <c r="Q3" s="238"/>
      <c r="R3" s="239"/>
      <c r="U3" s="237" t="s">
        <v>19</v>
      </c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9"/>
    </row>
    <row r="4" spans="2:32" ht="18" customHeight="1" thickBot="1" x14ac:dyDescent="0.35">
      <c r="B4" s="237"/>
      <c r="C4" s="290"/>
      <c r="D4" s="291"/>
      <c r="E4" s="293"/>
      <c r="F4" s="295"/>
      <c r="G4" s="297"/>
      <c r="H4" s="298"/>
      <c r="I4" s="298"/>
      <c r="L4" s="49" t="s">
        <v>49</v>
      </c>
      <c r="M4" s="49" t="s">
        <v>50</v>
      </c>
      <c r="P4" s="287" t="s">
        <v>22</v>
      </c>
      <c r="Q4" s="288"/>
      <c r="R4" s="289"/>
      <c r="U4" s="49" t="s">
        <v>20</v>
      </c>
      <c r="V4" s="49" t="s">
        <v>21</v>
      </c>
      <c r="W4" s="269" t="s">
        <v>52</v>
      </c>
      <c r="X4" s="270"/>
      <c r="Y4" s="271"/>
      <c r="Z4" s="269" t="s">
        <v>368</v>
      </c>
      <c r="AA4" s="270"/>
      <c r="AB4" s="271"/>
      <c r="AC4" s="269" t="s">
        <v>53</v>
      </c>
      <c r="AD4" s="270"/>
      <c r="AE4" s="271"/>
      <c r="AF4" s="49" t="s">
        <v>54</v>
      </c>
    </row>
    <row r="5" spans="2:32" ht="18" customHeight="1" thickBot="1" x14ac:dyDescent="0.35">
      <c r="B5" s="146" t="s">
        <v>315</v>
      </c>
      <c r="C5" s="78" t="s">
        <v>366</v>
      </c>
      <c r="D5" s="46">
        <v>4.8</v>
      </c>
      <c r="E5" s="37">
        <v>0.85</v>
      </c>
      <c r="F5" s="38">
        <v>1.1499999999999999</v>
      </c>
      <c r="G5" s="39">
        <v>1.1000000000000001</v>
      </c>
      <c r="H5" s="46">
        <v>1.75</v>
      </c>
      <c r="I5" s="46">
        <v>0.375</v>
      </c>
      <c r="L5" s="122" t="s">
        <v>48</v>
      </c>
      <c r="M5" s="46">
        <v>1.4999999999999999E-2</v>
      </c>
      <c r="P5" s="49" t="s">
        <v>32</v>
      </c>
      <c r="Q5" s="49" t="s">
        <v>369</v>
      </c>
      <c r="R5" s="49" t="s">
        <v>372</v>
      </c>
      <c r="U5" s="263" t="s">
        <v>22</v>
      </c>
      <c r="V5" s="101" t="s">
        <v>281</v>
      </c>
      <c r="W5" s="252">
        <v>8</v>
      </c>
      <c r="X5" s="253"/>
      <c r="Y5" s="254"/>
      <c r="Z5" s="252">
        <v>72</v>
      </c>
      <c r="AA5" s="253"/>
      <c r="AB5" s="254"/>
      <c r="AC5" s="252">
        <v>2.5</v>
      </c>
      <c r="AD5" s="253"/>
      <c r="AE5" s="254"/>
      <c r="AF5" s="46">
        <v>0.35</v>
      </c>
    </row>
    <row r="6" spans="2:32" ht="18" customHeight="1" x14ac:dyDescent="0.3">
      <c r="B6" s="66" t="s">
        <v>282</v>
      </c>
      <c r="C6" s="75" t="s">
        <v>366</v>
      </c>
      <c r="D6" s="47">
        <v>4.8499999999999996</v>
      </c>
      <c r="E6" s="51">
        <v>0.85</v>
      </c>
      <c r="F6" s="2">
        <v>1.25</v>
      </c>
      <c r="G6" s="52">
        <v>1.1000000000000001</v>
      </c>
      <c r="H6" s="47">
        <v>0.75</v>
      </c>
      <c r="I6" s="47">
        <v>0.375</v>
      </c>
      <c r="L6" s="123" t="s">
        <v>47</v>
      </c>
      <c r="M6" s="47">
        <v>0.01</v>
      </c>
      <c r="P6" s="160" t="s">
        <v>281</v>
      </c>
      <c r="Q6" s="161" t="s">
        <v>37</v>
      </c>
      <c r="R6" s="85">
        <v>0.03</v>
      </c>
      <c r="U6" s="264"/>
      <c r="V6" s="88" t="s">
        <v>9</v>
      </c>
      <c r="W6" s="249">
        <v>8</v>
      </c>
      <c r="X6" s="250"/>
      <c r="Y6" s="251"/>
      <c r="Z6" s="249">
        <v>72</v>
      </c>
      <c r="AA6" s="250"/>
      <c r="AB6" s="251"/>
      <c r="AC6" s="249">
        <v>1</v>
      </c>
      <c r="AD6" s="250"/>
      <c r="AE6" s="251"/>
      <c r="AF6" s="47">
        <v>0.2</v>
      </c>
    </row>
    <row r="7" spans="2:32" ht="18" customHeight="1" x14ac:dyDescent="0.3">
      <c r="B7" s="73" t="s">
        <v>284</v>
      </c>
      <c r="C7" s="75" t="s">
        <v>366</v>
      </c>
      <c r="D7" s="47">
        <v>4.8</v>
      </c>
      <c r="E7" s="51">
        <v>0.85</v>
      </c>
      <c r="F7" s="2">
        <v>1.1000000000000001</v>
      </c>
      <c r="G7" s="52">
        <v>1</v>
      </c>
      <c r="H7" s="47">
        <v>0.7</v>
      </c>
      <c r="I7" s="47">
        <v>0.35</v>
      </c>
      <c r="L7" s="124" t="s">
        <v>44</v>
      </c>
      <c r="M7" s="47">
        <v>5.0000000000000001E-3</v>
      </c>
      <c r="P7" s="299" t="s">
        <v>9</v>
      </c>
      <c r="Q7" s="149" t="s">
        <v>321</v>
      </c>
      <c r="R7" s="47">
        <v>8.0000000000000002E-3</v>
      </c>
      <c r="U7" s="264"/>
      <c r="V7" s="147" t="s">
        <v>317</v>
      </c>
      <c r="W7" s="249">
        <v>8</v>
      </c>
      <c r="X7" s="250"/>
      <c r="Y7" s="251"/>
      <c r="Z7" s="249">
        <v>72</v>
      </c>
      <c r="AA7" s="250"/>
      <c r="AB7" s="251"/>
      <c r="AC7" s="249">
        <v>2</v>
      </c>
      <c r="AD7" s="250"/>
      <c r="AE7" s="251"/>
      <c r="AF7" s="47">
        <v>0.3</v>
      </c>
    </row>
    <row r="8" spans="2:32" ht="18" customHeight="1" thickBot="1" x14ac:dyDescent="0.35">
      <c r="B8" s="142" t="s">
        <v>283</v>
      </c>
      <c r="C8" s="75" t="s">
        <v>367</v>
      </c>
      <c r="D8" s="47">
        <v>2.2999999999999998</v>
      </c>
      <c r="E8" s="51">
        <v>0.55000000000000004</v>
      </c>
      <c r="F8" s="2">
        <v>0.45</v>
      </c>
      <c r="G8" s="52">
        <v>0.5</v>
      </c>
      <c r="H8" s="47">
        <v>0.4</v>
      </c>
      <c r="I8" s="47">
        <v>0.09</v>
      </c>
      <c r="L8" s="125" t="s">
        <v>45</v>
      </c>
      <c r="M8" s="126">
        <v>0</v>
      </c>
      <c r="P8" s="300"/>
      <c r="Q8" s="109" t="s">
        <v>37</v>
      </c>
      <c r="R8" s="47">
        <v>8.0000000000000002E-3</v>
      </c>
      <c r="U8" s="265"/>
      <c r="V8" s="148" t="s">
        <v>318</v>
      </c>
      <c r="W8" s="237">
        <v>8</v>
      </c>
      <c r="X8" s="238"/>
      <c r="Y8" s="239"/>
      <c r="Z8" s="237">
        <v>72</v>
      </c>
      <c r="AA8" s="238"/>
      <c r="AB8" s="239"/>
      <c r="AC8" s="237">
        <v>1</v>
      </c>
      <c r="AD8" s="238"/>
      <c r="AE8" s="239"/>
      <c r="AF8" s="48">
        <v>0.2</v>
      </c>
    </row>
    <row r="9" spans="2:32" ht="18" customHeight="1" x14ac:dyDescent="0.3">
      <c r="B9" s="139" t="s">
        <v>286</v>
      </c>
      <c r="C9" s="79" t="s">
        <v>288</v>
      </c>
      <c r="D9" s="47">
        <v>1.5</v>
      </c>
      <c r="E9" s="51">
        <v>0.25</v>
      </c>
      <c r="F9" s="2">
        <v>0.5</v>
      </c>
      <c r="G9" s="52">
        <v>0.5</v>
      </c>
      <c r="H9" s="47">
        <v>0.3</v>
      </c>
      <c r="I9" s="47">
        <v>3.5000000000000003E-2</v>
      </c>
      <c r="P9" s="301" t="s">
        <v>373</v>
      </c>
      <c r="Q9" s="149" t="s">
        <v>321</v>
      </c>
      <c r="R9" s="47">
        <v>1.2E-2</v>
      </c>
      <c r="U9" s="266" t="s">
        <v>23</v>
      </c>
      <c r="V9" s="102" t="s">
        <v>288</v>
      </c>
      <c r="W9" s="37">
        <v>10</v>
      </c>
      <c r="X9" s="38">
        <v>5</v>
      </c>
      <c r="Y9" s="39">
        <v>5</v>
      </c>
      <c r="Z9" s="37">
        <v>72</v>
      </c>
      <c r="AA9" s="38">
        <v>14</v>
      </c>
      <c r="AB9" s="39">
        <v>58</v>
      </c>
      <c r="AC9" s="37">
        <v>2</v>
      </c>
      <c r="AD9" s="38">
        <v>1</v>
      </c>
      <c r="AE9" s="39">
        <v>1</v>
      </c>
      <c r="AF9" s="46">
        <v>0.2</v>
      </c>
    </row>
    <row r="10" spans="2:32" ht="18" customHeight="1" thickBot="1" x14ac:dyDescent="0.35">
      <c r="B10" s="75" t="s">
        <v>287</v>
      </c>
      <c r="C10" s="79" t="s">
        <v>288</v>
      </c>
      <c r="D10" s="47">
        <v>1.5</v>
      </c>
      <c r="E10" s="51">
        <v>0.25</v>
      </c>
      <c r="F10" s="2">
        <v>0.5</v>
      </c>
      <c r="G10" s="52">
        <v>0.5</v>
      </c>
      <c r="H10" s="47">
        <v>0.3</v>
      </c>
      <c r="I10" s="47">
        <v>3.5000000000000003E-2</v>
      </c>
      <c r="P10" s="302"/>
      <c r="Q10" s="109" t="s">
        <v>37</v>
      </c>
      <c r="R10" s="47">
        <v>1.2E-2</v>
      </c>
      <c r="U10" s="267"/>
      <c r="V10" s="90" t="s">
        <v>9</v>
      </c>
      <c r="W10" s="51">
        <v>9</v>
      </c>
      <c r="X10" s="2">
        <v>4</v>
      </c>
      <c r="Y10" s="52">
        <v>5</v>
      </c>
      <c r="Z10" s="51">
        <v>70</v>
      </c>
      <c r="AA10" s="2">
        <v>12</v>
      </c>
      <c r="AB10" s="52">
        <v>58</v>
      </c>
      <c r="AC10" s="51">
        <v>1.25</v>
      </c>
      <c r="AD10" s="2">
        <v>0.6</v>
      </c>
      <c r="AE10" s="52">
        <v>0.75</v>
      </c>
      <c r="AF10" s="47">
        <v>0.1</v>
      </c>
    </row>
    <row r="11" spans="2:32" ht="18" customHeight="1" thickBot="1" x14ac:dyDescent="0.35">
      <c r="B11" s="140" t="s">
        <v>285</v>
      </c>
      <c r="C11" s="79" t="s">
        <v>288</v>
      </c>
      <c r="D11" s="47">
        <v>1.5</v>
      </c>
      <c r="E11" s="51">
        <v>0.25</v>
      </c>
      <c r="F11" s="2">
        <v>0.5</v>
      </c>
      <c r="G11" s="52">
        <v>0.5</v>
      </c>
      <c r="H11" s="47">
        <v>0.3</v>
      </c>
      <c r="I11" s="47">
        <v>3.5000000000000003E-2</v>
      </c>
      <c r="L11" s="247" t="s">
        <v>401</v>
      </c>
      <c r="M11" s="248"/>
      <c r="P11" s="303" t="s">
        <v>38</v>
      </c>
      <c r="Q11" s="304"/>
      <c r="R11" s="305"/>
      <c r="U11" s="267"/>
      <c r="V11" s="91" t="s">
        <v>319</v>
      </c>
      <c r="W11" s="51">
        <v>11</v>
      </c>
      <c r="X11" s="2">
        <v>6</v>
      </c>
      <c r="Y11" s="52">
        <v>5</v>
      </c>
      <c r="Z11" s="51">
        <v>76</v>
      </c>
      <c r="AA11" s="2">
        <v>18</v>
      </c>
      <c r="AB11" s="52">
        <v>58</v>
      </c>
      <c r="AC11" s="51">
        <v>2</v>
      </c>
      <c r="AD11" s="2">
        <v>1</v>
      </c>
      <c r="AE11" s="52">
        <v>1</v>
      </c>
      <c r="AF11" s="47">
        <v>0.2</v>
      </c>
    </row>
    <row r="12" spans="2:32" ht="18" customHeight="1" thickBot="1" x14ac:dyDescent="0.35">
      <c r="B12" s="63" t="s">
        <v>1</v>
      </c>
      <c r="C12" s="80" t="s">
        <v>9</v>
      </c>
      <c r="D12" s="47">
        <v>0.45</v>
      </c>
      <c r="E12" s="51">
        <v>0.17499999999999999</v>
      </c>
      <c r="F12" s="2">
        <v>0.35</v>
      </c>
      <c r="G12" s="52">
        <v>0.35</v>
      </c>
      <c r="H12" s="47">
        <v>8.5000000000000006E-2</v>
      </c>
      <c r="I12" s="47">
        <v>1.2500000000000001E-2</v>
      </c>
      <c r="L12" s="237" t="s">
        <v>271</v>
      </c>
      <c r="M12" s="239"/>
      <c r="P12" s="49" t="s">
        <v>32</v>
      </c>
      <c r="Q12" s="49" t="s">
        <v>369</v>
      </c>
      <c r="R12" s="49" t="s">
        <v>372</v>
      </c>
      <c r="U12" s="268"/>
      <c r="V12" s="103" t="s">
        <v>24</v>
      </c>
      <c r="W12" s="40">
        <v>11</v>
      </c>
      <c r="X12" s="41">
        <v>6</v>
      </c>
      <c r="Y12" s="42">
        <v>5</v>
      </c>
      <c r="Z12" s="40">
        <v>75</v>
      </c>
      <c r="AA12" s="41">
        <v>17</v>
      </c>
      <c r="AB12" s="42">
        <v>58</v>
      </c>
      <c r="AC12" s="40">
        <v>1.25</v>
      </c>
      <c r="AD12" s="41">
        <v>0.6</v>
      </c>
      <c r="AE12" s="42">
        <v>0.75</v>
      </c>
      <c r="AF12" s="48">
        <v>0.1</v>
      </c>
    </row>
    <row r="13" spans="2:32" ht="18" customHeight="1" thickBot="1" x14ac:dyDescent="0.35">
      <c r="B13" s="64" t="s">
        <v>2</v>
      </c>
      <c r="C13" s="80" t="s">
        <v>9</v>
      </c>
      <c r="D13" s="47">
        <v>0.45</v>
      </c>
      <c r="E13" s="51">
        <v>0.17499999999999999</v>
      </c>
      <c r="F13" s="2">
        <v>0.35</v>
      </c>
      <c r="G13" s="52">
        <v>0.35</v>
      </c>
      <c r="H13" s="47">
        <v>8.5000000000000006E-2</v>
      </c>
      <c r="I13" s="47">
        <v>1.2500000000000001E-2</v>
      </c>
      <c r="L13" s="49" t="s">
        <v>8</v>
      </c>
      <c r="M13" s="49" t="s">
        <v>51</v>
      </c>
      <c r="P13" s="162" t="s">
        <v>288</v>
      </c>
      <c r="Q13" s="163" t="s">
        <v>370</v>
      </c>
      <c r="R13" s="85">
        <v>2.5000000000000001E-2</v>
      </c>
      <c r="U13" s="257" t="s">
        <v>25</v>
      </c>
      <c r="V13" s="104" t="s">
        <v>9</v>
      </c>
      <c r="W13" s="252">
        <v>9</v>
      </c>
      <c r="X13" s="253"/>
      <c r="Y13" s="254"/>
      <c r="Z13" s="252">
        <v>36</v>
      </c>
      <c r="AA13" s="253"/>
      <c r="AB13" s="254"/>
      <c r="AC13" s="252">
        <v>0.35</v>
      </c>
      <c r="AD13" s="253"/>
      <c r="AE13" s="254"/>
      <c r="AF13" s="46" t="s">
        <v>383</v>
      </c>
    </row>
    <row r="14" spans="2:32" ht="18" customHeight="1" x14ac:dyDescent="0.3">
      <c r="B14" s="65" t="s">
        <v>3</v>
      </c>
      <c r="C14" s="80" t="s">
        <v>9</v>
      </c>
      <c r="D14" s="47">
        <v>0.45</v>
      </c>
      <c r="E14" s="51">
        <v>0.17499999999999999</v>
      </c>
      <c r="F14" s="2">
        <v>0.35</v>
      </c>
      <c r="G14" s="52">
        <v>0.35</v>
      </c>
      <c r="H14" s="47">
        <v>8.5000000000000006E-2</v>
      </c>
      <c r="I14" s="47">
        <v>1.2500000000000001E-2</v>
      </c>
      <c r="L14" s="75" t="s">
        <v>366</v>
      </c>
      <c r="M14" s="46">
        <v>0.09</v>
      </c>
      <c r="P14" s="306" t="s">
        <v>9</v>
      </c>
      <c r="Q14" s="163" t="s">
        <v>370</v>
      </c>
      <c r="R14" s="85">
        <v>8.0000000000000002E-3</v>
      </c>
      <c r="U14" s="258"/>
      <c r="V14" s="93" t="s">
        <v>10</v>
      </c>
      <c r="W14" s="249">
        <v>9</v>
      </c>
      <c r="X14" s="250"/>
      <c r="Y14" s="251"/>
      <c r="Z14" s="249">
        <v>36</v>
      </c>
      <c r="AA14" s="250"/>
      <c r="AB14" s="251"/>
      <c r="AC14" s="249">
        <v>0.35</v>
      </c>
      <c r="AD14" s="250"/>
      <c r="AE14" s="251"/>
      <c r="AF14" s="47" t="s">
        <v>383</v>
      </c>
    </row>
    <row r="15" spans="2:32" ht="18" customHeight="1" thickBot="1" x14ac:dyDescent="0.35">
      <c r="B15" s="66" t="s">
        <v>4</v>
      </c>
      <c r="C15" s="80" t="s">
        <v>9</v>
      </c>
      <c r="D15" s="47">
        <v>0.45</v>
      </c>
      <c r="E15" s="51">
        <v>0.17499999999999999</v>
      </c>
      <c r="F15" s="2">
        <v>0.35</v>
      </c>
      <c r="G15" s="52">
        <v>0.35</v>
      </c>
      <c r="H15" s="47">
        <v>8.5000000000000006E-2</v>
      </c>
      <c r="I15" s="47">
        <v>1.2500000000000001E-2</v>
      </c>
      <c r="L15" s="75" t="s">
        <v>367</v>
      </c>
      <c r="M15" s="47">
        <v>7.0000000000000007E-2</v>
      </c>
      <c r="P15" s="307"/>
      <c r="Q15" s="109" t="s">
        <v>37</v>
      </c>
      <c r="R15" s="47">
        <v>8.0000000000000002E-3</v>
      </c>
      <c r="U15" s="259"/>
      <c r="V15" s="148" t="s">
        <v>320</v>
      </c>
      <c r="W15" s="237">
        <v>9</v>
      </c>
      <c r="X15" s="238"/>
      <c r="Y15" s="239"/>
      <c r="Z15" s="237">
        <v>36</v>
      </c>
      <c r="AA15" s="238"/>
      <c r="AB15" s="239"/>
      <c r="AC15" s="237">
        <v>0.35</v>
      </c>
      <c r="AD15" s="238"/>
      <c r="AE15" s="239"/>
      <c r="AF15" s="48" t="s">
        <v>383</v>
      </c>
    </row>
    <row r="16" spans="2:32" ht="18" customHeight="1" x14ac:dyDescent="0.3">
      <c r="B16" s="67" t="s">
        <v>289</v>
      </c>
      <c r="C16" s="81" t="s">
        <v>10</v>
      </c>
      <c r="D16" s="47">
        <v>0.21</v>
      </c>
      <c r="E16" s="51">
        <v>0.08</v>
      </c>
      <c r="F16" s="2">
        <v>0.02</v>
      </c>
      <c r="G16" s="52">
        <v>0.15</v>
      </c>
      <c r="H16" s="47">
        <v>0.05</v>
      </c>
      <c r="I16" s="47">
        <v>0.01</v>
      </c>
      <c r="L16" s="79" t="s">
        <v>288</v>
      </c>
      <c r="M16" s="47">
        <v>5.5E-2</v>
      </c>
      <c r="P16" s="91" t="s">
        <v>319</v>
      </c>
      <c r="Q16" s="109" t="s">
        <v>37</v>
      </c>
      <c r="R16" s="47">
        <v>1.4E-2</v>
      </c>
      <c r="U16" s="308" t="s">
        <v>26</v>
      </c>
      <c r="V16" s="105" t="s">
        <v>11</v>
      </c>
      <c r="W16" s="252">
        <v>11</v>
      </c>
      <c r="X16" s="253"/>
      <c r="Y16" s="254"/>
      <c r="Z16" s="252">
        <v>22</v>
      </c>
      <c r="AA16" s="253"/>
      <c r="AB16" s="254"/>
      <c r="AC16" s="252">
        <v>0.85</v>
      </c>
      <c r="AD16" s="253"/>
      <c r="AE16" s="254"/>
      <c r="AF16" s="46">
        <v>0.15</v>
      </c>
    </row>
    <row r="17" spans="2:32" ht="18" customHeight="1" thickBot="1" x14ac:dyDescent="0.35">
      <c r="B17" s="68" t="s">
        <v>291</v>
      </c>
      <c r="C17" s="81" t="s">
        <v>10</v>
      </c>
      <c r="D17" s="47">
        <v>0.21</v>
      </c>
      <c r="E17" s="51">
        <v>0.08</v>
      </c>
      <c r="F17" s="2">
        <v>0.02</v>
      </c>
      <c r="G17" s="52">
        <v>0.15</v>
      </c>
      <c r="H17" s="47">
        <v>0.05</v>
      </c>
      <c r="I17" s="47">
        <v>0.01</v>
      </c>
      <c r="L17" s="80" t="s">
        <v>9</v>
      </c>
      <c r="M17" s="47">
        <v>3.5000000000000003E-2</v>
      </c>
      <c r="P17" s="103" t="s">
        <v>24</v>
      </c>
      <c r="Q17" s="164" t="s">
        <v>370</v>
      </c>
      <c r="R17" s="48">
        <v>0.01</v>
      </c>
      <c r="U17" s="309"/>
      <c r="V17" s="106" t="s">
        <v>12</v>
      </c>
      <c r="W17" s="237">
        <v>11</v>
      </c>
      <c r="X17" s="238"/>
      <c r="Y17" s="239"/>
      <c r="Z17" s="237">
        <v>22</v>
      </c>
      <c r="AA17" s="238"/>
      <c r="AB17" s="239"/>
      <c r="AC17" s="237">
        <v>0.7</v>
      </c>
      <c r="AD17" s="238"/>
      <c r="AE17" s="239"/>
      <c r="AF17" s="48">
        <v>0.15</v>
      </c>
    </row>
    <row r="18" spans="2:32" ht="18" customHeight="1" thickBot="1" x14ac:dyDescent="0.35">
      <c r="B18" s="64" t="s">
        <v>334</v>
      </c>
      <c r="C18" s="81" t="s">
        <v>10</v>
      </c>
      <c r="D18" s="47">
        <v>0.21</v>
      </c>
      <c r="E18" s="51">
        <v>0.08</v>
      </c>
      <c r="F18" s="2">
        <v>0.02</v>
      </c>
      <c r="G18" s="52">
        <v>0.15</v>
      </c>
      <c r="H18" s="47">
        <v>0.05</v>
      </c>
      <c r="I18" s="47">
        <v>0.01</v>
      </c>
      <c r="L18" s="81" t="s">
        <v>10</v>
      </c>
      <c r="M18" s="47">
        <v>2.5000000000000001E-2</v>
      </c>
      <c r="P18" s="310" t="s">
        <v>39</v>
      </c>
      <c r="Q18" s="311"/>
      <c r="R18" s="312"/>
      <c r="U18" s="313" t="s">
        <v>27</v>
      </c>
      <c r="V18" s="107" t="s">
        <v>28</v>
      </c>
      <c r="W18" s="252">
        <v>7</v>
      </c>
      <c r="X18" s="253"/>
      <c r="Y18" s="254"/>
      <c r="Z18" s="252">
        <v>93</v>
      </c>
      <c r="AA18" s="253"/>
      <c r="AB18" s="254"/>
      <c r="AC18" s="252">
        <v>1.25</v>
      </c>
      <c r="AD18" s="253"/>
      <c r="AE18" s="254"/>
      <c r="AF18" s="46">
        <v>0.2</v>
      </c>
    </row>
    <row r="19" spans="2:32" ht="18" customHeight="1" thickBot="1" x14ac:dyDescent="0.35">
      <c r="B19" s="60" t="s">
        <v>290</v>
      </c>
      <c r="C19" s="81" t="s">
        <v>10</v>
      </c>
      <c r="D19" s="47">
        <v>0.21</v>
      </c>
      <c r="E19" s="51">
        <v>0.08</v>
      </c>
      <c r="F19" s="2">
        <v>0.02</v>
      </c>
      <c r="G19" s="52">
        <v>0.15</v>
      </c>
      <c r="H19" s="47">
        <v>0.05</v>
      </c>
      <c r="I19" s="47">
        <v>0.01</v>
      </c>
      <c r="L19" s="82" t="s">
        <v>320</v>
      </c>
      <c r="M19" s="47">
        <v>0.05</v>
      </c>
      <c r="P19" s="49" t="s">
        <v>32</v>
      </c>
      <c r="Q19" s="49" t="s">
        <v>369</v>
      </c>
      <c r="R19" s="49" t="s">
        <v>372</v>
      </c>
      <c r="U19" s="314"/>
      <c r="V19" s="96" t="s">
        <v>29</v>
      </c>
      <c r="W19" s="249">
        <v>7</v>
      </c>
      <c r="X19" s="250"/>
      <c r="Y19" s="251"/>
      <c r="Z19" s="249">
        <v>93</v>
      </c>
      <c r="AA19" s="250"/>
      <c r="AB19" s="251"/>
      <c r="AC19" s="249">
        <v>1</v>
      </c>
      <c r="AD19" s="250"/>
      <c r="AE19" s="251"/>
      <c r="AF19" s="47">
        <v>0.2</v>
      </c>
    </row>
    <row r="20" spans="2:32" ht="18" customHeight="1" thickBot="1" x14ac:dyDescent="0.35">
      <c r="B20" s="69" t="s">
        <v>298</v>
      </c>
      <c r="C20" s="82" t="s">
        <v>320</v>
      </c>
      <c r="D20" s="47">
        <v>0.8</v>
      </c>
      <c r="E20" s="51">
        <v>0.25</v>
      </c>
      <c r="F20" s="2">
        <v>0.3</v>
      </c>
      <c r="G20" s="52">
        <v>0.5</v>
      </c>
      <c r="H20" s="47">
        <v>0.2</v>
      </c>
      <c r="I20" s="47">
        <v>2.5000000000000001E-2</v>
      </c>
      <c r="L20" s="137" t="s">
        <v>11</v>
      </c>
      <c r="M20" s="47">
        <v>3.5000000000000003E-2</v>
      </c>
      <c r="P20" s="299" t="s">
        <v>9</v>
      </c>
      <c r="Q20" s="149" t="s">
        <v>321</v>
      </c>
      <c r="R20" s="85">
        <v>6.0000000000000001E-3</v>
      </c>
      <c r="U20" s="315"/>
      <c r="V20" s="106" t="s">
        <v>12</v>
      </c>
      <c r="W20" s="237">
        <v>7</v>
      </c>
      <c r="X20" s="238"/>
      <c r="Y20" s="239"/>
      <c r="Z20" s="237">
        <v>93</v>
      </c>
      <c r="AA20" s="238"/>
      <c r="AB20" s="239"/>
      <c r="AC20" s="237">
        <v>1</v>
      </c>
      <c r="AD20" s="238"/>
      <c r="AE20" s="239"/>
      <c r="AF20" s="48">
        <v>0.2</v>
      </c>
    </row>
    <row r="21" spans="2:32" ht="18" customHeight="1" thickBot="1" x14ac:dyDescent="0.35">
      <c r="B21" s="71" t="s">
        <v>293</v>
      </c>
      <c r="C21" s="82" t="s">
        <v>320</v>
      </c>
      <c r="D21" s="47">
        <v>0.8</v>
      </c>
      <c r="E21" s="51">
        <v>0.25</v>
      </c>
      <c r="F21" s="2">
        <v>0.3</v>
      </c>
      <c r="G21" s="52">
        <v>0.5</v>
      </c>
      <c r="H21" s="47">
        <v>0.2</v>
      </c>
      <c r="I21" s="47">
        <v>2.5000000000000001E-2</v>
      </c>
      <c r="L21" s="84" t="s">
        <v>12</v>
      </c>
      <c r="M21" s="48">
        <v>2.5000000000000001E-2</v>
      </c>
      <c r="P21" s="300"/>
      <c r="Q21" s="109" t="s">
        <v>37</v>
      </c>
      <c r="R21" s="85">
        <v>6.0000000000000001E-3</v>
      </c>
      <c r="U21" s="322" t="s">
        <v>31</v>
      </c>
      <c r="V21" s="108" t="s">
        <v>10</v>
      </c>
      <c r="W21" s="252">
        <v>9</v>
      </c>
      <c r="X21" s="253"/>
      <c r="Y21" s="254"/>
      <c r="Z21" s="252">
        <v>24</v>
      </c>
      <c r="AA21" s="253"/>
      <c r="AB21" s="254"/>
      <c r="AC21" s="252">
        <v>0.2</v>
      </c>
      <c r="AD21" s="253"/>
      <c r="AE21" s="254"/>
      <c r="AF21" s="46" t="s">
        <v>383</v>
      </c>
    </row>
    <row r="22" spans="2:32" ht="18" customHeight="1" x14ac:dyDescent="0.3">
      <c r="B22" s="63" t="s">
        <v>294</v>
      </c>
      <c r="C22" s="82" t="s">
        <v>320</v>
      </c>
      <c r="D22" s="47">
        <v>0.8</v>
      </c>
      <c r="E22" s="51">
        <v>0.25</v>
      </c>
      <c r="F22" s="2">
        <v>0.3</v>
      </c>
      <c r="G22" s="52">
        <v>0.5</v>
      </c>
      <c r="H22" s="47">
        <v>0.2</v>
      </c>
      <c r="I22" s="47">
        <v>2.5000000000000001E-2</v>
      </c>
      <c r="P22" s="93" t="s">
        <v>10</v>
      </c>
      <c r="Q22" s="109" t="s">
        <v>37</v>
      </c>
      <c r="R22" s="47">
        <v>6.0000000000000001E-3</v>
      </c>
      <c r="U22" s="323"/>
      <c r="V22" s="97" t="s">
        <v>11</v>
      </c>
      <c r="W22" s="249">
        <v>9</v>
      </c>
      <c r="X22" s="250"/>
      <c r="Y22" s="251"/>
      <c r="Z22" s="249">
        <v>24</v>
      </c>
      <c r="AA22" s="250"/>
      <c r="AB22" s="251"/>
      <c r="AC22" s="249">
        <v>0.2</v>
      </c>
      <c r="AD22" s="250"/>
      <c r="AE22" s="251"/>
      <c r="AF22" s="47" t="s">
        <v>383</v>
      </c>
    </row>
    <row r="23" spans="2:32" ht="18" customHeight="1" thickBot="1" x14ac:dyDescent="0.35">
      <c r="B23" s="181" t="s">
        <v>295</v>
      </c>
      <c r="C23" s="82" t="s">
        <v>320</v>
      </c>
      <c r="D23" s="47">
        <v>0.8</v>
      </c>
      <c r="E23" s="51">
        <v>0.25</v>
      </c>
      <c r="F23" s="2">
        <v>0.3</v>
      </c>
      <c r="G23" s="52">
        <v>0.5</v>
      </c>
      <c r="H23" s="47">
        <v>0.2</v>
      </c>
      <c r="I23" s="47">
        <v>2.5000000000000001E-2</v>
      </c>
      <c r="P23" s="330" t="s">
        <v>320</v>
      </c>
      <c r="Q23" s="149" t="s">
        <v>321</v>
      </c>
      <c r="R23" s="47">
        <v>7.0000000000000001E-3</v>
      </c>
      <c r="U23" s="324"/>
      <c r="V23" s="98" t="s">
        <v>12</v>
      </c>
      <c r="W23" s="237">
        <v>9</v>
      </c>
      <c r="X23" s="238"/>
      <c r="Y23" s="239"/>
      <c r="Z23" s="237">
        <v>24</v>
      </c>
      <c r="AA23" s="238"/>
      <c r="AB23" s="239"/>
      <c r="AC23" s="237">
        <v>0.2</v>
      </c>
      <c r="AD23" s="238"/>
      <c r="AE23" s="239"/>
      <c r="AF23" s="48" t="s">
        <v>383</v>
      </c>
    </row>
    <row r="24" spans="2:32" ht="18" customHeight="1" thickBot="1" x14ac:dyDescent="0.35">
      <c r="B24" s="72" t="s">
        <v>296</v>
      </c>
      <c r="C24" s="82" t="s">
        <v>320</v>
      </c>
      <c r="D24" s="47">
        <v>0.8</v>
      </c>
      <c r="E24" s="51">
        <v>0.25</v>
      </c>
      <c r="F24" s="2">
        <v>0.3</v>
      </c>
      <c r="G24" s="52">
        <v>0.5</v>
      </c>
      <c r="H24" s="47">
        <v>0.2</v>
      </c>
      <c r="I24" s="47">
        <v>2.5000000000000001E-2</v>
      </c>
      <c r="P24" s="331"/>
      <c r="Q24" s="114" t="s">
        <v>37</v>
      </c>
      <c r="R24" s="48">
        <v>7.0000000000000001E-3</v>
      </c>
    </row>
    <row r="25" spans="2:32" ht="18" customHeight="1" thickBot="1" x14ac:dyDescent="0.35">
      <c r="B25" s="66" t="s">
        <v>297</v>
      </c>
      <c r="C25" s="82" t="s">
        <v>320</v>
      </c>
      <c r="D25" s="47">
        <v>0.8</v>
      </c>
      <c r="E25" s="51">
        <v>0.25</v>
      </c>
      <c r="F25" s="2">
        <v>0.3</v>
      </c>
      <c r="G25" s="52">
        <v>0.5</v>
      </c>
      <c r="H25" s="47">
        <v>0.2</v>
      </c>
      <c r="I25" s="47">
        <v>2.5000000000000001E-2</v>
      </c>
      <c r="P25" s="316" t="s">
        <v>41</v>
      </c>
      <c r="Q25" s="317"/>
      <c r="R25" s="318"/>
    </row>
    <row r="26" spans="2:32" ht="18" customHeight="1" thickBot="1" x14ac:dyDescent="0.35">
      <c r="B26" s="59" t="s">
        <v>299</v>
      </c>
      <c r="C26" s="137" t="s">
        <v>11</v>
      </c>
      <c r="D26" s="47">
        <v>0.6</v>
      </c>
      <c r="E26" s="51">
        <v>0.17499999999999999</v>
      </c>
      <c r="F26" s="2">
        <v>0.22500000000000001</v>
      </c>
      <c r="G26" s="52">
        <v>0.4</v>
      </c>
      <c r="H26" s="47">
        <v>0.125</v>
      </c>
      <c r="I26" s="47">
        <v>1.4999999999999999E-2</v>
      </c>
      <c r="P26" s="49" t="s">
        <v>32</v>
      </c>
      <c r="Q26" s="49" t="s">
        <v>369</v>
      </c>
      <c r="R26" s="49" t="s">
        <v>372</v>
      </c>
    </row>
    <row r="27" spans="2:32" ht="18" customHeight="1" x14ac:dyDescent="0.3">
      <c r="B27" s="69" t="s">
        <v>308</v>
      </c>
      <c r="C27" s="137" t="s">
        <v>11</v>
      </c>
      <c r="D27" s="47">
        <v>0.6</v>
      </c>
      <c r="E27" s="51">
        <v>0.17499999999999999</v>
      </c>
      <c r="F27" s="2">
        <v>0.22500000000000001</v>
      </c>
      <c r="G27" s="52">
        <v>0.4</v>
      </c>
      <c r="H27" s="47">
        <v>0.125</v>
      </c>
      <c r="I27" s="47">
        <v>1.4999999999999999E-2</v>
      </c>
      <c r="P27" s="165" t="s">
        <v>11</v>
      </c>
      <c r="Q27" s="166" t="s">
        <v>321</v>
      </c>
      <c r="R27" s="85">
        <v>7.0000000000000001E-3</v>
      </c>
    </row>
    <row r="28" spans="2:32" ht="18" customHeight="1" thickBot="1" x14ac:dyDescent="0.35">
      <c r="B28" s="70" t="s">
        <v>305</v>
      </c>
      <c r="C28" s="137" t="s">
        <v>11</v>
      </c>
      <c r="D28" s="47">
        <v>0.6</v>
      </c>
      <c r="E28" s="51">
        <v>0.17499999999999999</v>
      </c>
      <c r="F28" s="2">
        <v>0.22500000000000001</v>
      </c>
      <c r="G28" s="52">
        <v>0.4</v>
      </c>
      <c r="H28" s="47">
        <v>0.125</v>
      </c>
      <c r="I28" s="47">
        <v>1.4999999999999999E-2</v>
      </c>
      <c r="P28" s="106" t="s">
        <v>12</v>
      </c>
      <c r="Q28" s="114" t="s">
        <v>37</v>
      </c>
      <c r="R28" s="48">
        <v>5.0000000000000001E-3</v>
      </c>
    </row>
    <row r="29" spans="2:32" ht="18" customHeight="1" thickBot="1" x14ac:dyDescent="0.35">
      <c r="B29" s="138" t="s">
        <v>307</v>
      </c>
      <c r="C29" s="137" t="s">
        <v>11</v>
      </c>
      <c r="D29" s="47">
        <v>0.6</v>
      </c>
      <c r="E29" s="51">
        <v>0.17499999999999999</v>
      </c>
      <c r="F29" s="2">
        <v>0.22500000000000001</v>
      </c>
      <c r="G29" s="52">
        <v>0.4</v>
      </c>
      <c r="H29" s="47">
        <v>0.125</v>
      </c>
      <c r="I29" s="47">
        <v>1.4999999999999999E-2</v>
      </c>
      <c r="P29" s="319" t="s">
        <v>42</v>
      </c>
      <c r="Q29" s="320"/>
      <c r="R29" s="321"/>
    </row>
    <row r="30" spans="2:32" ht="18" customHeight="1" thickBot="1" x14ac:dyDescent="0.35">
      <c r="B30" s="71" t="s">
        <v>302</v>
      </c>
      <c r="C30" s="137" t="s">
        <v>11</v>
      </c>
      <c r="D30" s="47">
        <v>0.6</v>
      </c>
      <c r="E30" s="51">
        <v>0.17499999999999999</v>
      </c>
      <c r="F30" s="2">
        <v>0.22500000000000001</v>
      </c>
      <c r="G30" s="52">
        <v>0.4</v>
      </c>
      <c r="H30" s="47">
        <v>0.125</v>
      </c>
      <c r="I30" s="47">
        <v>1.4999999999999999E-2</v>
      </c>
      <c r="P30" s="49" t="s">
        <v>32</v>
      </c>
      <c r="Q30" s="49" t="s">
        <v>369</v>
      </c>
      <c r="R30" s="49" t="s">
        <v>372</v>
      </c>
    </row>
    <row r="31" spans="2:32" ht="18" customHeight="1" x14ac:dyDescent="0.3">
      <c r="B31" s="63" t="s">
        <v>300</v>
      </c>
      <c r="C31" s="137" t="s">
        <v>11</v>
      </c>
      <c r="D31" s="47">
        <v>0.6</v>
      </c>
      <c r="E31" s="51">
        <v>0.17499999999999999</v>
      </c>
      <c r="F31" s="2">
        <v>0.22500000000000001</v>
      </c>
      <c r="G31" s="52">
        <v>0.4</v>
      </c>
      <c r="H31" s="47">
        <v>0.125</v>
      </c>
      <c r="I31" s="47">
        <v>1.4999999999999999E-2</v>
      </c>
      <c r="P31" s="325" t="s">
        <v>28</v>
      </c>
      <c r="Q31" s="163" t="s">
        <v>370</v>
      </c>
      <c r="R31" s="85">
        <v>7.0000000000000001E-3</v>
      </c>
    </row>
    <row r="32" spans="2:32" ht="18" customHeight="1" x14ac:dyDescent="0.3">
      <c r="B32" s="181" t="s">
        <v>301</v>
      </c>
      <c r="C32" s="137" t="s">
        <v>11</v>
      </c>
      <c r="D32" s="47">
        <v>0.6</v>
      </c>
      <c r="E32" s="51">
        <v>0.17499999999999999</v>
      </c>
      <c r="F32" s="2">
        <v>0.22500000000000001</v>
      </c>
      <c r="G32" s="52">
        <v>0.4</v>
      </c>
      <c r="H32" s="47">
        <v>0.125</v>
      </c>
      <c r="I32" s="47">
        <v>1.4999999999999999E-2</v>
      </c>
      <c r="P32" s="326"/>
      <c r="Q32" s="166" t="s">
        <v>321</v>
      </c>
      <c r="R32" s="85">
        <v>7.0000000000000001E-3</v>
      </c>
    </row>
    <row r="33" spans="2:18" ht="18" customHeight="1" x14ac:dyDescent="0.3">
      <c r="B33" s="62" t="s">
        <v>304</v>
      </c>
      <c r="C33" s="137" t="s">
        <v>11</v>
      </c>
      <c r="D33" s="47">
        <v>0.6</v>
      </c>
      <c r="E33" s="51">
        <v>0.17499999999999999</v>
      </c>
      <c r="F33" s="2">
        <v>0.22500000000000001</v>
      </c>
      <c r="G33" s="52">
        <v>0.4</v>
      </c>
      <c r="H33" s="47">
        <v>0.125</v>
      </c>
      <c r="I33" s="47">
        <v>1.4999999999999999E-2</v>
      </c>
      <c r="P33" s="96" t="s">
        <v>29</v>
      </c>
      <c r="Q33" s="149" t="s">
        <v>321</v>
      </c>
      <c r="R33" s="47">
        <v>7.0000000000000001E-3</v>
      </c>
    </row>
    <row r="34" spans="2:18" ht="18" customHeight="1" thickBot="1" x14ac:dyDescent="0.35">
      <c r="B34" s="73" t="s">
        <v>5</v>
      </c>
      <c r="C34" s="137" t="s">
        <v>11</v>
      </c>
      <c r="D34" s="47">
        <v>0.6</v>
      </c>
      <c r="E34" s="51">
        <v>0.17499999999999999</v>
      </c>
      <c r="F34" s="2">
        <v>0.22500000000000001</v>
      </c>
      <c r="G34" s="52">
        <v>0.4</v>
      </c>
      <c r="H34" s="47">
        <v>0.125</v>
      </c>
      <c r="I34" s="47">
        <v>1.4999999999999999E-2</v>
      </c>
      <c r="P34" s="106" t="s">
        <v>12</v>
      </c>
      <c r="Q34" s="114" t="s">
        <v>37</v>
      </c>
      <c r="R34" s="48">
        <v>5.0000000000000001E-3</v>
      </c>
    </row>
    <row r="35" spans="2:18" ht="18" customHeight="1" thickBot="1" x14ac:dyDescent="0.35">
      <c r="B35" s="61" t="s">
        <v>306</v>
      </c>
      <c r="C35" s="137" t="s">
        <v>11</v>
      </c>
      <c r="D35" s="47">
        <v>0.6</v>
      </c>
      <c r="E35" s="51">
        <v>0.17499999999999999</v>
      </c>
      <c r="F35" s="2">
        <v>0.22500000000000001</v>
      </c>
      <c r="G35" s="52">
        <v>0.4</v>
      </c>
      <c r="H35" s="47">
        <v>0.125</v>
      </c>
      <c r="I35" s="47">
        <v>1.4999999999999999E-2</v>
      </c>
      <c r="P35" s="327" t="s">
        <v>43</v>
      </c>
      <c r="Q35" s="328"/>
      <c r="R35" s="329"/>
    </row>
    <row r="36" spans="2:18" ht="18" customHeight="1" thickBot="1" x14ac:dyDescent="0.35">
      <c r="B36" s="74" t="s">
        <v>303</v>
      </c>
      <c r="C36" s="137" t="s">
        <v>11</v>
      </c>
      <c r="D36" s="47">
        <v>0.6</v>
      </c>
      <c r="E36" s="51">
        <v>0.17499999999999999</v>
      </c>
      <c r="F36" s="2">
        <v>0.22500000000000001</v>
      </c>
      <c r="G36" s="52">
        <v>0.4</v>
      </c>
      <c r="H36" s="47">
        <v>0.125</v>
      </c>
      <c r="I36" s="47">
        <v>1.4999999999999999E-2</v>
      </c>
      <c r="P36" s="49" t="s">
        <v>32</v>
      </c>
      <c r="Q36" s="49" t="s">
        <v>369</v>
      </c>
      <c r="R36" s="49" t="s">
        <v>372</v>
      </c>
    </row>
    <row r="37" spans="2:18" ht="18" customHeight="1" x14ac:dyDescent="0.3">
      <c r="B37" s="66" t="s">
        <v>6</v>
      </c>
      <c r="C37" s="137" t="s">
        <v>11</v>
      </c>
      <c r="D37" s="47">
        <v>0.6</v>
      </c>
      <c r="E37" s="51">
        <v>0.17499999999999999</v>
      </c>
      <c r="F37" s="2">
        <v>0.22500000000000001</v>
      </c>
      <c r="G37" s="52">
        <v>0.4</v>
      </c>
      <c r="H37" s="47">
        <v>0.125</v>
      </c>
      <c r="I37" s="47">
        <v>1.4999999999999999E-2</v>
      </c>
      <c r="P37" s="167" t="s">
        <v>10</v>
      </c>
      <c r="Q37" s="109" t="s">
        <v>37</v>
      </c>
      <c r="R37" s="85">
        <v>6.0000000000000001E-3</v>
      </c>
    </row>
    <row r="38" spans="2:18" ht="18" customHeight="1" x14ac:dyDescent="0.3">
      <c r="B38" s="69" t="s">
        <v>390</v>
      </c>
      <c r="C38" s="83" t="s">
        <v>12</v>
      </c>
      <c r="D38" s="47">
        <v>0.4</v>
      </c>
      <c r="E38" s="51">
        <v>0.2</v>
      </c>
      <c r="F38" s="2">
        <v>0.17499999999999999</v>
      </c>
      <c r="G38" s="52">
        <v>0.25</v>
      </c>
      <c r="H38" s="47">
        <v>7.4999999999999997E-2</v>
      </c>
      <c r="I38" s="47">
        <v>0.01</v>
      </c>
      <c r="P38" s="92" t="s">
        <v>11</v>
      </c>
      <c r="Q38" s="109" t="s">
        <v>37</v>
      </c>
      <c r="R38" s="47">
        <v>5.0000000000000001E-3</v>
      </c>
    </row>
    <row r="39" spans="2:18" ht="18" customHeight="1" thickBot="1" x14ac:dyDescent="0.35">
      <c r="B39" s="71" t="s">
        <v>316</v>
      </c>
      <c r="C39" s="83" t="s">
        <v>12</v>
      </c>
      <c r="D39" s="47">
        <v>0.4</v>
      </c>
      <c r="E39" s="51">
        <v>0.2</v>
      </c>
      <c r="F39" s="2">
        <v>0.17499999999999999</v>
      </c>
      <c r="G39" s="52">
        <v>0.25</v>
      </c>
      <c r="H39" s="47">
        <v>7.4999999999999997E-2</v>
      </c>
      <c r="I39" s="47">
        <v>0.01</v>
      </c>
      <c r="P39" s="98" t="s">
        <v>12</v>
      </c>
      <c r="Q39" s="114" t="s">
        <v>37</v>
      </c>
      <c r="R39" s="48">
        <v>5.0000000000000001E-3</v>
      </c>
    </row>
    <row r="40" spans="2:18" ht="18" customHeight="1" x14ac:dyDescent="0.3">
      <c r="B40" s="72" t="s">
        <v>7</v>
      </c>
      <c r="C40" s="83" t="s">
        <v>12</v>
      </c>
      <c r="D40" s="47">
        <v>0.4</v>
      </c>
      <c r="E40" s="51">
        <v>0.2</v>
      </c>
      <c r="F40" s="2">
        <v>0.17499999999999999</v>
      </c>
      <c r="G40" s="52">
        <v>0.25</v>
      </c>
      <c r="H40" s="47">
        <v>7.4999999999999997E-2</v>
      </c>
      <c r="I40" s="47">
        <v>0.01</v>
      </c>
    </row>
    <row r="41" spans="2:18" ht="18" customHeight="1" x14ac:dyDescent="0.3">
      <c r="B41" s="68" t="s">
        <v>313</v>
      </c>
      <c r="C41" s="83" t="s">
        <v>12</v>
      </c>
      <c r="D41" s="47">
        <v>0.4</v>
      </c>
      <c r="E41" s="51">
        <v>0.2</v>
      </c>
      <c r="F41" s="2">
        <v>0.17499999999999999</v>
      </c>
      <c r="G41" s="52">
        <v>0.25</v>
      </c>
      <c r="H41" s="47">
        <v>7.4999999999999997E-2</v>
      </c>
      <c r="I41" s="47">
        <v>0.01</v>
      </c>
    </row>
    <row r="42" spans="2:18" ht="18" customHeight="1" x14ac:dyDescent="0.3">
      <c r="B42" s="76" t="s">
        <v>311</v>
      </c>
      <c r="C42" s="83" t="s">
        <v>12</v>
      </c>
      <c r="D42" s="47">
        <v>0.4</v>
      </c>
      <c r="E42" s="51">
        <v>0.2</v>
      </c>
      <c r="F42" s="2">
        <v>0.17499999999999999</v>
      </c>
      <c r="G42" s="52">
        <v>0.25</v>
      </c>
      <c r="H42" s="47">
        <v>7.4999999999999997E-2</v>
      </c>
      <c r="I42" s="47">
        <v>0.01</v>
      </c>
    </row>
    <row r="43" spans="2:18" ht="18" customHeight="1" x14ac:dyDescent="0.3">
      <c r="B43" s="77" t="s">
        <v>314</v>
      </c>
      <c r="C43" s="83" t="s">
        <v>12</v>
      </c>
      <c r="D43" s="47">
        <v>0.4</v>
      </c>
      <c r="E43" s="51">
        <v>0.2</v>
      </c>
      <c r="F43" s="2">
        <v>0.17499999999999999</v>
      </c>
      <c r="G43" s="52">
        <v>0.25</v>
      </c>
      <c r="H43" s="47">
        <v>7.4999999999999997E-2</v>
      </c>
      <c r="I43" s="47">
        <v>0.01</v>
      </c>
    </row>
    <row r="44" spans="2:18" ht="18" customHeight="1" x14ac:dyDescent="0.3">
      <c r="B44" s="61" t="s">
        <v>310</v>
      </c>
      <c r="C44" s="83" t="s">
        <v>12</v>
      </c>
      <c r="D44" s="47">
        <v>0.4</v>
      </c>
      <c r="E44" s="51">
        <v>0.2</v>
      </c>
      <c r="F44" s="2">
        <v>0.17499999999999999</v>
      </c>
      <c r="G44" s="52">
        <v>0.25</v>
      </c>
      <c r="H44" s="47">
        <v>7.4999999999999997E-2</v>
      </c>
      <c r="I44" s="47">
        <v>0.01</v>
      </c>
    </row>
    <row r="45" spans="2:18" ht="18" customHeight="1" x14ac:dyDescent="0.3">
      <c r="B45" s="75" t="s">
        <v>312</v>
      </c>
      <c r="C45" s="83" t="s">
        <v>12</v>
      </c>
      <c r="D45" s="47">
        <v>0.4</v>
      </c>
      <c r="E45" s="51">
        <v>0.2</v>
      </c>
      <c r="F45" s="2">
        <v>0.17499999999999999</v>
      </c>
      <c r="G45" s="52">
        <v>0.25</v>
      </c>
      <c r="H45" s="47">
        <v>7.4999999999999997E-2</v>
      </c>
      <c r="I45" s="47">
        <v>0.01</v>
      </c>
    </row>
    <row r="46" spans="2:18" ht="18" customHeight="1" thickBot="1" x14ac:dyDescent="0.35">
      <c r="B46" s="66" t="s">
        <v>309</v>
      </c>
      <c r="C46" s="83" t="s">
        <v>12</v>
      </c>
      <c r="D46" s="47">
        <v>0.4</v>
      </c>
      <c r="E46" s="51">
        <v>0.2</v>
      </c>
      <c r="F46" s="2">
        <v>0.17499999999999999</v>
      </c>
      <c r="G46" s="52">
        <v>0.25</v>
      </c>
      <c r="H46" s="47">
        <v>7.4999999999999997E-2</v>
      </c>
      <c r="I46" s="47">
        <v>0.01</v>
      </c>
    </row>
    <row r="47" spans="2:18" ht="18" customHeight="1" x14ac:dyDescent="0.3">
      <c r="B47" s="179"/>
      <c r="C47" s="179"/>
      <c r="D47" s="179"/>
      <c r="E47" s="179"/>
      <c r="F47" s="179"/>
      <c r="G47" s="179"/>
      <c r="H47" s="179"/>
      <c r="I47" s="179"/>
    </row>
  </sheetData>
  <mergeCells count="83">
    <mergeCell ref="P31:P32"/>
    <mergeCell ref="P35:R35"/>
    <mergeCell ref="P23:P24"/>
    <mergeCell ref="W23:Y23"/>
    <mergeCell ref="Z23:AB23"/>
    <mergeCell ref="AC23:AE23"/>
    <mergeCell ref="P25:R25"/>
    <mergeCell ref="P29:R29"/>
    <mergeCell ref="Z20:AB20"/>
    <mergeCell ref="AC20:AE20"/>
    <mergeCell ref="U21:U23"/>
    <mergeCell ref="W21:Y21"/>
    <mergeCell ref="Z21:AB21"/>
    <mergeCell ref="AC21:AE21"/>
    <mergeCell ref="W22:Y22"/>
    <mergeCell ref="Z22:AB22"/>
    <mergeCell ref="AC22:AE22"/>
    <mergeCell ref="P18:R18"/>
    <mergeCell ref="U18:U20"/>
    <mergeCell ref="W18:Y18"/>
    <mergeCell ref="Z18:AB18"/>
    <mergeCell ref="AC18:AE18"/>
    <mergeCell ref="W19:Y19"/>
    <mergeCell ref="Z19:AB19"/>
    <mergeCell ref="AC19:AE19"/>
    <mergeCell ref="P20:P21"/>
    <mergeCell ref="W20:Y20"/>
    <mergeCell ref="U16:U17"/>
    <mergeCell ref="W16:Y16"/>
    <mergeCell ref="Z16:AB16"/>
    <mergeCell ref="AC16:AE16"/>
    <mergeCell ref="W17:Y17"/>
    <mergeCell ref="Z17:AB17"/>
    <mergeCell ref="AC17:AE17"/>
    <mergeCell ref="W13:Y13"/>
    <mergeCell ref="Z13:AB13"/>
    <mergeCell ref="AC13:AE13"/>
    <mergeCell ref="P14:P15"/>
    <mergeCell ref="W14:Y14"/>
    <mergeCell ref="Z14:AB14"/>
    <mergeCell ref="AC14:AE14"/>
    <mergeCell ref="W15:Y15"/>
    <mergeCell ref="Z15:AB15"/>
    <mergeCell ref="AC15:AE15"/>
    <mergeCell ref="U13:U15"/>
    <mergeCell ref="AC6:AE6"/>
    <mergeCell ref="P9:P10"/>
    <mergeCell ref="U9:U12"/>
    <mergeCell ref="L11:M11"/>
    <mergeCell ref="P11:R11"/>
    <mergeCell ref="L12:M12"/>
    <mergeCell ref="W4:Y4"/>
    <mergeCell ref="Z4:AB4"/>
    <mergeCell ref="AC4:AE4"/>
    <mergeCell ref="P7:P8"/>
    <mergeCell ref="W7:Y7"/>
    <mergeCell ref="Z7:AB7"/>
    <mergeCell ref="AC7:AE7"/>
    <mergeCell ref="W8:Y8"/>
    <mergeCell ref="Z8:AB8"/>
    <mergeCell ref="AC8:AE8"/>
    <mergeCell ref="U5:U8"/>
    <mergeCell ref="W5:Y5"/>
    <mergeCell ref="Z5:AB5"/>
    <mergeCell ref="AC5:AE5"/>
    <mergeCell ref="W6:Y6"/>
    <mergeCell ref="Z6:AB6"/>
    <mergeCell ref="B2:I2"/>
    <mergeCell ref="L2:M2"/>
    <mergeCell ref="P2:R2"/>
    <mergeCell ref="U2:AF2"/>
    <mergeCell ref="B3:B4"/>
    <mergeCell ref="C3:C4"/>
    <mergeCell ref="D3:D4"/>
    <mergeCell ref="E3:E4"/>
    <mergeCell ref="F3:F4"/>
    <mergeCell ref="G3:G4"/>
    <mergeCell ref="H3:H4"/>
    <mergeCell ref="I3:I4"/>
    <mergeCell ref="L3:M3"/>
    <mergeCell ref="P3:R3"/>
    <mergeCell ref="U3:AF3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10C1-0438-4083-A9B2-CA5BF132FEB0}">
  <dimension ref="B1:AF41"/>
  <sheetViews>
    <sheetView workbookViewId="0">
      <selection activeCell="B5" sqref="B5:B10"/>
    </sheetView>
  </sheetViews>
  <sheetFormatPr defaultColWidth="8.88671875" defaultRowHeight="18" customHeight="1" x14ac:dyDescent="0.3"/>
  <cols>
    <col min="1" max="1" width="3.33203125" style="1" customWidth="1"/>
    <col min="2" max="2" width="34.44140625" style="1" customWidth="1"/>
    <col min="3" max="3" width="8.88671875" style="1"/>
    <col min="4" max="7" width="12.21875" style="1" customWidth="1"/>
    <col min="8" max="8" width="12.21875" style="1" hidden="1" customWidth="1"/>
    <col min="9" max="9" width="12.21875" style="1" customWidth="1"/>
    <col min="10" max="10" width="3.33203125" style="1" customWidth="1"/>
    <col min="11" max="11" width="3.77734375" style="1" customWidth="1"/>
    <col min="12" max="12" width="11.109375" style="1" customWidth="1"/>
    <col min="13" max="13" width="12.21875" style="1" customWidth="1"/>
    <col min="14" max="14" width="3.77734375" style="1" customWidth="1"/>
    <col min="15" max="15" width="3.33203125" style="1" customWidth="1"/>
    <col min="16" max="16" width="10.5546875" style="1" customWidth="1"/>
    <col min="17" max="17" width="13.33203125" style="1" customWidth="1"/>
    <col min="18" max="18" width="16.6640625" style="1" customWidth="1"/>
    <col min="19" max="20" width="3.33203125" style="1" customWidth="1"/>
    <col min="21" max="21" width="24.44140625" style="1" customWidth="1"/>
    <col min="22" max="22" width="11.109375" style="1" customWidth="1"/>
    <col min="23" max="28" width="5.5546875" style="1" customWidth="1"/>
    <col min="29" max="31" width="5" style="1" customWidth="1"/>
    <col min="32" max="32" width="14.44140625" style="1" customWidth="1"/>
    <col min="33" max="34" width="3.33203125" style="1" customWidth="1"/>
    <col min="35" max="16384" width="8.88671875" style="1"/>
  </cols>
  <sheetData>
    <row r="1" spans="2:32" ht="18" customHeight="1" thickBot="1" x14ac:dyDescent="0.35"/>
    <row r="2" spans="2:32" ht="18" customHeight="1" thickBot="1" x14ac:dyDescent="0.35">
      <c r="B2" s="272" t="s">
        <v>401</v>
      </c>
      <c r="C2" s="273"/>
      <c r="D2" s="273"/>
      <c r="E2" s="273"/>
      <c r="F2" s="273"/>
      <c r="G2" s="273"/>
      <c r="H2" s="273"/>
      <c r="I2" s="274"/>
      <c r="L2" s="247" t="s">
        <v>401</v>
      </c>
      <c r="M2" s="248"/>
      <c r="P2" s="281" t="s">
        <v>401</v>
      </c>
      <c r="Q2" s="282"/>
      <c r="R2" s="283"/>
      <c r="U2" s="252" t="s">
        <v>401</v>
      </c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4"/>
    </row>
    <row r="3" spans="2:32" ht="18" customHeight="1" thickBot="1" x14ac:dyDescent="0.35">
      <c r="B3" s="279" t="s">
        <v>0</v>
      </c>
      <c r="C3" s="279" t="s">
        <v>8</v>
      </c>
      <c r="D3" s="277" t="s">
        <v>13</v>
      </c>
      <c r="E3" s="275" t="s">
        <v>14</v>
      </c>
      <c r="F3" s="277" t="s">
        <v>15</v>
      </c>
      <c r="G3" s="277" t="s">
        <v>16</v>
      </c>
      <c r="H3" s="275" t="s">
        <v>17</v>
      </c>
      <c r="I3" s="277" t="s">
        <v>18</v>
      </c>
      <c r="L3" s="237" t="s">
        <v>250</v>
      </c>
      <c r="M3" s="239"/>
      <c r="P3" s="284" t="s">
        <v>371</v>
      </c>
      <c r="Q3" s="285"/>
      <c r="R3" s="286"/>
      <c r="U3" s="237" t="s">
        <v>19</v>
      </c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9"/>
    </row>
    <row r="4" spans="2:32" ht="18" customHeight="1" thickBot="1" x14ac:dyDescent="0.35">
      <c r="B4" s="280"/>
      <c r="C4" s="280"/>
      <c r="D4" s="278"/>
      <c r="E4" s="276"/>
      <c r="F4" s="278"/>
      <c r="G4" s="278"/>
      <c r="H4" s="276"/>
      <c r="I4" s="278"/>
      <c r="L4" s="49" t="s">
        <v>49</v>
      </c>
      <c r="M4" s="49" t="s">
        <v>50</v>
      </c>
      <c r="P4" s="287" t="s">
        <v>22</v>
      </c>
      <c r="Q4" s="288"/>
      <c r="R4" s="289"/>
      <c r="U4" s="49" t="s">
        <v>20</v>
      </c>
      <c r="V4" s="49" t="s">
        <v>21</v>
      </c>
      <c r="W4" s="269" t="s">
        <v>52</v>
      </c>
      <c r="X4" s="270"/>
      <c r="Y4" s="271"/>
      <c r="Z4" s="269" t="s">
        <v>368</v>
      </c>
      <c r="AA4" s="270"/>
      <c r="AB4" s="271"/>
      <c r="AC4" s="269" t="s">
        <v>53</v>
      </c>
      <c r="AD4" s="270"/>
      <c r="AE4" s="271"/>
      <c r="AF4" s="49" t="s">
        <v>54</v>
      </c>
    </row>
    <row r="5" spans="2:32" ht="18" customHeight="1" thickBot="1" x14ac:dyDescent="0.35">
      <c r="B5" s="200" t="s">
        <v>405</v>
      </c>
      <c r="C5" s="78" t="s">
        <v>367</v>
      </c>
      <c r="D5" s="46">
        <v>1.7</v>
      </c>
      <c r="E5" s="54">
        <v>0.25</v>
      </c>
      <c r="F5" s="46">
        <v>0.45</v>
      </c>
      <c r="G5" s="46">
        <v>0.5</v>
      </c>
      <c r="H5" s="54"/>
      <c r="I5" s="46">
        <v>0.09</v>
      </c>
      <c r="L5" s="122" t="s">
        <v>48</v>
      </c>
      <c r="M5" s="46">
        <v>1.4999999999999999E-2</v>
      </c>
      <c r="P5" s="49" t="s">
        <v>32</v>
      </c>
      <c r="Q5" s="49" t="s">
        <v>369</v>
      </c>
      <c r="R5" s="49" t="s">
        <v>372</v>
      </c>
      <c r="U5" s="263" t="s">
        <v>22</v>
      </c>
      <c r="V5" s="101" t="s">
        <v>281</v>
      </c>
      <c r="W5" s="252">
        <v>8</v>
      </c>
      <c r="X5" s="253"/>
      <c r="Y5" s="254"/>
      <c r="Z5" s="252">
        <v>72</v>
      </c>
      <c r="AA5" s="253"/>
      <c r="AB5" s="254"/>
      <c r="AC5" s="252">
        <v>2.5</v>
      </c>
      <c r="AD5" s="253"/>
      <c r="AE5" s="254"/>
      <c r="AF5" s="46">
        <v>0.35</v>
      </c>
    </row>
    <row r="6" spans="2:32" ht="18" customHeight="1" x14ac:dyDescent="0.3">
      <c r="B6" s="197" t="s">
        <v>283</v>
      </c>
      <c r="C6" s="75" t="s">
        <v>367</v>
      </c>
      <c r="D6" s="47">
        <v>2</v>
      </c>
      <c r="E6" s="28">
        <v>0.45</v>
      </c>
      <c r="F6" s="47">
        <v>0.45</v>
      </c>
      <c r="G6" s="47">
        <v>0.5</v>
      </c>
      <c r="H6" s="28">
        <v>0.4</v>
      </c>
      <c r="I6" s="47">
        <v>0.09</v>
      </c>
      <c r="L6" s="123" t="s">
        <v>47</v>
      </c>
      <c r="M6" s="47">
        <v>0.01</v>
      </c>
      <c r="P6" s="229" t="s">
        <v>281</v>
      </c>
      <c r="Q6" s="213" t="s">
        <v>321</v>
      </c>
      <c r="R6" s="46">
        <v>0.03</v>
      </c>
      <c r="U6" s="264"/>
      <c r="V6" s="88" t="s">
        <v>9</v>
      </c>
      <c r="W6" s="249">
        <v>8</v>
      </c>
      <c r="X6" s="250"/>
      <c r="Y6" s="251"/>
      <c r="Z6" s="249">
        <v>72</v>
      </c>
      <c r="AA6" s="250"/>
      <c r="AB6" s="251"/>
      <c r="AC6" s="249">
        <v>1</v>
      </c>
      <c r="AD6" s="250"/>
      <c r="AE6" s="251"/>
      <c r="AF6" s="47">
        <v>0.2</v>
      </c>
    </row>
    <row r="7" spans="2:32" ht="18" customHeight="1" thickBot="1" x14ac:dyDescent="0.35">
      <c r="B7" s="198" t="s">
        <v>406</v>
      </c>
      <c r="C7" s="75" t="s">
        <v>367</v>
      </c>
      <c r="D7" s="47">
        <v>1.65</v>
      </c>
      <c r="E7" s="28">
        <v>0.45</v>
      </c>
      <c r="F7" s="47">
        <v>0.45</v>
      </c>
      <c r="G7" s="47">
        <v>0.5</v>
      </c>
      <c r="H7" s="28"/>
      <c r="I7" s="47">
        <v>0.09</v>
      </c>
      <c r="L7" s="124" t="s">
        <v>44</v>
      </c>
      <c r="M7" s="47">
        <v>5.0000000000000001E-3</v>
      </c>
      <c r="P7" s="230"/>
      <c r="Q7" s="114" t="s">
        <v>37</v>
      </c>
      <c r="R7" s="48">
        <v>0.03</v>
      </c>
      <c r="U7" s="264"/>
      <c r="V7" s="147" t="s">
        <v>317</v>
      </c>
      <c r="W7" s="249">
        <v>8</v>
      </c>
      <c r="X7" s="250"/>
      <c r="Y7" s="251"/>
      <c r="Z7" s="249">
        <v>72</v>
      </c>
      <c r="AA7" s="250"/>
      <c r="AB7" s="251"/>
      <c r="AC7" s="249">
        <v>2</v>
      </c>
      <c r="AD7" s="250"/>
      <c r="AE7" s="251"/>
      <c r="AF7" s="47">
        <v>0.3</v>
      </c>
    </row>
    <row r="8" spans="2:32" ht="18" customHeight="1" thickBot="1" x14ac:dyDescent="0.35">
      <c r="B8" s="67" t="s">
        <v>407</v>
      </c>
      <c r="C8" s="75" t="s">
        <v>367</v>
      </c>
      <c r="D8" s="47">
        <v>1.9</v>
      </c>
      <c r="E8" s="28">
        <v>0.25</v>
      </c>
      <c r="F8" s="47">
        <v>0.45</v>
      </c>
      <c r="G8" s="47">
        <v>0.5</v>
      </c>
      <c r="H8" s="28"/>
      <c r="I8" s="47">
        <v>0.09</v>
      </c>
      <c r="L8" s="125" t="s">
        <v>45</v>
      </c>
      <c r="M8" s="126">
        <v>0</v>
      </c>
      <c r="P8" s="245" t="s">
        <v>9</v>
      </c>
      <c r="Q8" s="213" t="s">
        <v>321</v>
      </c>
      <c r="R8" s="46">
        <v>8.0000000000000002E-3</v>
      </c>
      <c r="U8" s="265"/>
      <c r="V8" s="148" t="s">
        <v>318</v>
      </c>
      <c r="W8" s="237">
        <v>8</v>
      </c>
      <c r="X8" s="238"/>
      <c r="Y8" s="239"/>
      <c r="Z8" s="237">
        <v>72</v>
      </c>
      <c r="AA8" s="238"/>
      <c r="AB8" s="239"/>
      <c r="AC8" s="237">
        <v>1</v>
      </c>
      <c r="AD8" s="238"/>
      <c r="AE8" s="239"/>
      <c r="AF8" s="48">
        <v>0.2</v>
      </c>
    </row>
    <row r="9" spans="2:32" ht="18" customHeight="1" thickBot="1" x14ac:dyDescent="0.35">
      <c r="B9" s="66" t="s">
        <v>282</v>
      </c>
      <c r="C9" s="75" t="s">
        <v>366</v>
      </c>
      <c r="D9" s="47">
        <v>4.8499999999999996</v>
      </c>
      <c r="E9" s="28">
        <v>0.75</v>
      </c>
      <c r="F9" s="47">
        <v>1.25</v>
      </c>
      <c r="G9" s="47">
        <v>1.1000000000000001</v>
      </c>
      <c r="H9" s="28">
        <v>0.75</v>
      </c>
      <c r="I9" s="47">
        <v>0.375</v>
      </c>
      <c r="P9" s="246"/>
      <c r="Q9" s="114" t="s">
        <v>37</v>
      </c>
      <c r="R9" s="48">
        <v>8.0000000000000002E-3</v>
      </c>
      <c r="U9" s="266" t="s">
        <v>23</v>
      </c>
      <c r="V9" s="102" t="s">
        <v>288</v>
      </c>
      <c r="W9" s="37">
        <v>10</v>
      </c>
      <c r="X9" s="38">
        <v>5</v>
      </c>
      <c r="Y9" s="39">
        <v>5</v>
      </c>
      <c r="Z9" s="37">
        <v>72</v>
      </c>
      <c r="AA9" s="38">
        <v>14</v>
      </c>
      <c r="AB9" s="39">
        <v>58</v>
      </c>
      <c r="AC9" s="37">
        <v>2</v>
      </c>
      <c r="AD9" s="38">
        <v>1</v>
      </c>
      <c r="AE9" s="39">
        <v>1</v>
      </c>
      <c r="AF9" s="46">
        <v>0.2</v>
      </c>
    </row>
    <row r="10" spans="2:32" ht="18" customHeight="1" thickBot="1" x14ac:dyDescent="0.35">
      <c r="B10" s="201" t="s">
        <v>408</v>
      </c>
      <c r="C10" s="202" t="s">
        <v>366</v>
      </c>
      <c r="D10" s="48">
        <v>4.8</v>
      </c>
      <c r="E10" s="57">
        <v>0.75</v>
      </c>
      <c r="F10" s="48">
        <v>1.1499999999999999</v>
      </c>
      <c r="G10" s="48">
        <v>1</v>
      </c>
      <c r="H10" s="57">
        <v>0.7</v>
      </c>
      <c r="I10" s="48">
        <v>0.35</v>
      </c>
      <c r="P10" s="255" t="s">
        <v>373</v>
      </c>
      <c r="Q10" s="213" t="s">
        <v>321</v>
      </c>
      <c r="R10" s="46">
        <v>1.2E-2</v>
      </c>
      <c r="U10" s="267"/>
      <c r="V10" s="90" t="s">
        <v>9</v>
      </c>
      <c r="W10" s="51">
        <v>9</v>
      </c>
      <c r="X10" s="2">
        <v>4</v>
      </c>
      <c r="Y10" s="52">
        <v>5</v>
      </c>
      <c r="Z10" s="51">
        <v>70</v>
      </c>
      <c r="AA10" s="2">
        <v>12</v>
      </c>
      <c r="AB10" s="52">
        <v>58</v>
      </c>
      <c r="AC10" s="51">
        <v>1.25</v>
      </c>
      <c r="AD10" s="2">
        <v>0.6</v>
      </c>
      <c r="AE10" s="52">
        <v>0.75</v>
      </c>
      <c r="AF10" s="47">
        <v>0.1</v>
      </c>
    </row>
    <row r="11" spans="2:32" ht="18" customHeight="1" thickBot="1" x14ac:dyDescent="0.35">
      <c r="B11" s="203" t="s">
        <v>409</v>
      </c>
      <c r="C11" s="134" t="s">
        <v>288</v>
      </c>
      <c r="D11" s="46">
        <v>1.5</v>
      </c>
      <c r="E11" s="54">
        <v>0.25</v>
      </c>
      <c r="F11" s="46">
        <v>0.5</v>
      </c>
      <c r="G11" s="46">
        <v>0.5</v>
      </c>
      <c r="H11" s="54">
        <v>0.3</v>
      </c>
      <c r="I11" s="46">
        <v>3.5000000000000003E-2</v>
      </c>
      <c r="L11" s="247" t="s">
        <v>401</v>
      </c>
      <c r="M11" s="248"/>
      <c r="P11" s="256"/>
      <c r="Q11" s="114" t="s">
        <v>37</v>
      </c>
      <c r="R11" s="48">
        <v>1.2E-2</v>
      </c>
      <c r="U11" s="267"/>
      <c r="V11" s="91" t="s">
        <v>319</v>
      </c>
      <c r="W11" s="51">
        <v>11</v>
      </c>
      <c r="X11" s="2">
        <v>6</v>
      </c>
      <c r="Y11" s="52">
        <v>5</v>
      </c>
      <c r="Z11" s="51">
        <v>76</v>
      </c>
      <c r="AA11" s="2">
        <v>18</v>
      </c>
      <c r="AB11" s="52">
        <v>58</v>
      </c>
      <c r="AC11" s="51">
        <v>2</v>
      </c>
      <c r="AD11" s="2">
        <v>1</v>
      </c>
      <c r="AE11" s="52">
        <v>1</v>
      </c>
      <c r="AF11" s="47">
        <v>0.2</v>
      </c>
    </row>
    <row r="12" spans="2:32" ht="18" customHeight="1" thickBot="1" x14ac:dyDescent="0.35">
      <c r="B12" s="139" t="s">
        <v>286</v>
      </c>
      <c r="C12" s="79" t="s">
        <v>288</v>
      </c>
      <c r="D12" s="47">
        <v>1.5</v>
      </c>
      <c r="E12" s="28">
        <v>0.25</v>
      </c>
      <c r="F12" s="47">
        <v>0.5</v>
      </c>
      <c r="G12" s="47">
        <v>0.5</v>
      </c>
      <c r="H12" s="28">
        <v>0.3</v>
      </c>
      <c r="I12" s="47">
        <v>3.5000000000000003E-2</v>
      </c>
      <c r="L12" s="237" t="s">
        <v>271</v>
      </c>
      <c r="M12" s="239"/>
      <c r="P12" s="260" t="s">
        <v>23</v>
      </c>
      <c r="Q12" s="261"/>
      <c r="R12" s="262"/>
      <c r="U12" s="268"/>
      <c r="V12" s="103" t="s">
        <v>24</v>
      </c>
      <c r="W12" s="40">
        <v>11</v>
      </c>
      <c r="X12" s="41">
        <v>6</v>
      </c>
      <c r="Y12" s="42">
        <v>5</v>
      </c>
      <c r="Z12" s="40">
        <v>75</v>
      </c>
      <c r="AA12" s="41">
        <v>17</v>
      </c>
      <c r="AB12" s="42">
        <v>58</v>
      </c>
      <c r="AC12" s="40">
        <v>1.25</v>
      </c>
      <c r="AD12" s="41">
        <v>0.6</v>
      </c>
      <c r="AE12" s="42">
        <v>0.75</v>
      </c>
      <c r="AF12" s="48">
        <v>0.1</v>
      </c>
    </row>
    <row r="13" spans="2:32" ht="18" customHeight="1" thickBot="1" x14ac:dyDescent="0.35">
      <c r="B13" s="75" t="s">
        <v>287</v>
      </c>
      <c r="C13" s="79" t="s">
        <v>288</v>
      </c>
      <c r="D13" s="47">
        <v>1.5</v>
      </c>
      <c r="E13" s="28">
        <v>0.25</v>
      </c>
      <c r="F13" s="47">
        <v>0.5</v>
      </c>
      <c r="G13" s="47">
        <v>0.5</v>
      </c>
      <c r="H13" s="28">
        <v>0.3</v>
      </c>
      <c r="I13" s="47">
        <v>3.5000000000000003E-2</v>
      </c>
      <c r="L13" s="49" t="s">
        <v>8</v>
      </c>
      <c r="M13" s="49" t="s">
        <v>51</v>
      </c>
      <c r="P13" s="49" t="s">
        <v>32</v>
      </c>
      <c r="Q13" s="49" t="s">
        <v>369</v>
      </c>
      <c r="R13" s="49" t="s">
        <v>372</v>
      </c>
      <c r="U13" s="257" t="s">
        <v>25</v>
      </c>
      <c r="V13" s="104" t="s">
        <v>9</v>
      </c>
      <c r="W13" s="252">
        <v>9</v>
      </c>
      <c r="X13" s="253"/>
      <c r="Y13" s="254"/>
      <c r="Z13" s="252">
        <v>36</v>
      </c>
      <c r="AA13" s="253"/>
      <c r="AB13" s="254"/>
      <c r="AC13" s="252">
        <v>0.35</v>
      </c>
      <c r="AD13" s="253"/>
      <c r="AE13" s="254"/>
      <c r="AF13" s="46" t="s">
        <v>383</v>
      </c>
    </row>
    <row r="14" spans="2:32" ht="18" customHeight="1" thickBot="1" x14ac:dyDescent="0.35">
      <c r="B14" s="204" t="s">
        <v>285</v>
      </c>
      <c r="C14" s="135" t="s">
        <v>288</v>
      </c>
      <c r="D14" s="48">
        <v>1.5</v>
      </c>
      <c r="E14" s="57">
        <v>0.25</v>
      </c>
      <c r="F14" s="48">
        <v>0.5</v>
      </c>
      <c r="G14" s="48">
        <v>0.5</v>
      </c>
      <c r="H14" s="57">
        <v>0.3</v>
      </c>
      <c r="I14" s="48">
        <v>3.5000000000000003E-2</v>
      </c>
      <c r="L14" s="75" t="s">
        <v>366</v>
      </c>
      <c r="M14" s="46">
        <v>0.09</v>
      </c>
      <c r="P14" s="231" t="s">
        <v>288</v>
      </c>
      <c r="Q14" s="214" t="s">
        <v>370</v>
      </c>
      <c r="R14" s="46">
        <v>2.5000000000000001E-2</v>
      </c>
      <c r="U14" s="258"/>
      <c r="V14" s="93" t="s">
        <v>10</v>
      </c>
      <c r="W14" s="249">
        <v>9</v>
      </c>
      <c r="X14" s="250"/>
      <c r="Y14" s="251"/>
      <c r="Z14" s="249">
        <v>36</v>
      </c>
      <c r="AA14" s="250"/>
      <c r="AB14" s="251"/>
      <c r="AC14" s="249">
        <v>0.35</v>
      </c>
      <c r="AD14" s="250"/>
      <c r="AE14" s="251"/>
      <c r="AF14" s="47" t="s">
        <v>383</v>
      </c>
    </row>
    <row r="15" spans="2:32" ht="18" customHeight="1" thickBot="1" x14ac:dyDescent="0.35">
      <c r="B15" s="205" t="s">
        <v>1</v>
      </c>
      <c r="C15" s="117" t="s">
        <v>9</v>
      </c>
      <c r="D15" s="46">
        <v>0.45</v>
      </c>
      <c r="E15" s="54">
        <v>0.17499999999999999</v>
      </c>
      <c r="F15" s="46">
        <v>0.35</v>
      </c>
      <c r="G15" s="46">
        <v>0.35</v>
      </c>
      <c r="H15" s="54">
        <v>8.5000000000000006E-2</v>
      </c>
      <c r="I15" s="46">
        <v>1.2500000000000001E-2</v>
      </c>
      <c r="L15" s="75" t="s">
        <v>367</v>
      </c>
      <c r="M15" s="47">
        <v>7.0000000000000007E-2</v>
      </c>
      <c r="P15" s="232"/>
      <c r="Q15" s="114" t="s">
        <v>37</v>
      </c>
      <c r="R15" s="48">
        <v>2.5000000000000001E-2</v>
      </c>
      <c r="U15" s="259"/>
      <c r="V15" s="148" t="s">
        <v>320</v>
      </c>
      <c r="W15" s="237">
        <v>9</v>
      </c>
      <c r="X15" s="238"/>
      <c r="Y15" s="239"/>
      <c r="Z15" s="237">
        <v>36</v>
      </c>
      <c r="AA15" s="238"/>
      <c r="AB15" s="239"/>
      <c r="AC15" s="237">
        <v>0.35</v>
      </c>
      <c r="AD15" s="238"/>
      <c r="AE15" s="239"/>
      <c r="AF15" s="48" t="s">
        <v>383</v>
      </c>
    </row>
    <row r="16" spans="2:32" ht="18" customHeight="1" x14ac:dyDescent="0.3">
      <c r="B16" s="64" t="s">
        <v>2</v>
      </c>
      <c r="C16" s="80" t="s">
        <v>9</v>
      </c>
      <c r="D16" s="47">
        <v>0.45</v>
      </c>
      <c r="E16" s="28">
        <v>0.17499999999999999</v>
      </c>
      <c r="F16" s="47">
        <v>0.35</v>
      </c>
      <c r="G16" s="47">
        <v>0.35</v>
      </c>
      <c r="H16" s="28">
        <v>8.5000000000000006E-2</v>
      </c>
      <c r="I16" s="47">
        <v>1.2500000000000001E-2</v>
      </c>
      <c r="L16" s="79" t="s">
        <v>288</v>
      </c>
      <c r="M16" s="47">
        <v>5.5E-2</v>
      </c>
      <c r="P16" s="240" t="s">
        <v>9</v>
      </c>
      <c r="Q16" s="214" t="s">
        <v>370</v>
      </c>
      <c r="R16" s="46">
        <v>8.0000000000000002E-3</v>
      </c>
    </row>
    <row r="17" spans="2:18" ht="18" customHeight="1" thickBot="1" x14ac:dyDescent="0.35">
      <c r="B17" s="65" t="s">
        <v>3</v>
      </c>
      <c r="C17" s="80" t="s">
        <v>9</v>
      </c>
      <c r="D17" s="47">
        <v>0.45</v>
      </c>
      <c r="E17" s="28">
        <v>0.17499999999999999</v>
      </c>
      <c r="F17" s="47">
        <v>0.35</v>
      </c>
      <c r="G17" s="47">
        <v>0.35</v>
      </c>
      <c r="H17" s="28">
        <v>8.5000000000000006E-2</v>
      </c>
      <c r="I17" s="47">
        <v>1.2500000000000001E-2</v>
      </c>
      <c r="L17" s="80" t="s">
        <v>9</v>
      </c>
      <c r="M17" s="47">
        <v>3.5000000000000003E-2</v>
      </c>
      <c r="P17" s="241"/>
      <c r="Q17" s="114" t="s">
        <v>37</v>
      </c>
      <c r="R17" s="48">
        <v>8.0000000000000002E-3</v>
      </c>
    </row>
    <row r="18" spans="2:18" ht="18" customHeight="1" thickBot="1" x14ac:dyDescent="0.35">
      <c r="B18" s="199" t="s">
        <v>4</v>
      </c>
      <c r="C18" s="206" t="s">
        <v>9</v>
      </c>
      <c r="D18" s="48">
        <v>0.45</v>
      </c>
      <c r="E18" s="57">
        <v>0.17499999999999999</v>
      </c>
      <c r="F18" s="48">
        <v>0.35</v>
      </c>
      <c r="G18" s="48">
        <v>0.35</v>
      </c>
      <c r="H18" s="57">
        <v>8.5000000000000006E-2</v>
      </c>
      <c r="I18" s="48">
        <v>1.2500000000000001E-2</v>
      </c>
      <c r="L18" s="81" t="s">
        <v>10</v>
      </c>
      <c r="M18" s="47">
        <v>2.5000000000000001E-2</v>
      </c>
      <c r="P18" s="233" t="s">
        <v>319</v>
      </c>
      <c r="Q18" s="214" t="s">
        <v>370</v>
      </c>
      <c r="R18" s="46">
        <v>1.4E-2</v>
      </c>
    </row>
    <row r="19" spans="2:18" ht="18" customHeight="1" thickBot="1" x14ac:dyDescent="0.35">
      <c r="B19" s="207" t="s">
        <v>289</v>
      </c>
      <c r="C19" s="121" t="s">
        <v>10</v>
      </c>
      <c r="D19" s="46">
        <v>0.21</v>
      </c>
      <c r="E19" s="54">
        <v>0.08</v>
      </c>
      <c r="F19" s="46">
        <v>0.02</v>
      </c>
      <c r="G19" s="46">
        <v>0.15</v>
      </c>
      <c r="H19" s="54">
        <v>0.05</v>
      </c>
      <c r="I19" s="46">
        <v>0.01</v>
      </c>
      <c r="L19" s="82" t="s">
        <v>320</v>
      </c>
      <c r="M19" s="47">
        <v>0.05</v>
      </c>
      <c r="P19" s="234"/>
      <c r="Q19" s="114" t="s">
        <v>37</v>
      </c>
      <c r="R19" s="48">
        <v>1.4E-2</v>
      </c>
    </row>
    <row r="20" spans="2:18" ht="18" customHeight="1" x14ac:dyDescent="0.3">
      <c r="B20" s="68" t="s">
        <v>291</v>
      </c>
      <c r="C20" s="81" t="s">
        <v>10</v>
      </c>
      <c r="D20" s="47">
        <v>0.21</v>
      </c>
      <c r="E20" s="28">
        <v>0.08</v>
      </c>
      <c r="F20" s="47">
        <v>0.02</v>
      </c>
      <c r="G20" s="47">
        <v>0.15</v>
      </c>
      <c r="H20" s="28">
        <v>0.05</v>
      </c>
      <c r="I20" s="47">
        <v>0.01</v>
      </c>
      <c r="L20" s="137" t="s">
        <v>11</v>
      </c>
      <c r="M20" s="47">
        <v>3.5000000000000003E-2</v>
      </c>
      <c r="P20" s="235" t="s">
        <v>24</v>
      </c>
      <c r="Q20" s="214" t="s">
        <v>370</v>
      </c>
      <c r="R20" s="46">
        <v>0.01</v>
      </c>
    </row>
    <row r="21" spans="2:18" ht="18" customHeight="1" thickBot="1" x14ac:dyDescent="0.35">
      <c r="B21" s="64" t="s">
        <v>334</v>
      </c>
      <c r="C21" s="81" t="s">
        <v>10</v>
      </c>
      <c r="D21" s="47">
        <v>0.21</v>
      </c>
      <c r="E21" s="28">
        <v>0.08</v>
      </c>
      <c r="F21" s="47">
        <v>0.02</v>
      </c>
      <c r="G21" s="47">
        <v>0.15</v>
      </c>
      <c r="H21" s="28">
        <v>0.05</v>
      </c>
      <c r="I21" s="47">
        <v>0.01</v>
      </c>
      <c r="L21" s="84" t="s">
        <v>12</v>
      </c>
      <c r="M21" s="48">
        <v>2.5000000000000001E-2</v>
      </c>
      <c r="P21" s="236"/>
      <c r="Q21" s="114" t="s">
        <v>37</v>
      </c>
      <c r="R21" s="48">
        <v>0.01</v>
      </c>
    </row>
    <row r="22" spans="2:18" ht="18" customHeight="1" thickBot="1" x14ac:dyDescent="0.35">
      <c r="B22" s="208" t="s">
        <v>290</v>
      </c>
      <c r="C22" s="209" t="s">
        <v>10</v>
      </c>
      <c r="D22" s="48">
        <v>0.21</v>
      </c>
      <c r="E22" s="57">
        <v>0.08</v>
      </c>
      <c r="F22" s="48">
        <v>0.02</v>
      </c>
      <c r="G22" s="48">
        <v>0.15</v>
      </c>
      <c r="H22" s="57">
        <v>0.05</v>
      </c>
      <c r="I22" s="48">
        <v>0.01</v>
      </c>
      <c r="P22" s="242" t="s">
        <v>25</v>
      </c>
      <c r="Q22" s="243"/>
      <c r="R22" s="244"/>
    </row>
    <row r="23" spans="2:18" ht="18" customHeight="1" thickBot="1" x14ac:dyDescent="0.35">
      <c r="B23" s="210" t="s">
        <v>298</v>
      </c>
      <c r="C23" s="211" t="s">
        <v>320</v>
      </c>
      <c r="D23" s="46">
        <v>0.8</v>
      </c>
      <c r="E23" s="54">
        <v>0.25</v>
      </c>
      <c r="F23" s="46">
        <v>0.3</v>
      </c>
      <c r="G23" s="46">
        <v>0.5</v>
      </c>
      <c r="H23" s="54">
        <v>0.2</v>
      </c>
      <c r="I23" s="46">
        <v>2.5000000000000001E-2</v>
      </c>
      <c r="P23" s="49" t="s">
        <v>32</v>
      </c>
      <c r="Q23" s="49" t="s">
        <v>369</v>
      </c>
      <c r="R23" s="49" t="s">
        <v>372</v>
      </c>
    </row>
    <row r="24" spans="2:18" ht="18" customHeight="1" x14ac:dyDescent="0.3">
      <c r="B24" s="71" t="s">
        <v>410</v>
      </c>
      <c r="C24" s="82" t="s">
        <v>320</v>
      </c>
      <c r="D24" s="47">
        <v>0.8</v>
      </c>
      <c r="E24" s="28">
        <v>0.25</v>
      </c>
      <c r="F24" s="47">
        <v>0.3</v>
      </c>
      <c r="G24" s="47">
        <v>0.5</v>
      </c>
      <c r="H24" s="28">
        <v>0.2</v>
      </c>
      <c r="I24" s="47">
        <v>2.5000000000000001E-2</v>
      </c>
      <c r="P24" s="245" t="s">
        <v>9</v>
      </c>
      <c r="Q24" s="213" t="s">
        <v>321</v>
      </c>
      <c r="R24" s="46">
        <v>6.0000000000000001E-3</v>
      </c>
    </row>
    <row r="25" spans="2:18" ht="18" customHeight="1" thickBot="1" x14ac:dyDescent="0.35">
      <c r="B25" s="63" t="s">
        <v>294</v>
      </c>
      <c r="C25" s="82" t="s">
        <v>320</v>
      </c>
      <c r="D25" s="47">
        <v>0.8</v>
      </c>
      <c r="E25" s="28">
        <v>0.25</v>
      </c>
      <c r="F25" s="47">
        <v>0.3</v>
      </c>
      <c r="G25" s="47">
        <v>0.5</v>
      </c>
      <c r="H25" s="28">
        <v>0.2</v>
      </c>
      <c r="I25" s="47">
        <v>2.5000000000000001E-2</v>
      </c>
      <c r="P25" s="246"/>
      <c r="Q25" s="114" t="s">
        <v>37</v>
      </c>
      <c r="R25" s="48">
        <v>6.0000000000000001E-3</v>
      </c>
    </row>
    <row r="26" spans="2:18" ht="18" customHeight="1" thickBot="1" x14ac:dyDescent="0.35">
      <c r="B26" s="181" t="s">
        <v>411</v>
      </c>
      <c r="C26" s="82" t="s">
        <v>320</v>
      </c>
      <c r="D26" s="47">
        <v>0.8</v>
      </c>
      <c r="E26" s="28">
        <v>0.25</v>
      </c>
      <c r="F26" s="47">
        <v>0.3</v>
      </c>
      <c r="G26" s="47">
        <v>0.5</v>
      </c>
      <c r="H26" s="28">
        <v>0.2</v>
      </c>
      <c r="I26" s="47">
        <v>2.5000000000000001E-2</v>
      </c>
      <c r="P26" s="215" t="s">
        <v>10</v>
      </c>
      <c r="Q26" s="216" t="s">
        <v>37</v>
      </c>
      <c r="R26" s="49">
        <v>6.0000000000000001E-3</v>
      </c>
    </row>
    <row r="27" spans="2:18" ht="18" customHeight="1" x14ac:dyDescent="0.3">
      <c r="B27" s="72" t="s">
        <v>296</v>
      </c>
      <c r="C27" s="82" t="s">
        <v>320</v>
      </c>
      <c r="D27" s="47">
        <v>0.8</v>
      </c>
      <c r="E27" s="28">
        <v>0.25</v>
      </c>
      <c r="F27" s="47">
        <v>0.3</v>
      </c>
      <c r="G27" s="47">
        <v>0.5</v>
      </c>
      <c r="H27" s="28">
        <v>0.2</v>
      </c>
      <c r="I27" s="47">
        <v>2.5000000000000001E-2</v>
      </c>
      <c r="P27" s="227" t="s">
        <v>320</v>
      </c>
      <c r="Q27" s="213" t="s">
        <v>321</v>
      </c>
      <c r="R27" s="46">
        <v>7.0000000000000001E-3</v>
      </c>
    </row>
    <row r="28" spans="2:18" ht="18" customHeight="1" thickBot="1" x14ac:dyDescent="0.35">
      <c r="B28" s="199" t="s">
        <v>297</v>
      </c>
      <c r="C28" s="118" t="s">
        <v>320</v>
      </c>
      <c r="D28" s="48">
        <v>0.8</v>
      </c>
      <c r="E28" s="57">
        <v>0.25</v>
      </c>
      <c r="F28" s="48">
        <v>0.3</v>
      </c>
      <c r="G28" s="48">
        <v>0.5</v>
      </c>
      <c r="H28" s="57">
        <v>0.2</v>
      </c>
      <c r="I28" s="48">
        <v>2.5000000000000001E-2</v>
      </c>
      <c r="P28" s="228"/>
      <c r="Q28" s="114" t="s">
        <v>37</v>
      </c>
      <c r="R28" s="48">
        <v>7.0000000000000001E-3</v>
      </c>
    </row>
    <row r="29" spans="2:18" ht="18" customHeight="1" x14ac:dyDescent="0.3">
      <c r="B29" s="212" t="s">
        <v>299</v>
      </c>
      <c r="C29" s="150" t="s">
        <v>11</v>
      </c>
      <c r="D29" s="46">
        <v>0.6</v>
      </c>
      <c r="E29" s="54">
        <v>0.17499999999999999</v>
      </c>
      <c r="F29" s="46">
        <v>0.22500000000000001</v>
      </c>
      <c r="G29" s="46">
        <v>0.4</v>
      </c>
      <c r="H29" s="54">
        <v>0.125</v>
      </c>
      <c r="I29" s="46">
        <v>1.4999999999999999E-2</v>
      </c>
    </row>
    <row r="30" spans="2:18" ht="18" customHeight="1" x14ac:dyDescent="0.3">
      <c r="B30" s="69" t="s">
        <v>412</v>
      </c>
      <c r="C30" s="137" t="s">
        <v>11</v>
      </c>
      <c r="D30" s="47">
        <v>0.6</v>
      </c>
      <c r="E30" s="28">
        <v>0.17499999999999999</v>
      </c>
      <c r="F30" s="47">
        <v>0.22500000000000001</v>
      </c>
      <c r="G30" s="47">
        <v>0.4</v>
      </c>
      <c r="H30" s="28">
        <v>0.125</v>
      </c>
      <c r="I30" s="47">
        <v>1.4999999999999999E-2</v>
      </c>
    </row>
    <row r="31" spans="2:18" ht="18" customHeight="1" x14ac:dyDescent="0.3">
      <c r="B31" s="70" t="s">
        <v>305</v>
      </c>
      <c r="C31" s="137" t="s">
        <v>11</v>
      </c>
      <c r="D31" s="47">
        <v>0.6</v>
      </c>
      <c r="E31" s="28">
        <v>0.17499999999999999</v>
      </c>
      <c r="F31" s="47">
        <v>0.22500000000000001</v>
      </c>
      <c r="G31" s="47">
        <v>0.4</v>
      </c>
      <c r="H31" s="28">
        <v>0.125</v>
      </c>
      <c r="I31" s="47">
        <v>1.4999999999999999E-2</v>
      </c>
    </row>
    <row r="32" spans="2:18" ht="18" customHeight="1" x14ac:dyDescent="0.3">
      <c r="B32" s="138" t="s">
        <v>307</v>
      </c>
      <c r="C32" s="137" t="s">
        <v>11</v>
      </c>
      <c r="D32" s="47">
        <v>0.6</v>
      </c>
      <c r="E32" s="28">
        <v>0.17499999999999999</v>
      </c>
      <c r="F32" s="47">
        <v>0.22500000000000001</v>
      </c>
      <c r="G32" s="47">
        <v>0.4</v>
      </c>
      <c r="H32" s="28">
        <v>0.125</v>
      </c>
      <c r="I32" s="47">
        <v>1.4999999999999999E-2</v>
      </c>
    </row>
    <row r="33" spans="2:9" ht="18" customHeight="1" x14ac:dyDescent="0.3">
      <c r="B33" s="71" t="s">
        <v>302</v>
      </c>
      <c r="C33" s="137" t="s">
        <v>11</v>
      </c>
      <c r="D33" s="47">
        <v>0.6</v>
      </c>
      <c r="E33" s="28">
        <v>0.17499999999999999</v>
      </c>
      <c r="F33" s="47">
        <v>0.22500000000000001</v>
      </c>
      <c r="G33" s="47">
        <v>0.4</v>
      </c>
      <c r="H33" s="28">
        <v>0.125</v>
      </c>
      <c r="I33" s="47">
        <v>1.4999999999999999E-2</v>
      </c>
    </row>
    <row r="34" spans="2:9" ht="18" customHeight="1" x14ac:dyDescent="0.3">
      <c r="B34" s="63" t="s">
        <v>300</v>
      </c>
      <c r="C34" s="137" t="s">
        <v>11</v>
      </c>
      <c r="D34" s="47">
        <v>0.6</v>
      </c>
      <c r="E34" s="28">
        <v>0.17499999999999999</v>
      </c>
      <c r="F34" s="47">
        <v>0.22500000000000001</v>
      </c>
      <c r="G34" s="47">
        <v>0.4</v>
      </c>
      <c r="H34" s="28">
        <v>0.125</v>
      </c>
      <c r="I34" s="47">
        <v>1.4999999999999999E-2</v>
      </c>
    </row>
    <row r="35" spans="2:9" ht="18" customHeight="1" x14ac:dyDescent="0.3">
      <c r="B35" s="64" t="s">
        <v>301</v>
      </c>
      <c r="C35" s="137" t="s">
        <v>11</v>
      </c>
      <c r="D35" s="47">
        <v>0.6</v>
      </c>
      <c r="E35" s="28">
        <v>0.17499999999999999</v>
      </c>
      <c r="F35" s="47">
        <v>0.22500000000000001</v>
      </c>
      <c r="G35" s="47">
        <v>0.4</v>
      </c>
      <c r="H35" s="28">
        <v>0.125</v>
      </c>
      <c r="I35" s="47">
        <v>1.4999999999999999E-2</v>
      </c>
    </row>
    <row r="36" spans="2:9" ht="18" customHeight="1" x14ac:dyDescent="0.3">
      <c r="B36" s="62" t="s">
        <v>413</v>
      </c>
      <c r="C36" s="137" t="s">
        <v>11</v>
      </c>
      <c r="D36" s="47">
        <v>0.6</v>
      </c>
      <c r="E36" s="28">
        <v>0.17499999999999999</v>
      </c>
      <c r="F36" s="47">
        <v>0.22500000000000001</v>
      </c>
      <c r="G36" s="47">
        <v>0.4</v>
      </c>
      <c r="H36" s="28">
        <v>0.125</v>
      </c>
      <c r="I36" s="47">
        <v>1.4999999999999999E-2</v>
      </c>
    </row>
    <row r="37" spans="2:9" ht="18" customHeight="1" x14ac:dyDescent="0.3">
      <c r="B37" s="73" t="s">
        <v>5</v>
      </c>
      <c r="C37" s="137" t="s">
        <v>11</v>
      </c>
      <c r="D37" s="47">
        <v>0.6</v>
      </c>
      <c r="E37" s="28">
        <v>0.17499999999999999</v>
      </c>
      <c r="F37" s="47">
        <v>0.22500000000000001</v>
      </c>
      <c r="G37" s="47">
        <v>0.4</v>
      </c>
      <c r="H37" s="28">
        <v>0.125</v>
      </c>
      <c r="I37" s="47">
        <v>1.4999999999999999E-2</v>
      </c>
    </row>
    <row r="38" spans="2:9" ht="18" customHeight="1" x14ac:dyDescent="0.3">
      <c r="B38" s="61" t="s">
        <v>306</v>
      </c>
      <c r="C38" s="137" t="s">
        <v>11</v>
      </c>
      <c r="D38" s="47">
        <v>0.6</v>
      </c>
      <c r="E38" s="28">
        <v>0.17499999999999999</v>
      </c>
      <c r="F38" s="47">
        <v>0.22500000000000001</v>
      </c>
      <c r="G38" s="47">
        <v>0.4</v>
      </c>
      <c r="H38" s="28">
        <v>0.125</v>
      </c>
      <c r="I38" s="47">
        <v>1.4999999999999999E-2</v>
      </c>
    </row>
    <row r="39" spans="2:9" ht="18" customHeight="1" x14ac:dyDescent="0.3">
      <c r="B39" s="74" t="s">
        <v>303</v>
      </c>
      <c r="C39" s="137" t="s">
        <v>11</v>
      </c>
      <c r="D39" s="47">
        <v>0.6</v>
      </c>
      <c r="E39" s="28">
        <v>0.17499999999999999</v>
      </c>
      <c r="F39" s="47">
        <v>0.22500000000000001</v>
      </c>
      <c r="G39" s="47">
        <v>0.4</v>
      </c>
      <c r="H39" s="28">
        <v>0.125</v>
      </c>
      <c r="I39" s="47">
        <v>1.4999999999999999E-2</v>
      </c>
    </row>
    <row r="40" spans="2:9" ht="18" customHeight="1" x14ac:dyDescent="0.3">
      <c r="B40" s="75" t="s">
        <v>414</v>
      </c>
      <c r="C40" s="137" t="s">
        <v>11</v>
      </c>
      <c r="D40" s="47">
        <v>0.6</v>
      </c>
      <c r="E40" s="28">
        <v>0.17499999999999999</v>
      </c>
      <c r="F40" s="47">
        <v>0.22500000000000001</v>
      </c>
      <c r="G40" s="47">
        <v>0.4</v>
      </c>
      <c r="H40" s="28">
        <v>0.125</v>
      </c>
      <c r="I40" s="47">
        <v>1.4999999999999999E-2</v>
      </c>
    </row>
    <row r="41" spans="2:9" ht="18" customHeight="1" thickBot="1" x14ac:dyDescent="0.35">
      <c r="B41" s="199" t="s">
        <v>6</v>
      </c>
      <c r="C41" s="151" t="s">
        <v>11</v>
      </c>
      <c r="D41" s="48">
        <v>0.6</v>
      </c>
      <c r="E41" s="57">
        <v>0.17499999999999999</v>
      </c>
      <c r="F41" s="48">
        <v>0.22500000000000001</v>
      </c>
      <c r="G41" s="48">
        <v>0.4</v>
      </c>
      <c r="H41" s="57">
        <v>0.125</v>
      </c>
      <c r="I41" s="48">
        <v>1.4999999999999999E-2</v>
      </c>
    </row>
  </sheetData>
  <sheetProtection algorithmName="SHA-512" hashValue="18sfajXDUGq14p5MsEFwj/VDt+jZyfVg0D1s2wN44S6t0XF2SAQcKRPjezMMXximnfDQDL4Hg+nSajJX8HGWvg==" saltValue="CM5HBanb9G/CCJYLWrqGYg==" spinCount="100000" sheet="1" objects="1" scenarios="1"/>
  <sortState xmlns:xlrd2="http://schemas.microsoft.com/office/spreadsheetml/2017/richdata2" ref="A8:C9">
    <sortCondition ref="A8:A9"/>
  </sortState>
  <mergeCells count="56">
    <mergeCell ref="AC7:AE7"/>
    <mergeCell ref="AC8:AE8"/>
    <mergeCell ref="W14:Y14"/>
    <mergeCell ref="Z14:AB14"/>
    <mergeCell ref="AC14:AE14"/>
    <mergeCell ref="P2:R2"/>
    <mergeCell ref="U2:AF2"/>
    <mergeCell ref="Z4:AB4"/>
    <mergeCell ref="Z5:AB5"/>
    <mergeCell ref="Z13:AB13"/>
    <mergeCell ref="Z6:AB6"/>
    <mergeCell ref="Z7:AB7"/>
    <mergeCell ref="W4:Y4"/>
    <mergeCell ref="W5:Y5"/>
    <mergeCell ref="W8:Y8"/>
    <mergeCell ref="P3:R3"/>
    <mergeCell ref="P4:R4"/>
    <mergeCell ref="P8:P9"/>
    <mergeCell ref="AC13:AE13"/>
    <mergeCell ref="AC5:AE5"/>
    <mergeCell ref="AC6:AE6"/>
    <mergeCell ref="B2:I2"/>
    <mergeCell ref="H3:H4"/>
    <mergeCell ref="I3:I4"/>
    <mergeCell ref="B3:B4"/>
    <mergeCell ref="C3:C4"/>
    <mergeCell ref="D3:D4"/>
    <mergeCell ref="E3:E4"/>
    <mergeCell ref="F3:F4"/>
    <mergeCell ref="G3:G4"/>
    <mergeCell ref="L2:M2"/>
    <mergeCell ref="L3:M3"/>
    <mergeCell ref="W6:Y6"/>
    <mergeCell ref="W7:Y7"/>
    <mergeCell ref="W13:Y13"/>
    <mergeCell ref="L11:M11"/>
    <mergeCell ref="L12:M12"/>
    <mergeCell ref="P10:P11"/>
    <mergeCell ref="U13:U15"/>
    <mergeCell ref="W15:Y15"/>
    <mergeCell ref="P12:R12"/>
    <mergeCell ref="U3:AF3"/>
    <mergeCell ref="U5:U8"/>
    <mergeCell ref="U9:U12"/>
    <mergeCell ref="Z8:AB8"/>
    <mergeCell ref="AC4:AE4"/>
    <mergeCell ref="AC15:AE15"/>
    <mergeCell ref="P16:P17"/>
    <mergeCell ref="P22:R22"/>
    <mergeCell ref="Z15:AB15"/>
    <mergeCell ref="P24:P25"/>
    <mergeCell ref="P27:P28"/>
    <mergeCell ref="P6:P7"/>
    <mergeCell ref="P14:P15"/>
    <mergeCell ref="P18:P19"/>
    <mergeCell ref="P20:P2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E5F7-1F2A-4B9B-816E-E27A3DA70A58}">
  <dimension ref="B1:BR49"/>
  <sheetViews>
    <sheetView topLeftCell="AN1" workbookViewId="0">
      <selection activeCell="AX9" sqref="AX9"/>
    </sheetView>
  </sheetViews>
  <sheetFormatPr defaultColWidth="8.88671875" defaultRowHeight="18" customHeight="1" x14ac:dyDescent="0.3"/>
  <cols>
    <col min="1" max="1" width="3.33203125" style="1" customWidth="1"/>
    <col min="2" max="2" width="35.5546875" style="1" customWidth="1"/>
    <col min="3" max="3" width="13.33203125" style="1" customWidth="1"/>
    <col min="4" max="5" width="3.33203125" style="1" customWidth="1"/>
    <col min="6" max="6" width="8.88671875" style="1"/>
    <col min="7" max="7" width="11.109375" style="1" customWidth="1"/>
    <col min="8" max="9" width="3.33203125" style="1" customWidth="1"/>
    <col min="10" max="11" width="11.109375" style="1" customWidth="1"/>
    <col min="12" max="13" width="3.33203125" style="1" customWidth="1"/>
    <col min="14" max="15" width="13.33203125" style="1" customWidth="1"/>
    <col min="16" max="17" width="3.33203125" style="1" customWidth="1"/>
    <col min="18" max="19" width="13.33203125" style="1" customWidth="1"/>
    <col min="20" max="21" width="3.33203125" style="1" customWidth="1"/>
    <col min="22" max="22" width="10.5546875" style="1" customWidth="1"/>
    <col min="23" max="23" width="13.33203125" style="1" customWidth="1"/>
    <col min="24" max="24" width="16.6640625" style="1" customWidth="1"/>
    <col min="25" max="26" width="3.33203125" style="1" customWidth="1"/>
    <col min="27" max="27" width="10.5546875" style="1" customWidth="1"/>
    <col min="28" max="28" width="13.33203125" style="1" customWidth="1"/>
    <col min="29" max="29" width="16.6640625" style="1" customWidth="1"/>
    <col min="30" max="31" width="3.33203125" style="1" customWidth="1"/>
    <col min="32" max="32" width="24.44140625" style="1" customWidth="1"/>
    <col min="33" max="33" width="11.109375" style="1" customWidth="1"/>
    <col min="34" max="36" width="14.21875" style="1" customWidth="1"/>
    <col min="37" max="37" width="14.44140625" style="1" customWidth="1"/>
    <col min="38" max="39" width="3.33203125" style="1" customWidth="1"/>
    <col min="40" max="40" width="35.5546875" style="1" customWidth="1"/>
    <col min="41" max="42" width="13.33203125" style="1" customWidth="1"/>
    <col min="43" max="44" width="3.33203125" style="1" customWidth="1"/>
    <col min="45" max="45" width="10.5546875" style="1" customWidth="1"/>
    <col min="46" max="46" width="13.33203125" style="1" customWidth="1"/>
    <col min="47" max="48" width="3.33203125" style="1" customWidth="1"/>
    <col min="49" max="50" width="11.109375" style="1" customWidth="1"/>
    <col min="51" max="52" width="3.33203125" style="1" customWidth="1"/>
    <col min="53" max="55" width="10" style="1" customWidth="1"/>
    <col min="56" max="57" width="3.33203125" style="1" customWidth="1"/>
    <col min="58" max="60" width="10" style="1" customWidth="1"/>
    <col min="61" max="62" width="3.33203125" style="1" customWidth="1"/>
    <col min="63" max="65" width="10" style="1" customWidth="1"/>
    <col min="66" max="67" width="3.33203125" style="1" customWidth="1"/>
    <col min="68" max="70" width="10" style="1" customWidth="1"/>
    <col min="71" max="71" width="3.33203125" style="1" customWidth="1"/>
    <col min="72" max="16384" width="8.88671875" style="1"/>
  </cols>
  <sheetData>
    <row r="1" spans="2:70" ht="18" customHeight="1" thickBot="1" x14ac:dyDescent="0.35"/>
    <row r="2" spans="2:70" ht="18" customHeight="1" thickBot="1" x14ac:dyDescent="0.35">
      <c r="V2" s="281" t="s">
        <v>401</v>
      </c>
      <c r="W2" s="282"/>
      <c r="X2" s="283"/>
      <c r="AF2" s="332" t="s">
        <v>389</v>
      </c>
      <c r="AG2" s="332"/>
      <c r="AH2" s="332"/>
      <c r="AI2" s="332"/>
      <c r="AJ2" s="332"/>
      <c r="AK2" s="332"/>
      <c r="AW2" s="332" t="s">
        <v>482</v>
      </c>
      <c r="AX2" s="332"/>
      <c r="BA2" s="332" t="s">
        <v>401</v>
      </c>
      <c r="BB2" s="332"/>
      <c r="BC2" s="332"/>
      <c r="BF2" s="332" t="s">
        <v>401</v>
      </c>
      <c r="BG2" s="332"/>
      <c r="BH2" s="332"/>
      <c r="BK2" s="332" t="s">
        <v>401</v>
      </c>
      <c r="BL2" s="332"/>
      <c r="BM2" s="332"/>
      <c r="BP2" s="332" t="s">
        <v>401</v>
      </c>
      <c r="BQ2" s="332"/>
      <c r="BR2" s="332"/>
    </row>
    <row r="3" spans="2:70" ht="18" customHeight="1" thickBot="1" x14ac:dyDescent="0.35">
      <c r="N3" s="1" t="s">
        <v>440</v>
      </c>
      <c r="V3" s="284" t="s">
        <v>371</v>
      </c>
      <c r="W3" s="285"/>
      <c r="X3" s="286"/>
      <c r="AA3" s="272" t="s">
        <v>371</v>
      </c>
      <c r="AB3" s="273"/>
      <c r="AC3" s="274"/>
      <c r="AF3" s="332" t="s">
        <v>19</v>
      </c>
      <c r="AG3" s="332"/>
      <c r="AH3" s="332"/>
      <c r="AI3" s="332"/>
      <c r="AJ3" s="332"/>
      <c r="AK3" s="332"/>
      <c r="AW3" s="2" t="s">
        <v>402</v>
      </c>
      <c r="AX3" s="2" t="s">
        <v>50</v>
      </c>
      <c r="BA3" s="332" t="s">
        <v>449</v>
      </c>
      <c r="BB3" s="332"/>
      <c r="BC3" s="332"/>
      <c r="BF3" s="332" t="s">
        <v>447</v>
      </c>
      <c r="BG3" s="332"/>
      <c r="BH3" s="332"/>
      <c r="BK3" s="332" t="s">
        <v>450</v>
      </c>
      <c r="BL3" s="332"/>
      <c r="BM3" s="332"/>
      <c r="BP3" s="332" t="s">
        <v>481</v>
      </c>
      <c r="BQ3" s="332"/>
      <c r="BR3" s="332"/>
    </row>
    <row r="4" spans="2:70" ht="18" customHeight="1" thickBot="1" x14ac:dyDescent="0.35">
      <c r="B4" s="2" t="s">
        <v>20</v>
      </c>
      <c r="C4" s="2" t="s">
        <v>21</v>
      </c>
      <c r="F4" s="347" t="s">
        <v>33</v>
      </c>
      <c r="G4" s="347"/>
      <c r="J4" s="9" t="s">
        <v>281</v>
      </c>
      <c r="K4" s="9">
        <v>1</v>
      </c>
      <c r="N4" s="9" t="s">
        <v>33</v>
      </c>
      <c r="O4" s="9" t="s">
        <v>281</v>
      </c>
      <c r="R4" s="9" t="s">
        <v>33</v>
      </c>
      <c r="S4" s="9" t="s">
        <v>281</v>
      </c>
      <c r="V4" s="287" t="s">
        <v>22</v>
      </c>
      <c r="W4" s="288"/>
      <c r="X4" s="289"/>
      <c r="AA4" s="287" t="s">
        <v>22</v>
      </c>
      <c r="AB4" s="288"/>
      <c r="AC4" s="289"/>
      <c r="AF4" s="2" t="s">
        <v>20</v>
      </c>
      <c r="AG4" s="2" t="s">
        <v>21</v>
      </c>
      <c r="AH4" s="2" t="s">
        <v>52</v>
      </c>
      <c r="AI4" s="22" t="s">
        <v>252</v>
      </c>
      <c r="AJ4" s="22" t="s">
        <v>53</v>
      </c>
      <c r="AK4" s="2" t="s">
        <v>54</v>
      </c>
      <c r="AN4" s="2" t="s">
        <v>265</v>
      </c>
      <c r="AO4" s="2" t="s">
        <v>267</v>
      </c>
      <c r="AP4" s="2" t="s">
        <v>59</v>
      </c>
      <c r="AS4" s="272" t="s">
        <v>384</v>
      </c>
      <c r="AT4" s="274"/>
      <c r="AW4" s="2" t="s">
        <v>395</v>
      </c>
      <c r="AX4" s="2">
        <v>0.5</v>
      </c>
      <c r="BA4" s="2" t="s">
        <v>402</v>
      </c>
      <c r="BB4" s="2" t="s">
        <v>403</v>
      </c>
      <c r="BC4" s="2" t="s">
        <v>50</v>
      </c>
      <c r="BF4" s="2" t="s">
        <v>402</v>
      </c>
      <c r="BG4" s="2" t="s">
        <v>403</v>
      </c>
      <c r="BH4" s="2" t="s">
        <v>50</v>
      </c>
      <c r="BK4" s="2" t="s">
        <v>402</v>
      </c>
      <c r="BL4" s="2" t="s">
        <v>403</v>
      </c>
      <c r="BM4" s="2" t="s">
        <v>50</v>
      </c>
      <c r="BP4" s="2" t="s">
        <v>402</v>
      </c>
      <c r="BQ4" s="2" t="s">
        <v>403</v>
      </c>
      <c r="BR4" s="2" t="s">
        <v>50</v>
      </c>
    </row>
    <row r="5" spans="2:70" ht="18" customHeight="1" thickBot="1" x14ac:dyDescent="0.35">
      <c r="B5" s="9" t="s">
        <v>22</v>
      </c>
      <c r="C5" s="2">
        <v>1</v>
      </c>
      <c r="F5" s="3" t="s">
        <v>366</v>
      </c>
      <c r="G5" s="9" t="s">
        <v>281</v>
      </c>
      <c r="J5" s="10" t="s">
        <v>9</v>
      </c>
      <c r="K5" s="10">
        <v>2</v>
      </c>
      <c r="N5" s="169" t="s">
        <v>321</v>
      </c>
      <c r="O5" s="2">
        <v>0.06</v>
      </c>
      <c r="R5" s="169" t="s">
        <v>321</v>
      </c>
      <c r="S5" s="2">
        <v>0.03</v>
      </c>
      <c r="V5" s="49" t="s">
        <v>32</v>
      </c>
      <c r="W5" s="49" t="s">
        <v>369</v>
      </c>
      <c r="X5" s="49" t="s">
        <v>372</v>
      </c>
      <c r="AA5" s="49" t="s">
        <v>32</v>
      </c>
      <c r="AB5" s="49" t="s">
        <v>369</v>
      </c>
      <c r="AC5" s="49" t="s">
        <v>372</v>
      </c>
      <c r="AF5" s="348" t="s">
        <v>22</v>
      </c>
      <c r="AG5" s="9" t="s">
        <v>281</v>
      </c>
      <c r="AH5" s="2">
        <v>8</v>
      </c>
      <c r="AI5" s="2">
        <v>72</v>
      </c>
      <c r="AJ5" s="2">
        <v>2.5</v>
      </c>
      <c r="AK5" s="2">
        <v>0.35</v>
      </c>
      <c r="AN5" s="2" t="s">
        <v>71</v>
      </c>
      <c r="AO5" s="9" t="s">
        <v>33</v>
      </c>
      <c r="AP5" s="2">
        <v>6</v>
      </c>
      <c r="AS5" s="287" t="s">
        <v>22</v>
      </c>
      <c r="AT5" s="289"/>
      <c r="AW5" s="2" t="s">
        <v>396</v>
      </c>
      <c r="AX5" s="2">
        <v>0.8</v>
      </c>
      <c r="BA5" s="2" t="s">
        <v>395</v>
      </c>
      <c r="BB5" s="27" t="s">
        <v>455</v>
      </c>
      <c r="BC5" s="2" t="s">
        <v>458</v>
      </c>
      <c r="BF5" s="2" t="s">
        <v>395</v>
      </c>
      <c r="BG5" s="27" t="s">
        <v>452</v>
      </c>
      <c r="BH5" s="2" t="s">
        <v>469</v>
      </c>
      <c r="BK5" s="2" t="s">
        <v>395</v>
      </c>
      <c r="BL5" s="2" t="s">
        <v>455</v>
      </c>
      <c r="BM5" s="2" t="s">
        <v>465</v>
      </c>
      <c r="BP5" s="2" t="s">
        <v>395</v>
      </c>
      <c r="BQ5" s="27" t="s">
        <v>452</v>
      </c>
      <c r="BR5" s="2" t="s">
        <v>469</v>
      </c>
    </row>
    <row r="6" spans="2:70" ht="18" customHeight="1" thickBot="1" x14ac:dyDescent="0.35">
      <c r="B6" s="12" t="s">
        <v>23</v>
      </c>
      <c r="C6" s="2">
        <v>2</v>
      </c>
      <c r="F6" s="3" t="s">
        <v>367</v>
      </c>
      <c r="G6" s="9" t="s">
        <v>281</v>
      </c>
      <c r="J6" s="11" t="s">
        <v>317</v>
      </c>
      <c r="K6" s="11">
        <v>3</v>
      </c>
      <c r="N6" s="168" t="s">
        <v>37</v>
      </c>
      <c r="O6" s="2">
        <v>0.06</v>
      </c>
      <c r="R6" s="168" t="s">
        <v>37</v>
      </c>
      <c r="S6" s="2">
        <v>0.03</v>
      </c>
      <c r="V6" s="229" t="s">
        <v>281</v>
      </c>
      <c r="W6" s="213" t="s">
        <v>321</v>
      </c>
      <c r="X6" s="46">
        <v>0.03</v>
      </c>
      <c r="AA6" s="160" t="s">
        <v>281</v>
      </c>
      <c r="AB6" s="161" t="s">
        <v>37</v>
      </c>
      <c r="AC6" s="85">
        <v>0.06</v>
      </c>
      <c r="AF6" s="349"/>
      <c r="AG6" s="10" t="s">
        <v>9</v>
      </c>
      <c r="AH6" s="2">
        <v>8</v>
      </c>
      <c r="AI6" s="2">
        <v>72</v>
      </c>
      <c r="AJ6" s="2">
        <v>1</v>
      </c>
      <c r="AK6" s="2">
        <v>0.2</v>
      </c>
      <c r="AN6" s="2" t="s">
        <v>75</v>
      </c>
      <c r="AO6" s="9" t="s">
        <v>33</v>
      </c>
      <c r="AP6" s="2">
        <v>24</v>
      </c>
      <c r="AS6" s="49" t="s">
        <v>32</v>
      </c>
      <c r="AT6" s="49" t="s">
        <v>369</v>
      </c>
      <c r="AW6" s="2" t="s">
        <v>397</v>
      </c>
      <c r="AX6" s="2">
        <v>1.5</v>
      </c>
      <c r="BA6" s="2" t="s">
        <v>396</v>
      </c>
      <c r="BB6" s="27" t="s">
        <v>457</v>
      </c>
      <c r="BC6" s="2" t="s">
        <v>459</v>
      </c>
      <c r="BF6" s="2" t="s">
        <v>396</v>
      </c>
      <c r="BG6" s="2" t="s">
        <v>457</v>
      </c>
      <c r="BH6" s="2" t="s">
        <v>468</v>
      </c>
      <c r="BK6" s="2" t="s">
        <v>396</v>
      </c>
      <c r="BL6" s="2" t="s">
        <v>457</v>
      </c>
      <c r="BM6" s="2" t="s">
        <v>458</v>
      </c>
      <c r="BP6" s="2" t="s">
        <v>396</v>
      </c>
      <c r="BQ6" s="27" t="s">
        <v>453</v>
      </c>
      <c r="BR6" s="2" t="s">
        <v>472</v>
      </c>
    </row>
    <row r="7" spans="2:70" ht="18" customHeight="1" thickBot="1" x14ac:dyDescent="0.35">
      <c r="B7" s="12" t="s">
        <v>253</v>
      </c>
      <c r="C7" s="2">
        <v>2.1</v>
      </c>
      <c r="F7" s="5" t="s">
        <v>9</v>
      </c>
      <c r="G7" s="10" t="s">
        <v>9</v>
      </c>
      <c r="J7" s="144" t="s">
        <v>318</v>
      </c>
      <c r="K7" s="144">
        <v>4</v>
      </c>
      <c r="N7" s="9" t="s">
        <v>33</v>
      </c>
      <c r="O7" s="10" t="s">
        <v>9</v>
      </c>
      <c r="R7" s="9" t="s">
        <v>33</v>
      </c>
      <c r="S7" s="10" t="s">
        <v>9</v>
      </c>
      <c r="V7" s="230"/>
      <c r="W7" s="114" t="s">
        <v>37</v>
      </c>
      <c r="X7" s="48">
        <v>0.03</v>
      </c>
      <c r="AA7" s="299" t="s">
        <v>9</v>
      </c>
      <c r="AB7" s="149" t="s">
        <v>321</v>
      </c>
      <c r="AC7" s="47">
        <v>0.01</v>
      </c>
      <c r="AF7" s="349"/>
      <c r="AG7" s="11" t="s">
        <v>317</v>
      </c>
      <c r="AH7" s="2">
        <v>8</v>
      </c>
      <c r="AI7" s="2">
        <v>72</v>
      </c>
      <c r="AJ7" s="2">
        <v>2</v>
      </c>
      <c r="AK7" s="2">
        <v>0.3</v>
      </c>
      <c r="AN7" s="2" t="s">
        <v>97</v>
      </c>
      <c r="AO7" s="12" t="s">
        <v>38</v>
      </c>
      <c r="AP7" s="2">
        <v>24</v>
      </c>
      <c r="AS7" s="101" t="s">
        <v>281</v>
      </c>
      <c r="AT7" s="175"/>
      <c r="AW7" s="332" t="s">
        <v>483</v>
      </c>
      <c r="AX7" s="332"/>
      <c r="BA7" s="2" t="s">
        <v>397</v>
      </c>
      <c r="BB7" s="27" t="s">
        <v>456</v>
      </c>
      <c r="BC7" s="2" t="s">
        <v>460</v>
      </c>
      <c r="BF7" s="2" t="s">
        <v>397</v>
      </c>
      <c r="BG7" s="27" t="s">
        <v>467</v>
      </c>
      <c r="BH7" s="2" t="s">
        <v>459</v>
      </c>
      <c r="BK7" s="2" t="s">
        <v>397</v>
      </c>
      <c r="BL7" s="2" t="s">
        <v>456</v>
      </c>
      <c r="BM7" s="2" t="s">
        <v>466</v>
      </c>
      <c r="BP7" s="2" t="s">
        <v>397</v>
      </c>
      <c r="BQ7" s="27" t="s">
        <v>454</v>
      </c>
      <c r="BR7" s="2" t="s">
        <v>463</v>
      </c>
    </row>
    <row r="8" spans="2:70" ht="18" customHeight="1" x14ac:dyDescent="0.3">
      <c r="B8" s="12" t="s">
        <v>254</v>
      </c>
      <c r="C8" s="2">
        <v>2.2000000000000002</v>
      </c>
      <c r="F8" s="7" t="s">
        <v>320</v>
      </c>
      <c r="G8" s="11" t="s">
        <v>317</v>
      </c>
      <c r="J8" s="12" t="s">
        <v>288</v>
      </c>
      <c r="K8" s="12">
        <v>1</v>
      </c>
      <c r="N8" s="169" t="s">
        <v>321</v>
      </c>
      <c r="O8" s="2">
        <v>0.01</v>
      </c>
      <c r="R8" s="169" t="s">
        <v>321</v>
      </c>
      <c r="S8" s="2">
        <v>8.0000000000000002E-3</v>
      </c>
      <c r="V8" s="245" t="s">
        <v>9</v>
      </c>
      <c r="W8" s="213" t="s">
        <v>321</v>
      </c>
      <c r="X8" s="46">
        <v>8.0000000000000002E-3</v>
      </c>
      <c r="AA8" s="300"/>
      <c r="AB8" s="109" t="s">
        <v>37</v>
      </c>
      <c r="AC8" s="47">
        <v>7.4999999999999997E-3</v>
      </c>
      <c r="AF8" s="350"/>
      <c r="AG8" s="144" t="s">
        <v>318</v>
      </c>
      <c r="AH8" s="2">
        <v>8</v>
      </c>
      <c r="AI8" s="2">
        <v>72</v>
      </c>
      <c r="AJ8" s="2">
        <v>1</v>
      </c>
      <c r="AK8" s="2">
        <v>0.2</v>
      </c>
      <c r="AN8" s="2" t="s">
        <v>100</v>
      </c>
      <c r="AO8" s="12" t="s">
        <v>38</v>
      </c>
      <c r="AP8" s="2">
        <v>12</v>
      </c>
      <c r="AS8" s="88" t="s">
        <v>9</v>
      </c>
      <c r="AT8" s="173"/>
      <c r="AW8" s="2" t="s">
        <v>402</v>
      </c>
      <c r="AX8" s="2" t="s">
        <v>50</v>
      </c>
      <c r="BP8" s="2" t="s">
        <v>479</v>
      </c>
      <c r="BQ8" s="27" t="s">
        <v>470</v>
      </c>
      <c r="BR8" s="2" t="s">
        <v>466</v>
      </c>
    </row>
    <row r="9" spans="2:70" ht="18" customHeight="1" thickBot="1" x14ac:dyDescent="0.35">
      <c r="B9" s="15" t="s">
        <v>25</v>
      </c>
      <c r="C9" s="2">
        <v>3</v>
      </c>
      <c r="F9" s="12" t="s">
        <v>38</v>
      </c>
      <c r="G9" s="12"/>
      <c r="J9" s="32" t="s">
        <v>227</v>
      </c>
      <c r="K9" s="32">
        <v>2</v>
      </c>
      <c r="N9" s="168" t="s">
        <v>37</v>
      </c>
      <c r="O9" s="2">
        <v>7.4999999999999997E-3</v>
      </c>
      <c r="R9" s="168" t="s">
        <v>37</v>
      </c>
      <c r="S9" s="2">
        <v>8.0000000000000002E-3</v>
      </c>
      <c r="V9" s="246"/>
      <c r="W9" s="114" t="s">
        <v>37</v>
      </c>
      <c r="X9" s="48">
        <v>8.0000000000000002E-3</v>
      </c>
      <c r="AA9" s="301" t="s">
        <v>373</v>
      </c>
      <c r="AB9" s="149" t="s">
        <v>321</v>
      </c>
      <c r="AC9" s="47">
        <v>0.02</v>
      </c>
      <c r="AF9" s="333" t="s">
        <v>23</v>
      </c>
      <c r="AG9" s="12" t="s">
        <v>288</v>
      </c>
      <c r="AH9" s="2">
        <v>10</v>
      </c>
      <c r="AI9" s="2">
        <f>AI13 + AI17</f>
        <v>72</v>
      </c>
      <c r="AJ9" s="2">
        <v>2</v>
      </c>
      <c r="AK9" s="2">
        <v>0.2</v>
      </c>
      <c r="AN9" s="2" t="s">
        <v>127</v>
      </c>
      <c r="AO9" s="12" t="s">
        <v>38</v>
      </c>
      <c r="AP9" s="2">
        <v>10</v>
      </c>
      <c r="AS9" s="147" t="s">
        <v>317</v>
      </c>
      <c r="AT9" s="173"/>
      <c r="AW9" s="2" t="s">
        <v>395</v>
      </c>
      <c r="AX9" s="2">
        <v>0.3</v>
      </c>
      <c r="BP9" s="2" t="s">
        <v>480</v>
      </c>
      <c r="BQ9" s="27" t="s">
        <v>471</v>
      </c>
      <c r="BR9" s="2" t="s">
        <v>473</v>
      </c>
    </row>
    <row r="10" spans="2:70" ht="18" customHeight="1" thickBot="1" x14ac:dyDescent="0.35">
      <c r="B10" s="16" t="s">
        <v>26</v>
      </c>
      <c r="C10" s="2">
        <v>4</v>
      </c>
      <c r="F10" s="4" t="s">
        <v>288</v>
      </c>
      <c r="G10" s="12" t="s">
        <v>288</v>
      </c>
      <c r="J10" s="13" t="s">
        <v>319</v>
      </c>
      <c r="K10" s="13">
        <v>3</v>
      </c>
      <c r="N10" s="9" t="s">
        <v>33</v>
      </c>
      <c r="O10" s="172" t="s">
        <v>320</v>
      </c>
      <c r="R10" s="9" t="s">
        <v>33</v>
      </c>
      <c r="S10" s="172" t="s">
        <v>320</v>
      </c>
      <c r="V10" s="255" t="s">
        <v>373</v>
      </c>
      <c r="W10" s="213" t="s">
        <v>321</v>
      </c>
      <c r="X10" s="46">
        <v>1.2E-2</v>
      </c>
      <c r="AA10" s="302"/>
      <c r="AB10" s="109" t="s">
        <v>37</v>
      </c>
      <c r="AC10" s="47">
        <v>0.02</v>
      </c>
      <c r="AF10" s="334"/>
      <c r="AG10" s="10" t="s">
        <v>227</v>
      </c>
      <c r="AH10" s="2">
        <v>8</v>
      </c>
      <c r="AI10" s="2">
        <f t="shared" ref="AI10:AI12" si="0">AI14 + AI18</f>
        <v>70</v>
      </c>
      <c r="AJ10" s="2">
        <v>1.25</v>
      </c>
      <c r="AK10" s="2">
        <v>0.1</v>
      </c>
      <c r="AN10" s="2" t="s">
        <v>159</v>
      </c>
      <c r="AO10" s="16" t="s">
        <v>41</v>
      </c>
      <c r="AP10" s="2">
        <v>2</v>
      </c>
      <c r="AS10" s="148" t="s">
        <v>318</v>
      </c>
      <c r="AT10" s="174"/>
      <c r="AW10" s="2" t="s">
        <v>396</v>
      </c>
      <c r="AX10" s="2">
        <v>0.5</v>
      </c>
      <c r="BA10" s="332" t="s">
        <v>401</v>
      </c>
      <c r="BB10" s="332"/>
      <c r="BC10" s="332"/>
      <c r="BF10" s="332" t="s">
        <v>401</v>
      </c>
      <c r="BG10" s="332"/>
      <c r="BH10" s="332"/>
      <c r="BK10" s="332" t="s">
        <v>401</v>
      </c>
      <c r="BL10" s="332"/>
      <c r="BM10" s="332"/>
    </row>
    <row r="11" spans="2:70" ht="18" customHeight="1" thickBot="1" x14ac:dyDescent="0.35">
      <c r="B11" s="18" t="s">
        <v>27</v>
      </c>
      <c r="C11" s="2">
        <v>5</v>
      </c>
      <c r="F11" s="5" t="s">
        <v>9</v>
      </c>
      <c r="G11" s="32" t="s">
        <v>227</v>
      </c>
      <c r="J11" s="14" t="s">
        <v>24</v>
      </c>
      <c r="K11" s="14">
        <v>4</v>
      </c>
      <c r="N11" s="169" t="s">
        <v>321</v>
      </c>
      <c r="O11" s="2">
        <v>0.02</v>
      </c>
      <c r="R11" s="169" t="s">
        <v>321</v>
      </c>
      <c r="S11" s="2">
        <v>1.2E-2</v>
      </c>
      <c r="V11" s="256"/>
      <c r="W11" s="114" t="s">
        <v>37</v>
      </c>
      <c r="X11" s="48">
        <v>1.2E-2</v>
      </c>
      <c r="AA11" s="303" t="s">
        <v>38</v>
      </c>
      <c r="AB11" s="304"/>
      <c r="AC11" s="305"/>
      <c r="AF11" s="334"/>
      <c r="AG11" s="13" t="s">
        <v>319</v>
      </c>
      <c r="AH11" s="2">
        <v>11</v>
      </c>
      <c r="AI11" s="2">
        <f t="shared" si="0"/>
        <v>76</v>
      </c>
      <c r="AJ11" s="2">
        <v>2</v>
      </c>
      <c r="AK11" s="2">
        <v>0.2</v>
      </c>
      <c r="AN11" s="2" t="s">
        <v>171</v>
      </c>
      <c r="AO11" s="18" t="s">
        <v>42</v>
      </c>
      <c r="AP11" s="2">
        <v>12</v>
      </c>
      <c r="AS11" s="260" t="s">
        <v>38</v>
      </c>
      <c r="AT11" s="262"/>
      <c r="AW11" s="2" t="s">
        <v>397</v>
      </c>
      <c r="AX11" s="2">
        <v>0.85</v>
      </c>
      <c r="BA11" s="332" t="s">
        <v>404</v>
      </c>
      <c r="BB11" s="332"/>
      <c r="BC11" s="332"/>
      <c r="BF11" s="332" t="s">
        <v>448</v>
      </c>
      <c r="BG11" s="332"/>
      <c r="BH11" s="332"/>
      <c r="BK11" s="332" t="s">
        <v>451</v>
      </c>
      <c r="BL11" s="332"/>
      <c r="BM11" s="332"/>
    </row>
    <row r="12" spans="2:70" ht="18" customHeight="1" thickBot="1" x14ac:dyDescent="0.35">
      <c r="B12" s="20" t="s">
        <v>30</v>
      </c>
      <c r="C12" s="2">
        <v>6</v>
      </c>
      <c r="F12" s="7" t="s">
        <v>320</v>
      </c>
      <c r="G12" s="13" t="s">
        <v>319</v>
      </c>
      <c r="J12" s="34" t="s">
        <v>237</v>
      </c>
      <c r="K12" s="10">
        <v>1</v>
      </c>
      <c r="N12" s="168" t="s">
        <v>37</v>
      </c>
      <c r="O12" s="2">
        <v>0.02</v>
      </c>
      <c r="R12" s="168" t="s">
        <v>37</v>
      </c>
      <c r="S12" s="2">
        <v>1.2E-2</v>
      </c>
      <c r="V12" s="260" t="s">
        <v>23</v>
      </c>
      <c r="W12" s="261"/>
      <c r="X12" s="262"/>
      <c r="AA12" s="49" t="s">
        <v>32</v>
      </c>
      <c r="AB12" s="49" t="s">
        <v>369</v>
      </c>
      <c r="AC12" s="49" t="s">
        <v>372</v>
      </c>
      <c r="AF12" s="335"/>
      <c r="AG12" s="14" t="s">
        <v>24</v>
      </c>
      <c r="AH12" s="2">
        <v>11</v>
      </c>
      <c r="AI12" s="2">
        <f t="shared" si="0"/>
        <v>75</v>
      </c>
      <c r="AJ12" s="2">
        <v>1.2</v>
      </c>
      <c r="AK12" s="2">
        <v>0.1</v>
      </c>
      <c r="AN12" s="2" t="s">
        <v>174</v>
      </c>
      <c r="AO12" s="18" t="s">
        <v>42</v>
      </c>
      <c r="AP12" s="2">
        <v>24</v>
      </c>
      <c r="AS12" s="49" t="s">
        <v>32</v>
      </c>
      <c r="AT12" s="49" t="s">
        <v>369</v>
      </c>
      <c r="AW12" s="332" t="s">
        <v>484</v>
      </c>
      <c r="AX12" s="332"/>
      <c r="BA12" s="2" t="s">
        <v>402</v>
      </c>
      <c r="BB12" s="2" t="s">
        <v>403</v>
      </c>
      <c r="BC12" s="2" t="s">
        <v>50</v>
      </c>
      <c r="BF12" s="2" t="s">
        <v>402</v>
      </c>
      <c r="BG12" s="2" t="s">
        <v>403</v>
      </c>
      <c r="BH12" s="2" t="s">
        <v>50</v>
      </c>
      <c r="BK12" s="2" t="s">
        <v>402</v>
      </c>
      <c r="BL12" s="2" t="s">
        <v>403</v>
      </c>
      <c r="BM12" s="2" t="s">
        <v>50</v>
      </c>
    </row>
    <row r="13" spans="2:70" ht="18" customHeight="1" thickBot="1" x14ac:dyDescent="0.35">
      <c r="B13" s="21" t="s">
        <v>31</v>
      </c>
      <c r="C13" s="2">
        <v>7</v>
      </c>
      <c r="F13" s="145" t="s">
        <v>11</v>
      </c>
      <c r="G13" s="14" t="s">
        <v>24</v>
      </c>
      <c r="J13" s="15" t="s">
        <v>10</v>
      </c>
      <c r="K13" s="15">
        <v>2</v>
      </c>
      <c r="N13" s="12" t="s">
        <v>38</v>
      </c>
      <c r="O13" s="12" t="s">
        <v>288</v>
      </c>
      <c r="R13" s="12" t="s">
        <v>38</v>
      </c>
      <c r="S13" s="12" t="s">
        <v>288</v>
      </c>
      <c r="V13" s="49" t="s">
        <v>32</v>
      </c>
      <c r="W13" s="49" t="s">
        <v>369</v>
      </c>
      <c r="X13" s="49" t="s">
        <v>372</v>
      </c>
      <c r="AA13" s="162" t="s">
        <v>288</v>
      </c>
      <c r="AB13" s="163" t="s">
        <v>370</v>
      </c>
      <c r="AC13" s="85">
        <v>4.4999999999999998E-2</v>
      </c>
      <c r="AF13" s="333" t="s">
        <v>376</v>
      </c>
      <c r="AG13" s="12" t="s">
        <v>288</v>
      </c>
      <c r="AH13" s="2">
        <v>5</v>
      </c>
      <c r="AI13" s="2">
        <v>14</v>
      </c>
      <c r="AJ13" s="2">
        <v>1</v>
      </c>
      <c r="AK13" s="2">
        <v>0.2</v>
      </c>
      <c r="AN13" s="2" t="s">
        <v>177</v>
      </c>
      <c r="AO13" s="18" t="s">
        <v>42</v>
      </c>
      <c r="AP13" s="2">
        <v>24</v>
      </c>
      <c r="AS13" s="102" t="s">
        <v>288</v>
      </c>
      <c r="AT13" s="175"/>
      <c r="AW13" s="2" t="s">
        <v>402</v>
      </c>
      <c r="AX13" s="2" t="s">
        <v>50</v>
      </c>
      <c r="BA13" s="2" t="s">
        <v>395</v>
      </c>
      <c r="BB13" s="2" t="s">
        <v>455</v>
      </c>
      <c r="BC13" s="2" t="s">
        <v>465</v>
      </c>
      <c r="BF13" s="2" t="s">
        <v>395</v>
      </c>
      <c r="BG13" s="2" t="s">
        <v>452</v>
      </c>
      <c r="BH13" s="2" t="s">
        <v>469</v>
      </c>
      <c r="BK13" s="2" t="s">
        <v>395</v>
      </c>
      <c r="BL13" s="27" t="s">
        <v>452</v>
      </c>
      <c r="BM13" s="2" t="s">
        <v>462</v>
      </c>
    </row>
    <row r="14" spans="2:70" ht="18" customHeight="1" x14ac:dyDescent="0.3">
      <c r="F14" s="15" t="s">
        <v>39</v>
      </c>
      <c r="G14" s="15"/>
      <c r="J14" s="144" t="s">
        <v>320</v>
      </c>
      <c r="K14" s="144">
        <v>3</v>
      </c>
      <c r="N14" s="170" t="s">
        <v>370</v>
      </c>
      <c r="O14" s="2">
        <v>4.4999999999999998E-2</v>
      </c>
      <c r="R14" s="170" t="s">
        <v>370</v>
      </c>
      <c r="S14" s="2">
        <v>2.5000000000000001E-2</v>
      </c>
      <c r="V14" s="231" t="s">
        <v>288</v>
      </c>
      <c r="W14" s="214" t="s">
        <v>370</v>
      </c>
      <c r="X14" s="46">
        <v>2.5000000000000001E-2</v>
      </c>
      <c r="AA14" s="306" t="s">
        <v>9</v>
      </c>
      <c r="AB14" s="163" t="s">
        <v>370</v>
      </c>
      <c r="AC14" s="85">
        <v>0.01</v>
      </c>
      <c r="AF14" s="334"/>
      <c r="AG14" s="10" t="s">
        <v>227</v>
      </c>
      <c r="AH14" s="2">
        <v>4</v>
      </c>
      <c r="AI14" s="2">
        <v>12</v>
      </c>
      <c r="AJ14" s="2">
        <v>0.6</v>
      </c>
      <c r="AK14" s="2">
        <v>0.1</v>
      </c>
      <c r="AN14" s="2" t="s">
        <v>196</v>
      </c>
      <c r="AO14" s="21" t="s">
        <v>43</v>
      </c>
      <c r="AP14" s="2">
        <v>3</v>
      </c>
      <c r="AS14" s="90" t="s">
        <v>9</v>
      </c>
      <c r="AT14" s="173"/>
      <c r="AW14" s="2" t="s">
        <v>395</v>
      </c>
      <c r="AX14" s="2">
        <v>0.2</v>
      </c>
      <c r="BA14" s="2" t="s">
        <v>396</v>
      </c>
      <c r="BB14" s="2" t="s">
        <v>457</v>
      </c>
      <c r="BC14" s="2" t="s">
        <v>458</v>
      </c>
      <c r="BF14" s="2" t="s">
        <v>396</v>
      </c>
      <c r="BG14" s="2" t="s">
        <v>457</v>
      </c>
      <c r="BH14" s="2" t="s">
        <v>468</v>
      </c>
      <c r="BK14" s="2" t="s">
        <v>396</v>
      </c>
      <c r="BL14" s="27" t="s">
        <v>453</v>
      </c>
      <c r="BM14" s="2" t="s">
        <v>463</v>
      </c>
    </row>
    <row r="15" spans="2:70" ht="18" customHeight="1" thickBot="1" x14ac:dyDescent="0.35">
      <c r="F15" s="5" t="s">
        <v>9</v>
      </c>
      <c r="G15" s="34" t="s">
        <v>237</v>
      </c>
      <c r="J15" s="16" t="s">
        <v>11</v>
      </c>
      <c r="K15" s="16">
        <v>1</v>
      </c>
      <c r="N15" s="12" t="s">
        <v>38</v>
      </c>
      <c r="O15" s="143" t="s">
        <v>9</v>
      </c>
      <c r="R15" s="168" t="s">
        <v>37</v>
      </c>
      <c r="S15" s="2">
        <v>2.5000000000000001E-2</v>
      </c>
      <c r="V15" s="232"/>
      <c r="W15" s="114" t="s">
        <v>37</v>
      </c>
      <c r="X15" s="48">
        <v>2.5000000000000001E-2</v>
      </c>
      <c r="AA15" s="307"/>
      <c r="AB15" s="109" t="s">
        <v>37</v>
      </c>
      <c r="AC15" s="47">
        <v>0.01</v>
      </c>
      <c r="AF15" s="334"/>
      <c r="AG15" s="13" t="s">
        <v>319</v>
      </c>
      <c r="AH15" s="2">
        <v>6</v>
      </c>
      <c r="AI15" s="2">
        <v>18</v>
      </c>
      <c r="AJ15" s="2">
        <v>1</v>
      </c>
      <c r="AK15" s="2">
        <v>0.2</v>
      </c>
      <c r="AS15" s="91" t="s">
        <v>319</v>
      </c>
      <c r="AT15" s="173"/>
      <c r="AW15" s="2" t="s">
        <v>396</v>
      </c>
      <c r="AX15" s="2">
        <v>0.45</v>
      </c>
      <c r="BA15" s="2" t="s">
        <v>397</v>
      </c>
      <c r="BB15" s="2" t="s">
        <v>456</v>
      </c>
      <c r="BC15" s="2" t="s">
        <v>466</v>
      </c>
      <c r="BF15" s="2" t="s">
        <v>397</v>
      </c>
      <c r="BG15" s="2" t="s">
        <v>467</v>
      </c>
      <c r="BH15" s="2" t="s">
        <v>459</v>
      </c>
      <c r="BK15" s="2" t="s">
        <v>397</v>
      </c>
      <c r="BL15" s="27" t="s">
        <v>461</v>
      </c>
      <c r="BM15" s="2" t="s">
        <v>464</v>
      </c>
    </row>
    <row r="16" spans="2:70" ht="18" customHeight="1" thickBot="1" x14ac:dyDescent="0.35">
      <c r="B16" s="2" t="s">
        <v>20</v>
      </c>
      <c r="C16" s="2" t="s">
        <v>21</v>
      </c>
      <c r="F16" s="6" t="s">
        <v>10</v>
      </c>
      <c r="G16" s="15" t="s">
        <v>10</v>
      </c>
      <c r="J16" s="17" t="s">
        <v>12</v>
      </c>
      <c r="K16" s="17">
        <v>2</v>
      </c>
      <c r="N16" s="170" t="s">
        <v>370</v>
      </c>
      <c r="O16" s="2">
        <v>0.01</v>
      </c>
      <c r="R16" s="12" t="s">
        <v>38</v>
      </c>
      <c r="S16" s="143" t="s">
        <v>9</v>
      </c>
      <c r="V16" s="240" t="s">
        <v>9</v>
      </c>
      <c r="W16" s="214" t="s">
        <v>370</v>
      </c>
      <c r="X16" s="46">
        <v>8.0000000000000002E-3</v>
      </c>
      <c r="AA16" s="91" t="s">
        <v>319</v>
      </c>
      <c r="AB16" s="109" t="s">
        <v>37</v>
      </c>
      <c r="AC16" s="47">
        <v>2.5000000000000001E-2</v>
      </c>
      <c r="AF16" s="335"/>
      <c r="AG16" s="14" t="s">
        <v>24</v>
      </c>
      <c r="AH16" s="2">
        <v>6</v>
      </c>
      <c r="AI16" s="2">
        <v>17</v>
      </c>
      <c r="AJ16" s="2">
        <v>0.6</v>
      </c>
      <c r="AK16" s="2">
        <v>0.1</v>
      </c>
      <c r="AS16" s="103" t="s">
        <v>24</v>
      </c>
      <c r="AT16" s="174"/>
      <c r="AW16" s="2" t="s">
        <v>397</v>
      </c>
      <c r="AX16" s="2">
        <v>0.8</v>
      </c>
    </row>
    <row r="17" spans="2:50" ht="18" customHeight="1" thickBot="1" x14ac:dyDescent="0.35">
      <c r="B17" s="9" t="s">
        <v>33</v>
      </c>
      <c r="C17" s="2">
        <v>1</v>
      </c>
      <c r="F17" s="7" t="s">
        <v>320</v>
      </c>
      <c r="G17" s="144" t="s">
        <v>320</v>
      </c>
      <c r="J17" s="18" t="s">
        <v>28</v>
      </c>
      <c r="K17" s="18">
        <v>1</v>
      </c>
      <c r="N17" s="168" t="s">
        <v>37</v>
      </c>
      <c r="O17" s="2">
        <v>0.01</v>
      </c>
      <c r="R17" s="170" t="s">
        <v>370</v>
      </c>
      <c r="S17" s="2">
        <v>8.0000000000000002E-3</v>
      </c>
      <c r="V17" s="241"/>
      <c r="W17" s="114" t="s">
        <v>37</v>
      </c>
      <c r="X17" s="48">
        <v>8.0000000000000002E-3</v>
      </c>
      <c r="AA17" s="103" t="s">
        <v>24</v>
      </c>
      <c r="AB17" s="164" t="s">
        <v>370</v>
      </c>
      <c r="AC17" s="48">
        <v>1.4999999999999999E-2</v>
      </c>
      <c r="AF17" s="333" t="s">
        <v>377</v>
      </c>
      <c r="AG17" s="12" t="s">
        <v>288</v>
      </c>
      <c r="AH17" s="2">
        <v>5</v>
      </c>
      <c r="AI17" s="2">
        <v>58</v>
      </c>
      <c r="AJ17" s="2">
        <v>1</v>
      </c>
      <c r="AK17" s="2">
        <v>0.2</v>
      </c>
      <c r="AS17" s="242" t="s">
        <v>39</v>
      </c>
      <c r="AT17" s="244"/>
      <c r="AW17" s="332" t="s">
        <v>485</v>
      </c>
      <c r="AX17" s="332"/>
    </row>
    <row r="18" spans="2:50" ht="18" customHeight="1" thickBot="1" x14ac:dyDescent="0.35">
      <c r="B18" s="12" t="s">
        <v>38</v>
      </c>
      <c r="C18" s="2">
        <v>2</v>
      </c>
      <c r="F18" s="16" t="s">
        <v>41</v>
      </c>
      <c r="G18" s="16"/>
      <c r="J18" s="19" t="s">
        <v>29</v>
      </c>
      <c r="K18" s="19">
        <v>2</v>
      </c>
      <c r="N18" s="12" t="s">
        <v>38</v>
      </c>
      <c r="O18" s="13" t="s">
        <v>319</v>
      </c>
      <c r="R18" s="168" t="s">
        <v>37</v>
      </c>
      <c r="S18" s="2">
        <v>8.0000000000000002E-3</v>
      </c>
      <c r="V18" s="233" t="s">
        <v>319</v>
      </c>
      <c r="W18" s="214" t="s">
        <v>370</v>
      </c>
      <c r="X18" s="46">
        <v>1.4E-2</v>
      </c>
      <c r="AA18" s="310" t="s">
        <v>39</v>
      </c>
      <c r="AB18" s="311"/>
      <c r="AC18" s="312"/>
      <c r="AF18" s="334"/>
      <c r="AG18" s="10" t="s">
        <v>227</v>
      </c>
      <c r="AH18" s="2">
        <v>5</v>
      </c>
      <c r="AI18" s="2">
        <v>58</v>
      </c>
      <c r="AJ18" s="2">
        <v>0.75</v>
      </c>
      <c r="AK18" s="2">
        <v>0.1</v>
      </c>
      <c r="AS18" s="49" t="s">
        <v>32</v>
      </c>
      <c r="AT18" s="49" t="s">
        <v>369</v>
      </c>
      <c r="AW18" s="2" t="s">
        <v>402</v>
      </c>
      <c r="AX18" s="2" t="s">
        <v>50</v>
      </c>
    </row>
    <row r="19" spans="2:50" ht="18" customHeight="1" thickBot="1" x14ac:dyDescent="0.35">
      <c r="B19" s="15" t="s">
        <v>39</v>
      </c>
      <c r="C19" s="2">
        <v>3</v>
      </c>
      <c r="F19" s="145" t="s">
        <v>11</v>
      </c>
      <c r="G19" s="16" t="s">
        <v>11</v>
      </c>
      <c r="J19" s="35" t="s">
        <v>224</v>
      </c>
      <c r="K19" s="17">
        <v>3</v>
      </c>
      <c r="N19" s="168" t="s">
        <v>37</v>
      </c>
      <c r="O19" s="2">
        <v>2.5000000000000001E-2</v>
      </c>
      <c r="R19" s="12" t="s">
        <v>38</v>
      </c>
      <c r="S19" s="13" t="s">
        <v>319</v>
      </c>
      <c r="V19" s="234"/>
      <c r="W19" s="114" t="s">
        <v>37</v>
      </c>
      <c r="X19" s="48">
        <v>1.4E-2</v>
      </c>
      <c r="AA19" s="49" t="s">
        <v>32</v>
      </c>
      <c r="AB19" s="49" t="s">
        <v>369</v>
      </c>
      <c r="AC19" s="49" t="s">
        <v>372</v>
      </c>
      <c r="AF19" s="334"/>
      <c r="AG19" s="13" t="s">
        <v>319</v>
      </c>
      <c r="AH19" s="2">
        <v>5</v>
      </c>
      <c r="AI19" s="2">
        <v>58</v>
      </c>
      <c r="AJ19" s="2">
        <v>1</v>
      </c>
      <c r="AK19" s="2">
        <v>0.2</v>
      </c>
      <c r="AS19" s="104" t="s">
        <v>9</v>
      </c>
      <c r="AT19" s="175"/>
      <c r="AW19" s="2" t="s">
        <v>395</v>
      </c>
      <c r="AX19" s="2">
        <v>0.2</v>
      </c>
    </row>
    <row r="20" spans="2:50" ht="18" customHeight="1" x14ac:dyDescent="0.3">
      <c r="B20" s="16" t="s">
        <v>41</v>
      </c>
      <c r="C20" s="2">
        <v>4</v>
      </c>
      <c r="F20" s="8" t="s">
        <v>12</v>
      </c>
      <c r="G20" s="17" t="s">
        <v>12</v>
      </c>
      <c r="J20" s="31" t="s">
        <v>226</v>
      </c>
      <c r="K20" s="31">
        <v>1</v>
      </c>
      <c r="N20" s="12" t="s">
        <v>38</v>
      </c>
      <c r="O20" s="14" t="s">
        <v>24</v>
      </c>
      <c r="R20" s="170" t="s">
        <v>370</v>
      </c>
      <c r="S20" s="2">
        <v>1.4E-2</v>
      </c>
      <c r="V20" s="235" t="s">
        <v>24</v>
      </c>
      <c r="W20" s="214" t="s">
        <v>370</v>
      </c>
      <c r="X20" s="46">
        <v>0.01</v>
      </c>
      <c r="AA20" s="299" t="s">
        <v>9</v>
      </c>
      <c r="AB20" s="149" t="s">
        <v>321</v>
      </c>
      <c r="AC20" s="85">
        <v>0.01</v>
      </c>
      <c r="AF20" s="335"/>
      <c r="AG20" s="14" t="s">
        <v>24</v>
      </c>
      <c r="AH20" s="2">
        <v>5</v>
      </c>
      <c r="AI20" s="2">
        <v>58</v>
      </c>
      <c r="AJ20" s="2">
        <v>0.75</v>
      </c>
      <c r="AK20" s="2">
        <v>0.1</v>
      </c>
      <c r="AS20" s="93" t="s">
        <v>10</v>
      </c>
      <c r="AT20" s="173" t="s">
        <v>37</v>
      </c>
      <c r="AW20" s="2" t="s">
        <v>396</v>
      </c>
      <c r="AX20" s="2">
        <v>0.45</v>
      </c>
    </row>
    <row r="21" spans="2:50" ht="18" customHeight="1" thickBot="1" x14ac:dyDescent="0.35">
      <c r="B21" s="18" t="s">
        <v>42</v>
      </c>
      <c r="C21" s="2">
        <v>5</v>
      </c>
      <c r="F21" s="18" t="s">
        <v>42</v>
      </c>
      <c r="G21" s="18"/>
      <c r="J21" s="36" t="s">
        <v>225</v>
      </c>
      <c r="K21" s="30">
        <v>2</v>
      </c>
      <c r="N21" s="170" t="s">
        <v>370</v>
      </c>
      <c r="O21" s="2">
        <v>1.4999999999999999E-2</v>
      </c>
      <c r="R21" s="168" t="s">
        <v>37</v>
      </c>
      <c r="S21" s="2">
        <v>1.4E-2</v>
      </c>
      <c r="V21" s="236"/>
      <c r="W21" s="114" t="s">
        <v>37</v>
      </c>
      <c r="X21" s="48">
        <v>0.01</v>
      </c>
      <c r="AA21" s="300"/>
      <c r="AB21" s="109" t="s">
        <v>37</v>
      </c>
      <c r="AC21" s="85">
        <v>7.4999999999999997E-3</v>
      </c>
      <c r="AF21" s="344" t="s">
        <v>25</v>
      </c>
      <c r="AG21" s="34" t="s">
        <v>237</v>
      </c>
      <c r="AH21" s="2">
        <v>9</v>
      </c>
      <c r="AI21" s="2">
        <v>36</v>
      </c>
      <c r="AJ21" s="2">
        <v>0.35</v>
      </c>
      <c r="AK21" s="2">
        <v>0</v>
      </c>
      <c r="AS21" s="148" t="s">
        <v>320</v>
      </c>
      <c r="AT21" s="174"/>
      <c r="AW21" s="2" t="s">
        <v>397</v>
      </c>
      <c r="AX21" s="2">
        <v>0.8</v>
      </c>
    </row>
    <row r="22" spans="2:50" ht="18" customHeight="1" thickBot="1" x14ac:dyDescent="0.35">
      <c r="B22" s="20" t="s">
        <v>40</v>
      </c>
      <c r="C22" s="2">
        <v>6</v>
      </c>
      <c r="F22" s="145" t="s">
        <v>11</v>
      </c>
      <c r="G22" s="18" t="s">
        <v>28</v>
      </c>
      <c r="J22" s="29" t="s">
        <v>259</v>
      </c>
      <c r="K22" s="29">
        <v>3</v>
      </c>
      <c r="N22" s="15" t="s">
        <v>39</v>
      </c>
      <c r="O22" s="10" t="s">
        <v>9</v>
      </c>
      <c r="R22" s="12" t="s">
        <v>38</v>
      </c>
      <c r="S22" s="14" t="s">
        <v>24</v>
      </c>
      <c r="V22" s="242" t="s">
        <v>25</v>
      </c>
      <c r="W22" s="243"/>
      <c r="X22" s="244"/>
      <c r="AA22" s="93" t="s">
        <v>10</v>
      </c>
      <c r="AB22" s="109" t="s">
        <v>37</v>
      </c>
      <c r="AC22" s="47">
        <v>0.01</v>
      </c>
      <c r="AF22" s="345"/>
      <c r="AG22" s="15" t="s">
        <v>10</v>
      </c>
      <c r="AH22" s="2">
        <v>9</v>
      </c>
      <c r="AI22" s="2">
        <v>36</v>
      </c>
      <c r="AJ22" s="2">
        <v>0.35</v>
      </c>
      <c r="AK22" s="2">
        <v>0</v>
      </c>
      <c r="AS22" s="355" t="s">
        <v>41</v>
      </c>
      <c r="AT22" s="356"/>
      <c r="AW22" s="332" t="s">
        <v>486</v>
      </c>
      <c r="AX22" s="332"/>
    </row>
    <row r="23" spans="2:50" ht="18" customHeight="1" thickBot="1" x14ac:dyDescent="0.35">
      <c r="B23" s="21" t="s">
        <v>43</v>
      </c>
      <c r="C23" s="2">
        <v>7</v>
      </c>
      <c r="F23" s="8" t="s">
        <v>12</v>
      </c>
      <c r="G23" s="35" t="s">
        <v>224</v>
      </c>
      <c r="N23" s="169" t="s">
        <v>321</v>
      </c>
      <c r="O23" s="2">
        <v>0.01</v>
      </c>
      <c r="R23" s="168" t="s">
        <v>37</v>
      </c>
      <c r="S23" s="2">
        <v>0.01</v>
      </c>
      <c r="V23" s="49" t="s">
        <v>32</v>
      </c>
      <c r="W23" s="49" t="s">
        <v>369</v>
      </c>
      <c r="X23" s="49" t="s">
        <v>372</v>
      </c>
      <c r="AA23" s="330" t="s">
        <v>320</v>
      </c>
      <c r="AB23" s="149" t="s">
        <v>321</v>
      </c>
      <c r="AC23" s="47">
        <v>1.4999999999999999E-2</v>
      </c>
      <c r="AF23" s="346"/>
      <c r="AG23" s="144" t="s">
        <v>320</v>
      </c>
      <c r="AH23" s="2">
        <v>9</v>
      </c>
      <c r="AI23" s="2">
        <v>36</v>
      </c>
      <c r="AJ23" s="2">
        <v>0.35</v>
      </c>
      <c r="AK23" s="2">
        <v>0</v>
      </c>
      <c r="AS23" s="49" t="s">
        <v>32</v>
      </c>
      <c r="AT23" s="49" t="s">
        <v>369</v>
      </c>
      <c r="AW23" s="2" t="s">
        <v>402</v>
      </c>
      <c r="AX23" s="2" t="s">
        <v>50</v>
      </c>
    </row>
    <row r="24" spans="2:50" ht="18" customHeight="1" thickBot="1" x14ac:dyDescent="0.35">
      <c r="F24" s="21" t="s">
        <v>43</v>
      </c>
      <c r="G24" s="21"/>
      <c r="N24" s="168" t="s">
        <v>37</v>
      </c>
      <c r="O24" s="2">
        <v>7.4999999999999997E-3</v>
      </c>
      <c r="R24" s="170" t="s">
        <v>370</v>
      </c>
      <c r="S24" s="2">
        <v>0.01</v>
      </c>
      <c r="V24" s="245" t="s">
        <v>9</v>
      </c>
      <c r="W24" s="213" t="s">
        <v>321</v>
      </c>
      <c r="X24" s="46">
        <v>6.0000000000000001E-3</v>
      </c>
      <c r="AA24" s="331"/>
      <c r="AB24" s="114" t="s">
        <v>37</v>
      </c>
      <c r="AC24" s="48">
        <v>1.4999999999999999E-2</v>
      </c>
      <c r="AF24" s="336" t="s">
        <v>26</v>
      </c>
      <c r="AG24" s="16" t="s">
        <v>11</v>
      </c>
      <c r="AH24" s="2">
        <v>11</v>
      </c>
      <c r="AI24" s="2">
        <v>22</v>
      </c>
      <c r="AJ24" s="2">
        <v>0.75</v>
      </c>
      <c r="AK24" s="2">
        <v>0.15</v>
      </c>
      <c r="AS24" s="105" t="s">
        <v>11</v>
      </c>
      <c r="AT24" s="175" t="s">
        <v>321</v>
      </c>
      <c r="AW24" s="2" t="s">
        <v>395</v>
      </c>
      <c r="AX24" s="2">
        <v>0.3</v>
      </c>
    </row>
    <row r="25" spans="2:50" ht="18" customHeight="1" thickBot="1" x14ac:dyDescent="0.35">
      <c r="F25" s="6" t="s">
        <v>10</v>
      </c>
      <c r="G25" s="31" t="s">
        <v>226</v>
      </c>
      <c r="N25" s="15" t="s">
        <v>39</v>
      </c>
      <c r="O25" s="15" t="s">
        <v>10</v>
      </c>
      <c r="R25" s="15" t="s">
        <v>39</v>
      </c>
      <c r="S25" s="10" t="s">
        <v>9</v>
      </c>
      <c r="V25" s="246"/>
      <c r="W25" s="114" t="s">
        <v>37</v>
      </c>
      <c r="X25" s="48">
        <v>6.0000000000000001E-3</v>
      </c>
      <c r="AA25" s="316" t="s">
        <v>41</v>
      </c>
      <c r="AB25" s="317"/>
      <c r="AC25" s="318"/>
      <c r="AF25" s="337"/>
      <c r="AG25" s="17" t="s">
        <v>12</v>
      </c>
      <c r="AH25" s="2">
        <v>11</v>
      </c>
      <c r="AI25" s="2">
        <v>22</v>
      </c>
      <c r="AJ25" s="2">
        <v>0.7</v>
      </c>
      <c r="AK25" s="2">
        <v>0.15</v>
      </c>
      <c r="AS25" s="106" t="s">
        <v>12</v>
      </c>
      <c r="AT25" s="174" t="s">
        <v>37</v>
      </c>
      <c r="AW25" s="2" t="s">
        <v>396</v>
      </c>
      <c r="AX25" s="2">
        <v>0.5</v>
      </c>
    </row>
    <row r="26" spans="2:50" ht="18" customHeight="1" thickBot="1" x14ac:dyDescent="0.35">
      <c r="C26" s="3" t="s">
        <v>281</v>
      </c>
      <c r="F26" s="145" t="s">
        <v>11</v>
      </c>
      <c r="G26" s="36" t="s">
        <v>225</v>
      </c>
      <c r="N26" s="168" t="s">
        <v>37</v>
      </c>
      <c r="O26" s="2">
        <v>0.01</v>
      </c>
      <c r="R26" s="169" t="s">
        <v>321</v>
      </c>
      <c r="S26" s="2">
        <v>6.0000000000000001E-3</v>
      </c>
      <c r="V26" s="215" t="s">
        <v>10</v>
      </c>
      <c r="W26" s="216" t="s">
        <v>37</v>
      </c>
      <c r="X26" s="49">
        <v>6.0000000000000001E-3</v>
      </c>
      <c r="AA26" s="49" t="s">
        <v>32</v>
      </c>
      <c r="AB26" s="49" t="s">
        <v>369</v>
      </c>
      <c r="AC26" s="49" t="s">
        <v>372</v>
      </c>
      <c r="AF26" s="338" t="s">
        <v>27</v>
      </c>
      <c r="AG26" s="18" t="s">
        <v>28</v>
      </c>
      <c r="AH26" s="2">
        <v>7</v>
      </c>
      <c r="AI26" s="2">
        <v>93</v>
      </c>
      <c r="AJ26" s="2">
        <v>1.25</v>
      </c>
      <c r="AK26" s="2">
        <v>0.2</v>
      </c>
      <c r="AS26" s="351" t="s">
        <v>42</v>
      </c>
      <c r="AT26" s="352"/>
      <c r="AW26" s="2" t="s">
        <v>397</v>
      </c>
      <c r="AX26" s="2">
        <v>0.85</v>
      </c>
    </row>
    <row r="27" spans="2:50" ht="18" customHeight="1" thickBot="1" x14ac:dyDescent="0.35">
      <c r="C27" s="4" t="s">
        <v>288</v>
      </c>
      <c r="F27" s="8" t="s">
        <v>12</v>
      </c>
      <c r="G27" s="29" t="s">
        <v>259</v>
      </c>
      <c r="N27" s="15" t="s">
        <v>39</v>
      </c>
      <c r="O27" s="144" t="s">
        <v>320</v>
      </c>
      <c r="R27" s="168" t="s">
        <v>37</v>
      </c>
      <c r="S27" s="2">
        <v>6.0000000000000001E-3</v>
      </c>
      <c r="V27" s="227" t="s">
        <v>320</v>
      </c>
      <c r="W27" s="213" t="s">
        <v>321</v>
      </c>
      <c r="X27" s="46">
        <v>7.0000000000000001E-3</v>
      </c>
      <c r="AA27" s="165" t="s">
        <v>11</v>
      </c>
      <c r="AB27" s="166" t="s">
        <v>321</v>
      </c>
      <c r="AC27" s="85">
        <v>0.01</v>
      </c>
      <c r="AF27" s="339"/>
      <c r="AG27" s="19" t="s">
        <v>29</v>
      </c>
      <c r="AH27" s="2">
        <v>7</v>
      </c>
      <c r="AI27" s="2">
        <v>93</v>
      </c>
      <c r="AJ27" s="2">
        <v>1</v>
      </c>
      <c r="AK27" s="2">
        <v>0.2</v>
      </c>
      <c r="AS27" s="49" t="s">
        <v>32</v>
      </c>
      <c r="AT27" s="49" t="s">
        <v>369</v>
      </c>
      <c r="AW27" s="332" t="s">
        <v>487</v>
      </c>
      <c r="AX27" s="332"/>
    </row>
    <row r="28" spans="2:50" ht="18" customHeight="1" thickBot="1" x14ac:dyDescent="0.35">
      <c r="C28" s="5" t="s">
        <v>9</v>
      </c>
      <c r="N28" s="169" t="s">
        <v>321</v>
      </c>
      <c r="O28" s="2">
        <v>1.4999999999999999E-2</v>
      </c>
      <c r="R28" s="15" t="s">
        <v>39</v>
      </c>
      <c r="S28" s="15" t="s">
        <v>10</v>
      </c>
      <c r="V28" s="228"/>
      <c r="W28" s="114" t="s">
        <v>37</v>
      </c>
      <c r="X28" s="48">
        <v>7.0000000000000001E-3</v>
      </c>
      <c r="AA28" s="106" t="s">
        <v>12</v>
      </c>
      <c r="AB28" s="114" t="s">
        <v>37</v>
      </c>
      <c r="AC28" s="48">
        <v>7.4999999999999997E-3</v>
      </c>
      <c r="AF28" s="340"/>
      <c r="AG28" s="35" t="s">
        <v>224</v>
      </c>
      <c r="AH28" s="2">
        <v>7</v>
      </c>
      <c r="AI28" s="2">
        <v>93</v>
      </c>
      <c r="AJ28" s="2">
        <v>1</v>
      </c>
      <c r="AK28" s="2">
        <v>0.2</v>
      </c>
      <c r="AS28" s="107" t="s">
        <v>28</v>
      </c>
      <c r="AT28" s="175"/>
      <c r="AW28" s="2" t="s">
        <v>402</v>
      </c>
      <c r="AX28" s="2" t="s">
        <v>50</v>
      </c>
    </row>
    <row r="29" spans="2:50" ht="18" customHeight="1" thickBot="1" x14ac:dyDescent="0.35">
      <c r="C29" s="6" t="s">
        <v>10</v>
      </c>
      <c r="N29" s="168" t="s">
        <v>37</v>
      </c>
      <c r="O29" s="2">
        <v>1.4999999999999999E-2</v>
      </c>
      <c r="R29" s="168" t="s">
        <v>37</v>
      </c>
      <c r="S29" s="2">
        <v>6.0000000000000001E-3</v>
      </c>
      <c r="AA29" s="319" t="s">
        <v>42</v>
      </c>
      <c r="AB29" s="320"/>
      <c r="AC29" s="321"/>
      <c r="AF29" s="341" t="s">
        <v>31</v>
      </c>
      <c r="AG29" s="31" t="s">
        <v>226</v>
      </c>
      <c r="AH29" s="2">
        <v>9</v>
      </c>
      <c r="AI29" s="2">
        <v>24</v>
      </c>
      <c r="AJ29" s="2">
        <v>0.2</v>
      </c>
      <c r="AK29" s="2">
        <v>0</v>
      </c>
      <c r="AS29" s="96" t="s">
        <v>29</v>
      </c>
      <c r="AT29" s="173" t="s">
        <v>321</v>
      </c>
      <c r="AW29" s="2" t="s">
        <v>395</v>
      </c>
      <c r="AX29" s="2">
        <v>0.35</v>
      </c>
    </row>
    <row r="30" spans="2:50" ht="18" customHeight="1" thickBot="1" x14ac:dyDescent="0.35">
      <c r="C30" s="7" t="s">
        <v>292</v>
      </c>
      <c r="N30" s="16" t="s">
        <v>41</v>
      </c>
      <c r="O30" s="16" t="s">
        <v>11</v>
      </c>
      <c r="R30" s="15" t="s">
        <v>39</v>
      </c>
      <c r="S30" s="144" t="s">
        <v>320</v>
      </c>
      <c r="AA30" s="49" t="s">
        <v>32</v>
      </c>
      <c r="AB30" s="49" t="s">
        <v>369</v>
      </c>
      <c r="AC30" s="49" t="s">
        <v>372</v>
      </c>
      <c r="AF30" s="342"/>
      <c r="AG30" s="36" t="s">
        <v>225</v>
      </c>
      <c r="AH30" s="2">
        <v>9</v>
      </c>
      <c r="AI30" s="2">
        <v>24</v>
      </c>
      <c r="AJ30" s="2">
        <v>0.2</v>
      </c>
      <c r="AK30" s="2">
        <v>0</v>
      </c>
      <c r="AS30" s="106" t="s">
        <v>12</v>
      </c>
      <c r="AT30" s="174" t="s">
        <v>37</v>
      </c>
      <c r="AW30" s="2" t="s">
        <v>396</v>
      </c>
      <c r="AX30" s="2">
        <v>0.6</v>
      </c>
    </row>
    <row r="31" spans="2:50" ht="18" customHeight="1" thickBot="1" x14ac:dyDescent="0.35">
      <c r="C31" s="145" t="s">
        <v>11</v>
      </c>
      <c r="N31" s="169" t="s">
        <v>321</v>
      </c>
      <c r="O31" s="2">
        <v>0.01</v>
      </c>
      <c r="R31" s="169" t="s">
        <v>321</v>
      </c>
      <c r="S31" s="2">
        <v>7.0000000000000001E-3</v>
      </c>
      <c r="AA31" s="325" t="s">
        <v>28</v>
      </c>
      <c r="AB31" s="163" t="s">
        <v>370</v>
      </c>
      <c r="AC31" s="85">
        <v>0.01</v>
      </c>
      <c r="AF31" s="343"/>
      <c r="AG31" s="29" t="s">
        <v>259</v>
      </c>
      <c r="AH31" s="2">
        <v>9</v>
      </c>
      <c r="AI31" s="2">
        <v>24</v>
      </c>
      <c r="AJ31" s="2">
        <v>0.2</v>
      </c>
      <c r="AK31" s="2">
        <v>0</v>
      </c>
      <c r="AS31" s="353" t="s">
        <v>43</v>
      </c>
      <c r="AT31" s="354"/>
      <c r="AW31" s="2" t="s">
        <v>397</v>
      </c>
      <c r="AX31" s="2">
        <v>1</v>
      </c>
    </row>
    <row r="32" spans="2:50" ht="18" customHeight="1" thickBot="1" x14ac:dyDescent="0.35">
      <c r="C32" s="8" t="s">
        <v>12</v>
      </c>
      <c r="N32" s="16" t="s">
        <v>41</v>
      </c>
      <c r="O32" s="17" t="s">
        <v>12</v>
      </c>
      <c r="R32" s="168" t="s">
        <v>37</v>
      </c>
      <c r="S32" s="2">
        <v>7.0000000000000001E-3</v>
      </c>
      <c r="AA32" s="326"/>
      <c r="AB32" s="166" t="s">
        <v>321</v>
      </c>
      <c r="AC32" s="85">
        <v>0.01</v>
      </c>
      <c r="AS32" s="49" t="s">
        <v>32</v>
      </c>
      <c r="AT32" s="49" t="s">
        <v>369</v>
      </c>
      <c r="AW32" s="332" t="s">
        <v>488</v>
      </c>
      <c r="AX32" s="332"/>
    </row>
    <row r="33" spans="14:50" ht="18" customHeight="1" x14ac:dyDescent="0.3">
      <c r="N33" s="168" t="s">
        <v>37</v>
      </c>
      <c r="O33" s="2">
        <v>7.4999999999999997E-3</v>
      </c>
      <c r="R33" s="16" t="s">
        <v>41</v>
      </c>
      <c r="S33" s="16" t="s">
        <v>11</v>
      </c>
      <c r="AA33" s="96" t="s">
        <v>29</v>
      </c>
      <c r="AB33" s="149" t="s">
        <v>321</v>
      </c>
      <c r="AC33" s="47">
        <v>0.01</v>
      </c>
      <c r="AS33" s="108" t="s">
        <v>10</v>
      </c>
      <c r="AT33" s="175" t="s">
        <v>37</v>
      </c>
      <c r="AW33" s="2" t="s">
        <v>402</v>
      </c>
      <c r="AX33" s="2" t="s">
        <v>50</v>
      </c>
    </row>
    <row r="34" spans="14:50" ht="18" customHeight="1" thickBot="1" x14ac:dyDescent="0.35">
      <c r="N34" s="18" t="s">
        <v>42</v>
      </c>
      <c r="O34" s="18" t="s">
        <v>28</v>
      </c>
      <c r="R34" s="169" t="s">
        <v>321</v>
      </c>
      <c r="S34" s="2">
        <v>0.01</v>
      </c>
      <c r="AA34" s="106" t="s">
        <v>12</v>
      </c>
      <c r="AB34" s="114" t="s">
        <v>37</v>
      </c>
      <c r="AC34" s="48">
        <v>7.4999999999999997E-3</v>
      </c>
      <c r="AS34" s="92" t="s">
        <v>11</v>
      </c>
      <c r="AT34" s="173" t="s">
        <v>37</v>
      </c>
      <c r="AW34" s="2" t="s">
        <v>395</v>
      </c>
      <c r="AX34" s="2">
        <v>0.2</v>
      </c>
    </row>
    <row r="35" spans="14:50" ht="18" customHeight="1" thickBot="1" x14ac:dyDescent="0.35">
      <c r="N35" s="170" t="s">
        <v>370</v>
      </c>
      <c r="O35" s="2">
        <v>0.01</v>
      </c>
      <c r="R35" s="16" t="s">
        <v>41</v>
      </c>
      <c r="S35" s="17" t="s">
        <v>12</v>
      </c>
      <c r="AA35" s="327" t="s">
        <v>43</v>
      </c>
      <c r="AB35" s="328"/>
      <c r="AC35" s="329"/>
      <c r="AS35" s="98" t="s">
        <v>12</v>
      </c>
      <c r="AT35" s="174" t="s">
        <v>37</v>
      </c>
      <c r="AW35" s="2" t="s">
        <v>396</v>
      </c>
      <c r="AX35" s="2">
        <v>0.4</v>
      </c>
    </row>
    <row r="36" spans="14:50" ht="18" customHeight="1" thickBot="1" x14ac:dyDescent="0.35">
      <c r="N36" s="169" t="s">
        <v>321</v>
      </c>
      <c r="O36" s="2">
        <v>0.01</v>
      </c>
      <c r="R36" s="168" t="s">
        <v>37</v>
      </c>
      <c r="S36" s="2">
        <v>7.4999999999999997E-3</v>
      </c>
      <c r="AA36" s="49" t="s">
        <v>32</v>
      </c>
      <c r="AB36" s="49" t="s">
        <v>369</v>
      </c>
      <c r="AC36" s="49" t="s">
        <v>372</v>
      </c>
      <c r="AW36" s="2" t="s">
        <v>397</v>
      </c>
      <c r="AX36" s="2">
        <v>0.6</v>
      </c>
    </row>
    <row r="37" spans="14:50" ht="18" customHeight="1" x14ac:dyDescent="0.3">
      <c r="N37" s="18" t="s">
        <v>42</v>
      </c>
      <c r="O37" s="19" t="s">
        <v>29</v>
      </c>
      <c r="R37" s="18" t="s">
        <v>42</v>
      </c>
      <c r="S37" s="18" t="s">
        <v>28</v>
      </c>
      <c r="AA37" s="167" t="s">
        <v>10</v>
      </c>
      <c r="AB37" s="109" t="s">
        <v>37</v>
      </c>
      <c r="AC37" s="85">
        <v>0.01</v>
      </c>
      <c r="AW37" s="2" t="s">
        <v>479</v>
      </c>
      <c r="AX37" s="2">
        <v>0.85</v>
      </c>
    </row>
    <row r="38" spans="14:50" ht="18" customHeight="1" x14ac:dyDescent="0.3">
      <c r="N38" s="169" t="s">
        <v>321</v>
      </c>
      <c r="O38" s="2">
        <v>0.01</v>
      </c>
      <c r="R38" s="170" t="s">
        <v>370</v>
      </c>
      <c r="S38" s="2">
        <v>0.01</v>
      </c>
      <c r="AA38" s="92" t="s">
        <v>11</v>
      </c>
      <c r="AB38" s="109" t="s">
        <v>37</v>
      </c>
      <c r="AC38" s="47">
        <v>0.01</v>
      </c>
      <c r="AW38" s="2" t="s">
        <v>480</v>
      </c>
      <c r="AX38" s="2">
        <v>1.1000000000000001</v>
      </c>
    </row>
    <row r="39" spans="14:50" ht="18" customHeight="1" thickBot="1" x14ac:dyDescent="0.35">
      <c r="N39" s="18" t="s">
        <v>42</v>
      </c>
      <c r="O39" s="17" t="s">
        <v>12</v>
      </c>
      <c r="R39" s="169" t="s">
        <v>321</v>
      </c>
      <c r="S39" s="2">
        <v>0.01</v>
      </c>
      <c r="AA39" s="98" t="s">
        <v>12</v>
      </c>
      <c r="AB39" s="114" t="s">
        <v>37</v>
      </c>
      <c r="AC39" s="48">
        <v>0.01</v>
      </c>
    </row>
    <row r="40" spans="14:50" ht="18" customHeight="1" x14ac:dyDescent="0.3">
      <c r="N40" s="168" t="s">
        <v>37</v>
      </c>
      <c r="O40" s="2">
        <v>7.4999999999999997E-3</v>
      </c>
      <c r="R40" s="18" t="s">
        <v>42</v>
      </c>
      <c r="S40" s="19" t="s">
        <v>29</v>
      </c>
    </row>
    <row r="41" spans="14:50" ht="18" customHeight="1" x14ac:dyDescent="0.3">
      <c r="N41" s="21" t="s">
        <v>43</v>
      </c>
      <c r="O41" s="21" t="s">
        <v>10</v>
      </c>
      <c r="R41" s="169" t="s">
        <v>321</v>
      </c>
      <c r="S41" s="2">
        <v>0.01</v>
      </c>
    </row>
    <row r="42" spans="14:50" ht="18" customHeight="1" x14ac:dyDescent="0.3">
      <c r="N42" s="168" t="s">
        <v>37</v>
      </c>
      <c r="O42" s="2">
        <v>0.01</v>
      </c>
      <c r="R42" s="18" t="s">
        <v>42</v>
      </c>
      <c r="S42" s="17" t="s">
        <v>12</v>
      </c>
    </row>
    <row r="43" spans="14:50" ht="18" customHeight="1" x14ac:dyDescent="0.3">
      <c r="N43" s="21" t="s">
        <v>43</v>
      </c>
      <c r="O43" s="14" t="s">
        <v>11</v>
      </c>
      <c r="R43" s="168" t="s">
        <v>37</v>
      </c>
      <c r="S43" s="2">
        <v>7.4999999999999997E-3</v>
      </c>
    </row>
    <row r="44" spans="14:50" ht="18" customHeight="1" x14ac:dyDescent="0.3">
      <c r="N44" s="168" t="s">
        <v>37</v>
      </c>
      <c r="O44" s="2">
        <v>0.01</v>
      </c>
      <c r="R44" s="21" t="s">
        <v>43</v>
      </c>
      <c r="S44" s="21" t="s">
        <v>10</v>
      </c>
    </row>
    <row r="45" spans="14:50" ht="18" customHeight="1" x14ac:dyDescent="0.3">
      <c r="N45" s="21" t="s">
        <v>43</v>
      </c>
      <c r="O45" s="171" t="s">
        <v>12</v>
      </c>
      <c r="R45" s="168" t="s">
        <v>37</v>
      </c>
      <c r="S45" s="2">
        <v>0.01</v>
      </c>
    </row>
    <row r="46" spans="14:50" ht="18" customHeight="1" x14ac:dyDescent="0.3">
      <c r="N46" s="168" t="s">
        <v>37</v>
      </c>
      <c r="O46" s="2">
        <v>0.01</v>
      </c>
      <c r="R46" s="21" t="s">
        <v>43</v>
      </c>
      <c r="S46" s="14" t="s">
        <v>11</v>
      </c>
    </row>
    <row r="47" spans="14:50" ht="18" customHeight="1" x14ac:dyDescent="0.3">
      <c r="R47" s="168" t="s">
        <v>37</v>
      </c>
      <c r="S47" s="2">
        <v>0.01</v>
      </c>
    </row>
    <row r="48" spans="14:50" ht="18" customHeight="1" x14ac:dyDescent="0.3">
      <c r="R48" s="21" t="s">
        <v>43</v>
      </c>
      <c r="S48" s="171" t="s">
        <v>12</v>
      </c>
    </row>
    <row r="49" spans="18:19" ht="18" customHeight="1" x14ac:dyDescent="0.3">
      <c r="R49" s="168" t="s">
        <v>37</v>
      </c>
      <c r="S49" s="2">
        <v>0.01</v>
      </c>
    </row>
  </sheetData>
  <protectedRanges>
    <protectedRange sqref="AT8:AT10 AT14 AT19 AT21 AT28" name="Editable"/>
  </protectedRanges>
  <mergeCells count="66">
    <mergeCell ref="AS26:AT26"/>
    <mergeCell ref="AS31:AT31"/>
    <mergeCell ref="AS4:AT4"/>
    <mergeCell ref="AS5:AT5"/>
    <mergeCell ref="AS11:AT11"/>
    <mergeCell ref="AS17:AT17"/>
    <mergeCell ref="AS22:AT22"/>
    <mergeCell ref="AA29:AC29"/>
    <mergeCell ref="AA31:AA32"/>
    <mergeCell ref="AA35:AC35"/>
    <mergeCell ref="AA14:AA15"/>
    <mergeCell ref="AA18:AC18"/>
    <mergeCell ref="AA20:AA21"/>
    <mergeCell ref="AA23:AA24"/>
    <mergeCell ref="AA25:AC25"/>
    <mergeCell ref="AF2:AK2"/>
    <mergeCell ref="AF3:AK3"/>
    <mergeCell ref="F4:G4"/>
    <mergeCell ref="AF5:AF8"/>
    <mergeCell ref="AF9:AF12"/>
    <mergeCell ref="AA3:AC3"/>
    <mergeCell ref="AA4:AC4"/>
    <mergeCell ref="AA7:AA8"/>
    <mergeCell ref="AA9:AA10"/>
    <mergeCell ref="AA11:AC11"/>
    <mergeCell ref="V2:X2"/>
    <mergeCell ref="V3:X3"/>
    <mergeCell ref="V4:X4"/>
    <mergeCell ref="V6:V7"/>
    <mergeCell ref="V8:V9"/>
    <mergeCell ref="V10:V11"/>
    <mergeCell ref="AF13:AF16"/>
    <mergeCell ref="AF17:AF20"/>
    <mergeCell ref="AF24:AF25"/>
    <mergeCell ref="AF26:AF28"/>
    <mergeCell ref="AF29:AF31"/>
    <mergeCell ref="AF21:AF23"/>
    <mergeCell ref="V22:X22"/>
    <mergeCell ref="V24:V25"/>
    <mergeCell ref="V27:V28"/>
    <mergeCell ref="V12:X12"/>
    <mergeCell ref="V14:V15"/>
    <mergeCell ref="V16:V17"/>
    <mergeCell ref="V18:V19"/>
    <mergeCell ref="V20:V21"/>
    <mergeCell ref="BA2:BC2"/>
    <mergeCell ref="BF2:BH2"/>
    <mergeCell ref="BK2:BM2"/>
    <mergeCell ref="BP2:BR2"/>
    <mergeCell ref="BA3:BC3"/>
    <mergeCell ref="BF3:BH3"/>
    <mergeCell ref="BK3:BM3"/>
    <mergeCell ref="BP3:BR3"/>
    <mergeCell ref="BA10:BC10"/>
    <mergeCell ref="BF10:BH10"/>
    <mergeCell ref="BK10:BM10"/>
    <mergeCell ref="BA11:BC11"/>
    <mergeCell ref="BF11:BH11"/>
    <mergeCell ref="BK11:BM11"/>
    <mergeCell ref="AW17:AX17"/>
    <mergeCell ref="AW22:AX22"/>
    <mergeCell ref="AW27:AX27"/>
    <mergeCell ref="AW32:AX32"/>
    <mergeCell ref="AW2:AX2"/>
    <mergeCell ref="AW7:AX7"/>
    <mergeCell ref="AW12:AX12"/>
  </mergeCells>
  <conditionalFormatting sqref="AT7:AT10 AT13:AT16 AT19:AT21 AT24:AT25 AT28:AT30 AT33:AT35">
    <cfRule type="cellIs" dxfId="423" priority="1" operator="equal">
      <formula>"Continental"</formula>
    </cfRule>
    <cfRule type="cellIs" dxfId="422" priority="2" operator="equal">
      <formula>"Dunlop"</formula>
    </cfRule>
    <cfRule type="cellIs" dxfId="421" priority="3" operator="equal">
      <formula>"Michelin"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0858-28CF-4836-8E2F-68567A178D84}">
  <dimension ref="B1:AG20"/>
  <sheetViews>
    <sheetView workbookViewId="0">
      <selection activeCell="F12" sqref="F12"/>
    </sheetView>
  </sheetViews>
  <sheetFormatPr defaultColWidth="8.88671875" defaultRowHeight="18" customHeight="1" x14ac:dyDescent="0.3"/>
  <cols>
    <col min="1" max="1" width="3.33203125" style="1" customWidth="1"/>
    <col min="2" max="3" width="36.6640625" style="1" customWidth="1"/>
    <col min="4" max="5" width="3.33203125" style="1" customWidth="1"/>
    <col min="6" max="6" width="10.5546875" style="1" customWidth="1"/>
    <col min="7" max="7" width="10" style="1" customWidth="1"/>
    <col min="8" max="13" width="11.109375" style="1" customWidth="1"/>
    <col min="14" max="15" width="3.33203125" style="1" customWidth="1"/>
    <col min="16" max="16" width="10.5546875" style="1" customWidth="1"/>
    <col min="17" max="17" width="10" style="1" customWidth="1"/>
    <col min="18" max="23" width="11.109375" style="1" customWidth="1"/>
    <col min="24" max="25" width="3.33203125" style="1" customWidth="1"/>
    <col min="26" max="26" width="10.5546875" style="1" customWidth="1"/>
    <col min="27" max="27" width="10" style="1" customWidth="1"/>
    <col min="28" max="33" width="11.109375" style="1" customWidth="1"/>
    <col min="34" max="35" width="3.33203125" style="1" customWidth="1"/>
    <col min="36" max="16384" width="8.88671875" style="1"/>
  </cols>
  <sheetData>
    <row r="1" spans="2:33" ht="18" customHeight="1" thickBot="1" x14ac:dyDescent="0.35"/>
    <row r="2" spans="2:33" ht="18" customHeight="1" x14ac:dyDescent="0.3">
      <c r="B2" s="281" t="s">
        <v>401</v>
      </c>
      <c r="C2" s="283"/>
      <c r="F2" s="368" t="s">
        <v>22</v>
      </c>
      <c r="G2" s="369"/>
      <c r="H2" s="369"/>
      <c r="I2" s="369"/>
      <c r="J2" s="369"/>
      <c r="K2" s="369"/>
      <c r="L2" s="369"/>
      <c r="M2" s="370"/>
      <c r="P2" s="374" t="s">
        <v>223</v>
      </c>
      <c r="Q2" s="375"/>
      <c r="R2" s="375"/>
      <c r="S2" s="375"/>
      <c r="T2" s="375"/>
      <c r="U2" s="375"/>
      <c r="V2" s="375"/>
      <c r="W2" s="376"/>
      <c r="Z2" s="361" t="s">
        <v>25</v>
      </c>
      <c r="AA2" s="362"/>
      <c r="AB2" s="362"/>
      <c r="AC2" s="362"/>
      <c r="AD2" s="362"/>
      <c r="AE2" s="362"/>
      <c r="AF2" s="362"/>
      <c r="AG2" s="363"/>
    </row>
    <row r="3" spans="2:33" ht="18" customHeight="1" thickBot="1" x14ac:dyDescent="0.35">
      <c r="B3" s="284" t="s">
        <v>269</v>
      </c>
      <c r="C3" s="286"/>
      <c r="F3" s="371"/>
      <c r="G3" s="372"/>
      <c r="H3" s="372"/>
      <c r="I3" s="372"/>
      <c r="J3" s="372"/>
      <c r="K3" s="372"/>
      <c r="L3" s="372"/>
      <c r="M3" s="373"/>
      <c r="P3" s="377"/>
      <c r="Q3" s="378"/>
      <c r="R3" s="378"/>
      <c r="S3" s="378"/>
      <c r="T3" s="378"/>
      <c r="U3" s="378"/>
      <c r="V3" s="378"/>
      <c r="W3" s="379"/>
      <c r="Z3" s="364"/>
      <c r="AA3" s="365"/>
      <c r="AB3" s="365"/>
      <c r="AC3" s="365"/>
      <c r="AD3" s="365"/>
      <c r="AE3" s="365"/>
      <c r="AF3" s="365"/>
      <c r="AG3" s="366"/>
    </row>
    <row r="4" spans="2:33" ht="18" customHeight="1" thickBot="1" x14ac:dyDescent="0.35">
      <c r="B4" s="393" t="s">
        <v>382</v>
      </c>
      <c r="C4" s="394"/>
      <c r="F4" s="272" t="s">
        <v>35</v>
      </c>
      <c r="G4" s="273"/>
      <c r="H4" s="273"/>
      <c r="I4" s="367"/>
      <c r="J4" s="367"/>
      <c r="K4" s="274"/>
      <c r="L4" s="287" t="s">
        <v>33</v>
      </c>
      <c r="M4" s="289"/>
      <c r="P4" s="272" t="s">
        <v>35</v>
      </c>
      <c r="Q4" s="273"/>
      <c r="R4" s="273"/>
      <c r="S4" s="367"/>
      <c r="T4" s="367"/>
      <c r="U4" s="274"/>
      <c r="V4" s="260" t="s">
        <v>38</v>
      </c>
      <c r="W4" s="262"/>
      <c r="Z4" s="272" t="s">
        <v>35</v>
      </c>
      <c r="AA4" s="273"/>
      <c r="AB4" s="273"/>
      <c r="AC4" s="367"/>
      <c r="AD4" s="367"/>
      <c r="AE4" s="274"/>
      <c r="AF4" s="242" t="s">
        <v>39</v>
      </c>
      <c r="AG4" s="244"/>
    </row>
    <row r="5" spans="2:33" ht="18" customHeight="1" thickBot="1" x14ac:dyDescent="0.35">
      <c r="B5" s="395"/>
      <c r="C5" s="396"/>
      <c r="F5" s="49" t="s">
        <v>32</v>
      </c>
      <c r="G5" s="49" t="s">
        <v>8</v>
      </c>
      <c r="H5" s="269" t="s">
        <v>34</v>
      </c>
      <c r="I5" s="271"/>
      <c r="J5" s="141" t="s">
        <v>335</v>
      </c>
      <c r="K5" s="272" t="s">
        <v>36</v>
      </c>
      <c r="L5" s="273"/>
      <c r="M5" s="274"/>
      <c r="P5" s="49" t="s">
        <v>32</v>
      </c>
      <c r="Q5" s="49" t="s">
        <v>8</v>
      </c>
      <c r="R5" s="269" t="s">
        <v>34</v>
      </c>
      <c r="S5" s="271"/>
      <c r="T5" s="141" t="s">
        <v>335</v>
      </c>
      <c r="U5" s="272" t="s">
        <v>36</v>
      </c>
      <c r="V5" s="273"/>
      <c r="W5" s="274"/>
      <c r="Z5" s="49" t="s">
        <v>32</v>
      </c>
      <c r="AA5" s="49" t="s">
        <v>8</v>
      </c>
      <c r="AB5" s="269" t="s">
        <v>34</v>
      </c>
      <c r="AC5" s="271"/>
      <c r="AD5" s="141" t="s">
        <v>335</v>
      </c>
      <c r="AE5" s="272" t="s">
        <v>36</v>
      </c>
      <c r="AF5" s="273"/>
      <c r="AG5" s="274"/>
    </row>
    <row r="6" spans="2:33" ht="18" customHeight="1" x14ac:dyDescent="0.3">
      <c r="B6" s="393" t="s">
        <v>385</v>
      </c>
      <c r="C6" s="394"/>
      <c r="F6" s="101" t="s">
        <v>281</v>
      </c>
      <c r="G6" s="78" t="s">
        <v>281</v>
      </c>
      <c r="H6" s="218" t="s">
        <v>321</v>
      </c>
      <c r="I6" s="217" t="s">
        <v>37</v>
      </c>
      <c r="J6" s="153">
        <v>2</v>
      </c>
      <c r="K6" s="37" t="s">
        <v>278</v>
      </c>
      <c r="L6" s="357" t="s">
        <v>279</v>
      </c>
      <c r="M6" s="254"/>
      <c r="P6" s="102" t="s">
        <v>288</v>
      </c>
      <c r="Q6" s="134" t="s">
        <v>288</v>
      </c>
      <c r="R6" s="223" t="s">
        <v>370</v>
      </c>
      <c r="S6" s="217" t="s">
        <v>37</v>
      </c>
      <c r="T6" s="153">
        <v>2</v>
      </c>
      <c r="U6" s="37" t="s">
        <v>278</v>
      </c>
      <c r="V6" s="2" t="s">
        <v>336</v>
      </c>
      <c r="W6" s="52" t="s">
        <v>46</v>
      </c>
      <c r="Z6" s="104" t="s">
        <v>9</v>
      </c>
      <c r="AA6" s="117" t="s">
        <v>9</v>
      </c>
      <c r="AB6" s="218" t="s">
        <v>321</v>
      </c>
      <c r="AC6" s="217" t="s">
        <v>37</v>
      </c>
      <c r="AD6" s="153">
        <v>2</v>
      </c>
      <c r="AE6" s="37" t="s">
        <v>278</v>
      </c>
      <c r="AF6" s="38" t="s">
        <v>336</v>
      </c>
      <c r="AG6" s="119" t="s">
        <v>44</v>
      </c>
    </row>
    <row r="7" spans="2:33" ht="18" customHeight="1" thickBot="1" x14ac:dyDescent="0.35">
      <c r="B7" s="395"/>
      <c r="C7" s="396"/>
      <c r="F7" s="88" t="s">
        <v>9</v>
      </c>
      <c r="G7" s="80" t="s">
        <v>9</v>
      </c>
      <c r="H7" s="219" t="s">
        <v>321</v>
      </c>
      <c r="I7" s="220" t="s">
        <v>37</v>
      </c>
      <c r="J7" s="152">
        <v>2</v>
      </c>
      <c r="K7" s="51" t="s">
        <v>278</v>
      </c>
      <c r="L7" s="2" t="s">
        <v>46</v>
      </c>
      <c r="M7" s="110" t="s">
        <v>44</v>
      </c>
      <c r="P7" s="90" t="s">
        <v>9</v>
      </c>
      <c r="Q7" s="80" t="s">
        <v>9</v>
      </c>
      <c r="R7" s="224" t="s">
        <v>370</v>
      </c>
      <c r="S7" s="220" t="s">
        <v>37</v>
      </c>
      <c r="T7" s="152">
        <v>2</v>
      </c>
      <c r="U7" s="136" t="s">
        <v>47</v>
      </c>
      <c r="V7" s="24" t="s">
        <v>45</v>
      </c>
      <c r="W7" s="110" t="s">
        <v>44</v>
      </c>
      <c r="Z7" s="93" t="s">
        <v>10</v>
      </c>
      <c r="AA7" s="81" t="s">
        <v>10</v>
      </c>
      <c r="AB7" s="359" t="s">
        <v>37</v>
      </c>
      <c r="AC7" s="360"/>
      <c r="AD7" s="152">
        <v>2</v>
      </c>
      <c r="AE7" s="51" t="s">
        <v>46</v>
      </c>
      <c r="AF7" s="23" t="s">
        <v>44</v>
      </c>
      <c r="AG7" s="120" t="s">
        <v>45</v>
      </c>
    </row>
    <row r="8" spans="2:33" ht="18" customHeight="1" thickBot="1" x14ac:dyDescent="0.35">
      <c r="B8" s="277" t="s">
        <v>272</v>
      </c>
      <c r="C8" s="277" t="s">
        <v>338</v>
      </c>
      <c r="F8" s="147" t="s">
        <v>317</v>
      </c>
      <c r="G8" s="82" t="s">
        <v>320</v>
      </c>
      <c r="H8" s="219" t="s">
        <v>321</v>
      </c>
      <c r="I8" s="220" t="s">
        <v>37</v>
      </c>
      <c r="J8" s="152">
        <v>2</v>
      </c>
      <c r="K8" s="51" t="s">
        <v>278</v>
      </c>
      <c r="L8" s="358" t="s">
        <v>279</v>
      </c>
      <c r="M8" s="251"/>
      <c r="P8" s="91" t="s">
        <v>319</v>
      </c>
      <c r="Q8" s="82" t="s">
        <v>320</v>
      </c>
      <c r="R8" s="224" t="s">
        <v>370</v>
      </c>
      <c r="S8" s="220" t="s">
        <v>37</v>
      </c>
      <c r="T8" s="152">
        <v>2</v>
      </c>
      <c r="U8" s="51" t="s">
        <v>278</v>
      </c>
      <c r="V8" s="2" t="s">
        <v>336</v>
      </c>
      <c r="W8" s="52" t="s">
        <v>46</v>
      </c>
      <c r="Z8" s="148" t="s">
        <v>320</v>
      </c>
      <c r="AA8" s="118" t="s">
        <v>320</v>
      </c>
      <c r="AB8" s="221" t="s">
        <v>321</v>
      </c>
      <c r="AC8" s="222" t="s">
        <v>37</v>
      </c>
      <c r="AD8" s="154">
        <v>2</v>
      </c>
      <c r="AE8" s="40" t="s">
        <v>278</v>
      </c>
      <c r="AF8" s="111" t="s">
        <v>44</v>
      </c>
      <c r="AG8" s="112" t="s">
        <v>45</v>
      </c>
    </row>
    <row r="9" spans="2:33" ht="18" customHeight="1" thickBot="1" x14ac:dyDescent="0.35">
      <c r="B9" s="380"/>
      <c r="C9" s="380"/>
      <c r="F9" s="148" t="s">
        <v>318</v>
      </c>
      <c r="G9" s="118" t="s">
        <v>320</v>
      </c>
      <c r="H9" s="221" t="s">
        <v>321</v>
      </c>
      <c r="I9" s="222" t="s">
        <v>37</v>
      </c>
      <c r="J9" s="154">
        <v>2</v>
      </c>
      <c r="K9" s="40" t="s">
        <v>278</v>
      </c>
      <c r="L9" s="111" t="s">
        <v>44</v>
      </c>
      <c r="M9" s="112" t="s">
        <v>45</v>
      </c>
      <c r="P9" s="103" t="s">
        <v>24</v>
      </c>
      <c r="Q9" s="151" t="s">
        <v>11</v>
      </c>
      <c r="R9" s="225" t="s">
        <v>370</v>
      </c>
      <c r="S9" s="222" t="s">
        <v>37</v>
      </c>
      <c r="T9" s="154">
        <v>2</v>
      </c>
      <c r="U9" s="40" t="s">
        <v>278</v>
      </c>
      <c r="V9" s="115" t="s">
        <v>45</v>
      </c>
      <c r="W9" s="116" t="s">
        <v>44</v>
      </c>
    </row>
    <row r="10" spans="2:33" ht="18" customHeight="1" x14ac:dyDescent="0.3">
      <c r="B10" s="380"/>
      <c r="C10" s="380" t="s">
        <v>270</v>
      </c>
    </row>
    <row r="11" spans="2:33" ht="18" customHeight="1" x14ac:dyDescent="0.3">
      <c r="B11" s="380"/>
      <c r="C11" s="380"/>
    </row>
    <row r="12" spans="2:33" ht="18" customHeight="1" x14ac:dyDescent="0.3">
      <c r="B12" s="380"/>
      <c r="C12" s="380"/>
    </row>
    <row r="13" spans="2:33" ht="18" customHeight="1" x14ac:dyDescent="0.3">
      <c r="B13" s="380" t="s">
        <v>339</v>
      </c>
      <c r="C13" s="380"/>
    </row>
    <row r="14" spans="2:33" ht="18" customHeight="1" x14ac:dyDescent="0.3">
      <c r="B14" s="380"/>
      <c r="C14" s="380" t="s">
        <v>280</v>
      </c>
    </row>
    <row r="15" spans="2:33" ht="18" customHeight="1" x14ac:dyDescent="0.3">
      <c r="B15" s="380"/>
      <c r="C15" s="380"/>
    </row>
    <row r="16" spans="2:33" ht="18" customHeight="1" x14ac:dyDescent="0.3">
      <c r="B16" s="380"/>
      <c r="C16" s="380"/>
    </row>
    <row r="17" spans="2:3" ht="18" customHeight="1" x14ac:dyDescent="0.3">
      <c r="B17" s="380" t="s">
        <v>337</v>
      </c>
      <c r="C17" s="380" t="s">
        <v>322</v>
      </c>
    </row>
    <row r="18" spans="2:3" ht="18" customHeight="1" x14ac:dyDescent="0.3">
      <c r="B18" s="380"/>
      <c r="C18" s="380"/>
    </row>
    <row r="19" spans="2:3" ht="18" customHeight="1" x14ac:dyDescent="0.3">
      <c r="B19" s="380"/>
      <c r="C19" s="380" t="s">
        <v>392</v>
      </c>
    </row>
    <row r="20" spans="2:3" ht="18" customHeight="1" thickBot="1" x14ac:dyDescent="0.35">
      <c r="B20" s="298"/>
      <c r="C20" s="298"/>
    </row>
  </sheetData>
  <sheetProtection algorithmName="SHA-512" hashValue="syE1aZO4HEf49weWlslcSvkDozJ8TCJfMPc0EgMKO52MSzrQC3rx67rZvKBpYhXGi9xXncZzLpCkajSkkuBP2Q==" saltValue="tbSHwJuaU+495omyg5MYgA==" spinCount="100000" sheet="1" objects="1" scenarios="1"/>
  <mergeCells count="30">
    <mergeCell ref="B17:B20"/>
    <mergeCell ref="C17:C18"/>
    <mergeCell ref="C19:C20"/>
    <mergeCell ref="B2:C2"/>
    <mergeCell ref="B3:C3"/>
    <mergeCell ref="B4:C5"/>
    <mergeCell ref="B6:C7"/>
    <mergeCell ref="B8:B12"/>
    <mergeCell ref="C8:C9"/>
    <mergeCell ref="C10:C13"/>
    <mergeCell ref="B13:B16"/>
    <mergeCell ref="C14:C16"/>
    <mergeCell ref="Z2:AG3"/>
    <mergeCell ref="L4:M4"/>
    <mergeCell ref="F4:K4"/>
    <mergeCell ref="AE5:AG5"/>
    <mergeCell ref="F2:M3"/>
    <mergeCell ref="P2:W3"/>
    <mergeCell ref="U5:W5"/>
    <mergeCell ref="P4:U4"/>
    <mergeCell ref="V4:W4"/>
    <mergeCell ref="AB5:AC5"/>
    <mergeCell ref="R5:S5"/>
    <mergeCell ref="K5:M5"/>
    <mergeCell ref="Z4:AE4"/>
    <mergeCell ref="L6:M6"/>
    <mergeCell ref="L8:M8"/>
    <mergeCell ref="H5:I5"/>
    <mergeCell ref="AF4:AG4"/>
    <mergeCell ref="AB7:A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FD82-F1C2-4853-934E-A27EBB27F5F4}">
  <dimension ref="B1:AC20"/>
  <sheetViews>
    <sheetView workbookViewId="0">
      <selection activeCell="B23" sqref="B23"/>
    </sheetView>
  </sheetViews>
  <sheetFormatPr defaultColWidth="8.88671875" defaultRowHeight="18" customHeight="1" x14ac:dyDescent="0.3"/>
  <cols>
    <col min="1" max="1" width="3.33203125" style="1" customWidth="1"/>
    <col min="2" max="3" width="36.6640625" style="1" customWidth="1"/>
    <col min="4" max="5" width="3.33203125" style="1" customWidth="1"/>
    <col min="6" max="6" width="10.5546875" style="1" customWidth="1"/>
    <col min="7" max="7" width="10" style="1" customWidth="1"/>
    <col min="8" max="12" width="11.109375" style="1" customWidth="1"/>
    <col min="13" max="14" width="3.33203125" style="1" customWidth="1"/>
    <col min="15" max="15" width="10.5546875" style="1" customWidth="1"/>
    <col min="16" max="16" width="10" style="1" customWidth="1"/>
    <col min="17" max="21" width="11.109375" style="1" customWidth="1"/>
    <col min="22" max="23" width="3.33203125" style="1" customWidth="1"/>
    <col min="24" max="24" width="10.5546875" style="1" customWidth="1"/>
    <col min="25" max="25" width="10" style="1" customWidth="1"/>
    <col min="26" max="29" width="11.109375" style="1" customWidth="1"/>
    <col min="30" max="31" width="3.33203125" style="1" customWidth="1"/>
    <col min="32" max="16384" width="8.88671875" style="1"/>
  </cols>
  <sheetData>
    <row r="1" spans="2:29" ht="18" customHeight="1" thickBot="1" x14ac:dyDescent="0.35"/>
    <row r="2" spans="2:29" ht="18" customHeight="1" x14ac:dyDescent="0.3">
      <c r="B2" s="281" t="s">
        <v>401</v>
      </c>
      <c r="C2" s="283"/>
      <c r="F2" s="368" t="s">
        <v>22</v>
      </c>
      <c r="G2" s="369"/>
      <c r="H2" s="369"/>
      <c r="I2" s="369"/>
      <c r="J2" s="369"/>
      <c r="K2" s="369"/>
      <c r="L2" s="370"/>
      <c r="O2" s="361" t="s">
        <v>25</v>
      </c>
      <c r="P2" s="362"/>
      <c r="Q2" s="362"/>
      <c r="R2" s="362"/>
      <c r="S2" s="362"/>
      <c r="T2" s="362"/>
      <c r="U2" s="363"/>
      <c r="X2" s="397" t="s">
        <v>26</v>
      </c>
      <c r="Y2" s="398"/>
      <c r="Z2" s="398"/>
      <c r="AA2" s="398"/>
      <c r="AB2" s="398"/>
      <c r="AC2" s="399"/>
    </row>
    <row r="3" spans="2:29" ht="18" customHeight="1" thickBot="1" x14ac:dyDescent="0.35">
      <c r="B3" s="284" t="s">
        <v>269</v>
      </c>
      <c r="C3" s="286"/>
      <c r="F3" s="371"/>
      <c r="G3" s="372"/>
      <c r="H3" s="372"/>
      <c r="I3" s="372"/>
      <c r="J3" s="372"/>
      <c r="K3" s="372"/>
      <c r="L3" s="373"/>
      <c r="O3" s="364"/>
      <c r="P3" s="365"/>
      <c r="Q3" s="365"/>
      <c r="R3" s="365"/>
      <c r="S3" s="365"/>
      <c r="T3" s="365"/>
      <c r="U3" s="366"/>
      <c r="X3" s="400"/>
      <c r="Y3" s="401"/>
      <c r="Z3" s="401"/>
      <c r="AA3" s="401"/>
      <c r="AB3" s="401"/>
      <c r="AC3" s="402"/>
    </row>
    <row r="4" spans="2:29" ht="18" customHeight="1" thickBot="1" x14ac:dyDescent="0.35">
      <c r="B4" s="393" t="s">
        <v>382</v>
      </c>
      <c r="C4" s="394"/>
      <c r="F4" s="272" t="s">
        <v>35</v>
      </c>
      <c r="G4" s="273"/>
      <c r="H4" s="273"/>
      <c r="I4" s="367"/>
      <c r="J4" s="274"/>
      <c r="K4" s="287" t="s">
        <v>33</v>
      </c>
      <c r="L4" s="289"/>
      <c r="O4" s="272" t="s">
        <v>35</v>
      </c>
      <c r="P4" s="273"/>
      <c r="Q4" s="273"/>
      <c r="R4" s="367"/>
      <c r="S4" s="274"/>
      <c r="T4" s="242" t="s">
        <v>39</v>
      </c>
      <c r="U4" s="244"/>
      <c r="X4" s="272" t="s">
        <v>35</v>
      </c>
      <c r="Y4" s="273"/>
      <c r="Z4" s="273"/>
      <c r="AA4" s="367"/>
      <c r="AB4" s="274"/>
      <c r="AC4" s="184"/>
    </row>
    <row r="5" spans="2:29" ht="18" customHeight="1" thickBot="1" x14ac:dyDescent="0.35">
      <c r="B5" s="395"/>
      <c r="C5" s="396"/>
      <c r="F5" s="49" t="s">
        <v>32</v>
      </c>
      <c r="G5" s="49" t="s">
        <v>8</v>
      </c>
      <c r="H5" s="49" t="s">
        <v>34</v>
      </c>
      <c r="I5" s="141" t="s">
        <v>335</v>
      </c>
      <c r="J5" s="272" t="s">
        <v>36</v>
      </c>
      <c r="K5" s="273"/>
      <c r="L5" s="274"/>
      <c r="O5" s="49" t="s">
        <v>32</v>
      </c>
      <c r="P5" s="49" t="s">
        <v>8</v>
      </c>
      <c r="Q5" s="49" t="s">
        <v>34</v>
      </c>
      <c r="R5" s="141" t="s">
        <v>335</v>
      </c>
      <c r="S5" s="272" t="s">
        <v>36</v>
      </c>
      <c r="T5" s="273"/>
      <c r="U5" s="274"/>
      <c r="X5" s="49" t="s">
        <v>32</v>
      </c>
      <c r="Y5" s="49" t="s">
        <v>8</v>
      </c>
      <c r="Z5" s="49" t="s">
        <v>34</v>
      </c>
      <c r="AA5" s="141" t="s">
        <v>335</v>
      </c>
      <c r="AB5" s="272" t="s">
        <v>36</v>
      </c>
      <c r="AC5" s="274"/>
    </row>
    <row r="6" spans="2:29" ht="18" customHeight="1" x14ac:dyDescent="0.3">
      <c r="B6" s="393" t="s">
        <v>385</v>
      </c>
      <c r="C6" s="394"/>
      <c r="F6" s="101" t="s">
        <v>281</v>
      </c>
      <c r="G6" s="78" t="s">
        <v>281</v>
      </c>
      <c r="H6" s="113" t="s">
        <v>37</v>
      </c>
      <c r="I6" s="153">
        <v>2</v>
      </c>
      <c r="J6" s="37" t="s">
        <v>278</v>
      </c>
      <c r="K6" s="357" t="s">
        <v>279</v>
      </c>
      <c r="L6" s="254"/>
      <c r="O6" s="104" t="s">
        <v>9</v>
      </c>
      <c r="P6" s="117" t="s">
        <v>9</v>
      </c>
      <c r="Q6" s="175" t="s">
        <v>46</v>
      </c>
      <c r="R6" s="153">
        <v>2</v>
      </c>
      <c r="S6" s="37" t="s">
        <v>278</v>
      </c>
      <c r="T6" s="38" t="s">
        <v>336</v>
      </c>
      <c r="U6" s="119" t="s">
        <v>44</v>
      </c>
      <c r="X6" s="105" t="s">
        <v>11</v>
      </c>
      <c r="Y6" s="150" t="s">
        <v>11</v>
      </c>
      <c r="Z6" s="113" t="s">
        <v>37</v>
      </c>
      <c r="AA6" s="153">
        <v>3</v>
      </c>
      <c r="AB6" s="37" t="s">
        <v>278</v>
      </c>
      <c r="AC6" s="119" t="s">
        <v>44</v>
      </c>
    </row>
    <row r="7" spans="2:29" ht="18" customHeight="1" thickBot="1" x14ac:dyDescent="0.35">
      <c r="B7" s="395"/>
      <c r="C7" s="396"/>
      <c r="F7" s="88" t="s">
        <v>9</v>
      </c>
      <c r="G7" s="80" t="s">
        <v>9</v>
      </c>
      <c r="H7" s="173" t="s">
        <v>46</v>
      </c>
      <c r="I7" s="152">
        <v>2</v>
      </c>
      <c r="J7" s="51" t="s">
        <v>278</v>
      </c>
      <c r="K7" s="2" t="s">
        <v>46</v>
      </c>
      <c r="L7" s="110" t="s">
        <v>44</v>
      </c>
      <c r="O7" s="93" t="s">
        <v>10</v>
      </c>
      <c r="P7" s="81" t="s">
        <v>10</v>
      </c>
      <c r="Q7" s="109" t="s">
        <v>37</v>
      </c>
      <c r="R7" s="152">
        <v>2</v>
      </c>
      <c r="S7" s="51" t="s">
        <v>46</v>
      </c>
      <c r="T7" s="23" t="s">
        <v>44</v>
      </c>
      <c r="U7" s="120" t="s">
        <v>45</v>
      </c>
      <c r="X7" s="106" t="s">
        <v>12</v>
      </c>
      <c r="Y7" s="84" t="s">
        <v>12</v>
      </c>
      <c r="Z7" s="114" t="s">
        <v>37</v>
      </c>
      <c r="AA7" s="154">
        <v>3</v>
      </c>
      <c r="AB7" s="182" t="s">
        <v>47</v>
      </c>
      <c r="AC7" s="112" t="s">
        <v>45</v>
      </c>
    </row>
    <row r="8" spans="2:29" ht="18" customHeight="1" thickBot="1" x14ac:dyDescent="0.35">
      <c r="B8" s="277" t="s">
        <v>272</v>
      </c>
      <c r="C8" s="277" t="s">
        <v>338</v>
      </c>
      <c r="F8" s="147" t="s">
        <v>317</v>
      </c>
      <c r="G8" s="82" t="s">
        <v>320</v>
      </c>
      <c r="H8" s="176" t="s">
        <v>46</v>
      </c>
      <c r="I8" s="152">
        <v>2</v>
      </c>
      <c r="J8" s="51" t="s">
        <v>278</v>
      </c>
      <c r="K8" s="358" t="s">
        <v>279</v>
      </c>
      <c r="L8" s="251"/>
      <c r="O8" s="148" t="s">
        <v>320</v>
      </c>
      <c r="P8" s="118" t="s">
        <v>320</v>
      </c>
      <c r="Q8" s="174" t="s">
        <v>46</v>
      </c>
      <c r="R8" s="154">
        <v>2</v>
      </c>
      <c r="S8" s="40" t="s">
        <v>278</v>
      </c>
      <c r="T8" s="111" t="s">
        <v>44</v>
      </c>
      <c r="U8" s="112" t="s">
        <v>45</v>
      </c>
    </row>
    <row r="9" spans="2:29" ht="18" customHeight="1" thickBot="1" x14ac:dyDescent="0.35">
      <c r="B9" s="380"/>
      <c r="C9" s="380"/>
      <c r="F9" s="148" t="s">
        <v>318</v>
      </c>
      <c r="G9" s="118" t="s">
        <v>320</v>
      </c>
      <c r="H9" s="177" t="s">
        <v>46</v>
      </c>
      <c r="I9" s="154">
        <v>2</v>
      </c>
      <c r="J9" s="40" t="s">
        <v>278</v>
      </c>
      <c r="K9" s="111" t="s">
        <v>44</v>
      </c>
      <c r="L9" s="112" t="s">
        <v>45</v>
      </c>
    </row>
    <row r="10" spans="2:29" ht="18" customHeight="1" x14ac:dyDescent="0.3">
      <c r="B10" s="380"/>
      <c r="C10" s="380" t="s">
        <v>270</v>
      </c>
    </row>
    <row r="11" spans="2:29" ht="18" customHeight="1" thickBot="1" x14ac:dyDescent="0.35">
      <c r="B11" s="380"/>
      <c r="C11" s="380"/>
    </row>
    <row r="12" spans="2:29" ht="18" customHeight="1" x14ac:dyDescent="0.3">
      <c r="B12" s="380"/>
      <c r="C12" s="380"/>
      <c r="F12" s="374" t="s">
        <v>223</v>
      </c>
      <c r="G12" s="375"/>
      <c r="H12" s="375"/>
      <c r="I12" s="375"/>
      <c r="J12" s="375"/>
      <c r="K12" s="375"/>
      <c r="L12" s="376"/>
      <c r="O12" s="387" t="s">
        <v>27</v>
      </c>
      <c r="P12" s="388"/>
      <c r="Q12" s="388"/>
      <c r="R12" s="388"/>
      <c r="S12" s="388"/>
      <c r="T12" s="388"/>
      <c r="U12" s="389"/>
      <c r="X12" s="381" t="s">
        <v>31</v>
      </c>
      <c r="Y12" s="382"/>
      <c r="Z12" s="382"/>
      <c r="AA12" s="382"/>
      <c r="AB12" s="382"/>
      <c r="AC12" s="383"/>
    </row>
    <row r="13" spans="2:29" ht="18" customHeight="1" thickBot="1" x14ac:dyDescent="0.35">
      <c r="B13" s="380" t="s">
        <v>339</v>
      </c>
      <c r="C13" s="380"/>
      <c r="F13" s="377"/>
      <c r="G13" s="378"/>
      <c r="H13" s="378"/>
      <c r="I13" s="378"/>
      <c r="J13" s="378"/>
      <c r="K13" s="378"/>
      <c r="L13" s="379"/>
      <c r="O13" s="390"/>
      <c r="P13" s="391"/>
      <c r="Q13" s="391"/>
      <c r="R13" s="391"/>
      <c r="S13" s="391"/>
      <c r="T13" s="391"/>
      <c r="U13" s="392"/>
      <c r="X13" s="384"/>
      <c r="Y13" s="385"/>
      <c r="Z13" s="385"/>
      <c r="AA13" s="385"/>
      <c r="AB13" s="385"/>
      <c r="AC13" s="386"/>
    </row>
    <row r="14" spans="2:29" ht="18" customHeight="1" thickBot="1" x14ac:dyDescent="0.35">
      <c r="B14" s="380"/>
      <c r="C14" s="380" t="s">
        <v>280</v>
      </c>
      <c r="F14" s="272" t="s">
        <v>35</v>
      </c>
      <c r="G14" s="273"/>
      <c r="H14" s="273"/>
      <c r="I14" s="367"/>
      <c r="J14" s="274"/>
      <c r="K14" s="260" t="s">
        <v>38</v>
      </c>
      <c r="L14" s="262"/>
      <c r="O14" s="272" t="s">
        <v>35</v>
      </c>
      <c r="P14" s="273"/>
      <c r="Q14" s="273"/>
      <c r="R14" s="367"/>
      <c r="S14" s="274"/>
      <c r="T14" s="351" t="s">
        <v>42</v>
      </c>
      <c r="U14" s="352"/>
      <c r="X14" s="272" t="s">
        <v>35</v>
      </c>
      <c r="Y14" s="273"/>
      <c r="Z14" s="273"/>
      <c r="AA14" s="367"/>
      <c r="AB14" s="274"/>
      <c r="AC14" s="185"/>
    </row>
    <row r="15" spans="2:29" ht="18" customHeight="1" thickBot="1" x14ac:dyDescent="0.35">
      <c r="B15" s="380"/>
      <c r="C15" s="380"/>
      <c r="F15" s="49" t="s">
        <v>32</v>
      </c>
      <c r="G15" s="49" t="s">
        <v>8</v>
      </c>
      <c r="H15" s="49" t="s">
        <v>34</v>
      </c>
      <c r="I15" s="141" t="s">
        <v>335</v>
      </c>
      <c r="J15" s="272" t="s">
        <v>36</v>
      </c>
      <c r="K15" s="273"/>
      <c r="L15" s="274"/>
      <c r="O15" s="49" t="s">
        <v>32</v>
      </c>
      <c r="P15" s="49" t="s">
        <v>8</v>
      </c>
      <c r="Q15" s="49" t="s">
        <v>34</v>
      </c>
      <c r="R15" s="141" t="s">
        <v>335</v>
      </c>
      <c r="S15" s="272" t="s">
        <v>36</v>
      </c>
      <c r="T15" s="273"/>
      <c r="U15" s="274"/>
      <c r="X15" s="49" t="s">
        <v>32</v>
      </c>
      <c r="Y15" s="49" t="s">
        <v>8</v>
      </c>
      <c r="Z15" s="49" t="s">
        <v>34</v>
      </c>
      <c r="AA15" s="141" t="s">
        <v>335</v>
      </c>
      <c r="AB15" s="272" t="s">
        <v>36</v>
      </c>
      <c r="AC15" s="274"/>
    </row>
    <row r="16" spans="2:29" ht="18" customHeight="1" x14ac:dyDescent="0.3">
      <c r="B16" s="380"/>
      <c r="C16" s="380"/>
      <c r="F16" s="102" t="s">
        <v>288</v>
      </c>
      <c r="G16" s="134" t="s">
        <v>288</v>
      </c>
      <c r="H16" s="113" t="s">
        <v>37</v>
      </c>
      <c r="I16" s="153">
        <v>2</v>
      </c>
      <c r="J16" s="37" t="s">
        <v>278</v>
      </c>
      <c r="K16" s="2" t="s">
        <v>336</v>
      </c>
      <c r="L16" s="52" t="s">
        <v>46</v>
      </c>
      <c r="O16" s="107" t="s">
        <v>28</v>
      </c>
      <c r="P16" s="150" t="s">
        <v>11</v>
      </c>
      <c r="Q16" s="178" t="s">
        <v>46</v>
      </c>
      <c r="R16" s="153">
        <v>3</v>
      </c>
      <c r="S16" s="37" t="s">
        <v>278</v>
      </c>
      <c r="T16" s="282" t="s">
        <v>279</v>
      </c>
      <c r="U16" s="283"/>
      <c r="X16" s="108" t="s">
        <v>10</v>
      </c>
      <c r="Y16" s="121" t="s">
        <v>10</v>
      </c>
      <c r="Z16" s="113" t="s">
        <v>37</v>
      </c>
      <c r="AA16" s="153">
        <v>2</v>
      </c>
      <c r="AB16" s="183" t="s">
        <v>47</v>
      </c>
      <c r="AC16" s="186" t="s">
        <v>45</v>
      </c>
    </row>
    <row r="17" spans="2:29" ht="18" customHeight="1" x14ac:dyDescent="0.3">
      <c r="B17" s="380" t="s">
        <v>337</v>
      </c>
      <c r="C17" s="380" t="s">
        <v>322</v>
      </c>
      <c r="F17" s="90" t="s">
        <v>9</v>
      </c>
      <c r="G17" s="80" t="s">
        <v>9</v>
      </c>
      <c r="H17" s="176" t="s">
        <v>46</v>
      </c>
      <c r="I17" s="152">
        <v>2</v>
      </c>
      <c r="J17" s="136" t="s">
        <v>47</v>
      </c>
      <c r="K17" s="24" t="s">
        <v>45</v>
      </c>
      <c r="L17" s="110" t="s">
        <v>44</v>
      </c>
      <c r="O17" s="96" t="s">
        <v>29</v>
      </c>
      <c r="P17" s="137" t="s">
        <v>11</v>
      </c>
      <c r="Q17" s="109" t="s">
        <v>37</v>
      </c>
      <c r="R17" s="152">
        <v>3</v>
      </c>
      <c r="S17" s="51" t="s">
        <v>278</v>
      </c>
      <c r="T17" s="23" t="s">
        <v>44</v>
      </c>
      <c r="U17" s="120" t="s">
        <v>45</v>
      </c>
      <c r="X17" s="92" t="s">
        <v>11</v>
      </c>
      <c r="Y17" s="137" t="s">
        <v>11</v>
      </c>
      <c r="Z17" s="109" t="s">
        <v>37</v>
      </c>
      <c r="AA17" s="152">
        <v>2</v>
      </c>
      <c r="AB17" s="51" t="s">
        <v>278</v>
      </c>
      <c r="AC17" s="120" t="s">
        <v>45</v>
      </c>
    </row>
    <row r="18" spans="2:29" ht="18" customHeight="1" thickBot="1" x14ac:dyDescent="0.35">
      <c r="B18" s="380"/>
      <c r="C18" s="380"/>
      <c r="F18" s="91" t="s">
        <v>319</v>
      </c>
      <c r="G18" s="82" t="s">
        <v>320</v>
      </c>
      <c r="H18" s="109" t="s">
        <v>37</v>
      </c>
      <c r="I18" s="152">
        <v>2</v>
      </c>
      <c r="J18" s="51" t="s">
        <v>278</v>
      </c>
      <c r="K18" s="2" t="s">
        <v>336</v>
      </c>
      <c r="L18" s="52" t="s">
        <v>46</v>
      </c>
      <c r="O18" s="106" t="s">
        <v>12</v>
      </c>
      <c r="P18" s="84" t="s">
        <v>12</v>
      </c>
      <c r="Q18" s="114" t="s">
        <v>37</v>
      </c>
      <c r="R18" s="154">
        <v>3</v>
      </c>
      <c r="S18" s="182" t="s">
        <v>47</v>
      </c>
      <c r="T18" s="111" t="s">
        <v>44</v>
      </c>
      <c r="U18" s="112" t="s">
        <v>45</v>
      </c>
      <c r="X18" s="98" t="s">
        <v>12</v>
      </c>
      <c r="Y18" s="84" t="s">
        <v>12</v>
      </c>
      <c r="Z18" s="114" t="s">
        <v>37</v>
      </c>
      <c r="AA18" s="154">
        <v>2</v>
      </c>
      <c r="AB18" s="182" t="s">
        <v>47</v>
      </c>
      <c r="AC18" s="112" t="s">
        <v>45</v>
      </c>
    </row>
    <row r="19" spans="2:29" ht="18" customHeight="1" thickBot="1" x14ac:dyDescent="0.35">
      <c r="B19" s="380"/>
      <c r="C19" s="380" t="s">
        <v>392</v>
      </c>
      <c r="F19" s="103" t="s">
        <v>24</v>
      </c>
      <c r="G19" s="151" t="s">
        <v>11</v>
      </c>
      <c r="H19" s="114" t="s">
        <v>37</v>
      </c>
      <c r="I19" s="154">
        <v>2</v>
      </c>
      <c r="J19" s="40" t="s">
        <v>278</v>
      </c>
      <c r="K19" s="115" t="s">
        <v>45</v>
      </c>
      <c r="L19" s="116" t="s">
        <v>44</v>
      </c>
    </row>
    <row r="20" spans="2:29" ht="18" customHeight="1" thickBot="1" x14ac:dyDescent="0.35">
      <c r="B20" s="298"/>
      <c r="C20" s="298"/>
    </row>
  </sheetData>
  <mergeCells count="37">
    <mergeCell ref="B2:C2"/>
    <mergeCell ref="F2:L3"/>
    <mergeCell ref="O2:U3"/>
    <mergeCell ref="X2:AC3"/>
    <mergeCell ref="B3:C3"/>
    <mergeCell ref="X4:AB4"/>
    <mergeCell ref="J5:L5"/>
    <mergeCell ref="S5:U5"/>
    <mergeCell ref="AB5:AC5"/>
    <mergeCell ref="B6:C7"/>
    <mergeCell ref="K6:L6"/>
    <mergeCell ref="B4:C5"/>
    <mergeCell ref="F4:J4"/>
    <mergeCell ref="K4:L4"/>
    <mergeCell ref="O4:S4"/>
    <mergeCell ref="T4:U4"/>
    <mergeCell ref="X12:AC13"/>
    <mergeCell ref="B13:B16"/>
    <mergeCell ref="C14:C16"/>
    <mergeCell ref="F14:J14"/>
    <mergeCell ref="K14:L14"/>
    <mergeCell ref="O14:S14"/>
    <mergeCell ref="T14:U14"/>
    <mergeCell ref="X14:AB14"/>
    <mergeCell ref="J15:L15"/>
    <mergeCell ref="S15:U15"/>
    <mergeCell ref="B8:B12"/>
    <mergeCell ref="C8:C9"/>
    <mergeCell ref="K8:L8"/>
    <mergeCell ref="C10:C13"/>
    <mergeCell ref="F12:L13"/>
    <mergeCell ref="O12:U13"/>
    <mergeCell ref="AB15:AC15"/>
    <mergeCell ref="T16:U16"/>
    <mergeCell ref="B17:B20"/>
    <mergeCell ref="C17:C18"/>
    <mergeCell ref="C19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02A5-9B78-41ED-8FDC-5E924FD4DF87}">
  <dimension ref="B1:BL16"/>
  <sheetViews>
    <sheetView workbookViewId="0">
      <selection activeCell="B11" sqref="B11"/>
    </sheetView>
  </sheetViews>
  <sheetFormatPr defaultColWidth="8.88671875" defaultRowHeight="18" customHeight="1" x14ac:dyDescent="0.3"/>
  <cols>
    <col min="1" max="1" width="3.33203125" style="1" customWidth="1"/>
    <col min="2" max="2" width="8.88671875" style="1"/>
    <col min="3" max="3" width="1.109375" style="1" customWidth="1"/>
    <col min="4" max="4" width="26.6640625" style="1" customWidth="1"/>
    <col min="5" max="5" width="18.88671875" style="1" customWidth="1"/>
    <col min="6" max="7" width="3.33203125" style="1" customWidth="1"/>
    <col min="8" max="8" width="8.88671875" style="1"/>
    <col min="9" max="9" width="1.109375" style="1" customWidth="1"/>
    <col min="10" max="10" width="26.6640625" style="1" customWidth="1"/>
    <col min="11" max="11" width="32.21875" style="1" customWidth="1"/>
    <col min="12" max="12" width="15.5546875" style="1" customWidth="1"/>
    <col min="13" max="14" width="8.88671875" style="1"/>
    <col min="15" max="15" width="12.21875" style="1" customWidth="1"/>
    <col min="16" max="17" width="3.33203125" style="1" customWidth="1"/>
    <col min="18" max="18" width="6.6640625" style="1" customWidth="1"/>
    <col min="19" max="19" width="1.109375" style="1" customWidth="1"/>
    <col min="20" max="20" width="26.6640625" style="1" customWidth="1"/>
    <col min="21" max="21" width="32.21875" style="1" customWidth="1"/>
    <col min="22" max="22" width="15.5546875" style="1" customWidth="1"/>
    <col min="23" max="24" width="8.88671875" style="1"/>
    <col min="25" max="25" width="14.44140625" style="1" customWidth="1"/>
    <col min="26" max="26" width="12.21875" style="1" customWidth="1"/>
    <col min="27" max="28" width="3.33203125" style="1" customWidth="1"/>
    <col min="29" max="29" width="8.88671875" style="1"/>
    <col min="30" max="30" width="1.109375" style="1" customWidth="1"/>
    <col min="31" max="31" width="26.6640625" style="1" customWidth="1"/>
    <col min="32" max="32" width="32.21875" style="1" customWidth="1"/>
    <col min="33" max="33" width="15.5546875" style="1" customWidth="1"/>
    <col min="34" max="34" width="8.88671875" style="1"/>
    <col min="35" max="35" width="12.21875" style="1" customWidth="1"/>
    <col min="36" max="36" width="3.33203125" style="1" customWidth="1"/>
    <col min="37" max="37" width="3.33203125" style="1" hidden="1" customWidth="1"/>
    <col min="38" max="38" width="0" style="1" hidden="1" customWidth="1"/>
    <col min="39" max="39" width="1.109375" style="1" hidden="1" customWidth="1"/>
    <col min="40" max="40" width="37.77734375" style="1" hidden="1" customWidth="1"/>
    <col min="41" max="41" width="32.21875" style="1" hidden="1" customWidth="1"/>
    <col min="42" max="42" width="15.5546875" style="1" hidden="1" customWidth="1"/>
    <col min="43" max="43" width="0" style="1" hidden="1" customWidth="1"/>
    <col min="44" max="44" width="14.44140625" style="1" hidden="1" customWidth="1"/>
    <col min="45" max="46" width="3.33203125" style="1" hidden="1" customWidth="1"/>
    <col min="47" max="47" width="0" style="1" hidden="1" customWidth="1"/>
    <col min="48" max="48" width="1.109375" style="1" hidden="1" customWidth="1"/>
    <col min="49" max="49" width="26.6640625" style="1" hidden="1" customWidth="1"/>
    <col min="50" max="50" width="32.21875" style="1" hidden="1" customWidth="1"/>
    <col min="51" max="51" width="15.5546875" style="1" hidden="1" customWidth="1"/>
    <col min="52" max="53" width="0" style="1" hidden="1" customWidth="1"/>
    <col min="54" max="54" width="14.44140625" style="1" hidden="1" customWidth="1"/>
    <col min="55" max="56" width="3.33203125" style="1" hidden="1" customWidth="1"/>
    <col min="57" max="57" width="0" style="1" hidden="1" customWidth="1"/>
    <col min="58" max="58" width="1.109375" style="1" hidden="1" customWidth="1"/>
    <col min="59" max="59" width="26.6640625" style="1" hidden="1" customWidth="1"/>
    <col min="60" max="60" width="32.21875" style="1" hidden="1" customWidth="1"/>
    <col min="61" max="61" width="15.5546875" style="1" hidden="1" customWidth="1"/>
    <col min="62" max="62" width="0" style="1" hidden="1" customWidth="1"/>
    <col min="63" max="63" width="14.44140625" style="1" hidden="1" customWidth="1"/>
    <col min="64" max="64" width="3.33203125" style="1" hidden="1" customWidth="1"/>
    <col min="65" max="16384" width="8.88671875" style="1"/>
  </cols>
  <sheetData>
    <row r="1" spans="2:63" ht="18" customHeight="1" thickBot="1" x14ac:dyDescent="0.35"/>
    <row r="2" spans="2:63" ht="18" customHeight="1" thickBot="1" x14ac:dyDescent="0.35">
      <c r="B2" s="281" t="s">
        <v>401</v>
      </c>
      <c r="C2" s="282"/>
      <c r="D2" s="282"/>
      <c r="E2" s="283"/>
      <c r="H2" s="269" t="s">
        <v>401</v>
      </c>
      <c r="I2" s="270"/>
      <c r="J2" s="270"/>
      <c r="K2" s="270"/>
      <c r="L2" s="270"/>
      <c r="M2" s="270"/>
      <c r="N2" s="270"/>
      <c r="O2" s="271"/>
      <c r="R2" s="269" t="s">
        <v>401</v>
      </c>
      <c r="S2" s="270"/>
      <c r="T2" s="270"/>
      <c r="U2" s="270"/>
      <c r="V2" s="270"/>
      <c r="W2" s="270"/>
      <c r="X2" s="270"/>
      <c r="Y2" s="270"/>
      <c r="Z2" s="271"/>
      <c r="AC2" s="269" t="s">
        <v>401</v>
      </c>
      <c r="AD2" s="270"/>
      <c r="AE2" s="270"/>
      <c r="AF2" s="270"/>
      <c r="AG2" s="270"/>
      <c r="AH2" s="270"/>
      <c r="AI2" s="271"/>
      <c r="AL2" s="269" t="s">
        <v>401</v>
      </c>
      <c r="AM2" s="270"/>
      <c r="AN2" s="270"/>
      <c r="AO2" s="270"/>
      <c r="AP2" s="270"/>
      <c r="AQ2" s="270"/>
      <c r="AR2" s="271"/>
      <c r="AU2" s="269" t="s">
        <v>401</v>
      </c>
      <c r="AV2" s="270"/>
      <c r="AW2" s="270"/>
      <c r="AX2" s="270"/>
      <c r="AY2" s="270"/>
      <c r="AZ2" s="270"/>
      <c r="BA2" s="270"/>
      <c r="BB2" s="271"/>
      <c r="BE2" s="269" t="s">
        <v>401</v>
      </c>
      <c r="BF2" s="270"/>
      <c r="BG2" s="270"/>
      <c r="BH2" s="270"/>
      <c r="BI2" s="270"/>
      <c r="BJ2" s="270"/>
      <c r="BK2" s="271"/>
    </row>
    <row r="3" spans="2:63" ht="18" customHeight="1" thickBot="1" x14ac:dyDescent="0.35">
      <c r="B3" s="284" t="s">
        <v>262</v>
      </c>
      <c r="C3" s="285"/>
      <c r="D3" s="285"/>
      <c r="E3" s="286"/>
      <c r="H3" s="272" t="s">
        <v>55</v>
      </c>
      <c r="I3" s="273"/>
      <c r="J3" s="273"/>
      <c r="K3" s="274"/>
      <c r="L3" s="287" t="s">
        <v>22</v>
      </c>
      <c r="M3" s="288"/>
      <c r="N3" s="288"/>
      <c r="O3" s="289"/>
      <c r="R3" s="272" t="s">
        <v>55</v>
      </c>
      <c r="S3" s="273"/>
      <c r="T3" s="273"/>
      <c r="U3" s="273"/>
      <c r="V3" s="274"/>
      <c r="W3" s="260" t="s">
        <v>23</v>
      </c>
      <c r="X3" s="261"/>
      <c r="Y3" s="261"/>
      <c r="Z3" s="262"/>
      <c r="AC3" s="272" t="s">
        <v>55</v>
      </c>
      <c r="AD3" s="273"/>
      <c r="AE3" s="273"/>
      <c r="AF3" s="274"/>
      <c r="AG3" s="310" t="s">
        <v>25</v>
      </c>
      <c r="AH3" s="311"/>
      <c r="AI3" s="312"/>
      <c r="AL3" s="272" t="s">
        <v>55</v>
      </c>
      <c r="AM3" s="273"/>
      <c r="AN3" s="273"/>
      <c r="AO3" s="274"/>
      <c r="AP3" s="316" t="s">
        <v>26</v>
      </c>
      <c r="AQ3" s="317"/>
      <c r="AR3" s="318"/>
      <c r="AU3" s="272" t="s">
        <v>55</v>
      </c>
      <c r="AV3" s="273"/>
      <c r="AW3" s="273"/>
      <c r="AX3" s="274"/>
      <c r="AY3" s="319" t="s">
        <v>27</v>
      </c>
      <c r="AZ3" s="320"/>
      <c r="BA3" s="320"/>
      <c r="BB3" s="321"/>
      <c r="BE3" s="269" t="s">
        <v>55</v>
      </c>
      <c r="BF3" s="270"/>
      <c r="BG3" s="270"/>
      <c r="BH3" s="271"/>
      <c r="BI3" s="327" t="s">
        <v>31</v>
      </c>
      <c r="BJ3" s="328"/>
      <c r="BK3" s="329"/>
    </row>
    <row r="4" spans="2:63" ht="18" customHeight="1" thickBot="1" x14ac:dyDescent="0.35">
      <c r="B4" s="49" t="s">
        <v>56</v>
      </c>
      <c r="C4" s="269" t="s">
        <v>57</v>
      </c>
      <c r="D4" s="271"/>
      <c r="E4" s="49" t="s">
        <v>261</v>
      </c>
      <c r="H4" s="49" t="s">
        <v>56</v>
      </c>
      <c r="I4" s="269" t="s">
        <v>57</v>
      </c>
      <c r="J4" s="271"/>
      <c r="K4" s="272" t="s">
        <v>58</v>
      </c>
      <c r="L4" s="274"/>
      <c r="M4" s="49" t="s">
        <v>59</v>
      </c>
      <c r="N4" s="49" t="s">
        <v>60</v>
      </c>
      <c r="O4" s="49" t="s">
        <v>61</v>
      </c>
      <c r="R4" s="49" t="s">
        <v>56</v>
      </c>
      <c r="S4" s="269" t="s">
        <v>57</v>
      </c>
      <c r="T4" s="271"/>
      <c r="U4" s="272" t="s">
        <v>58</v>
      </c>
      <c r="V4" s="274"/>
      <c r="W4" s="49" t="s">
        <v>59</v>
      </c>
      <c r="X4" s="49" t="s">
        <v>60</v>
      </c>
      <c r="Y4" s="49" t="s">
        <v>21</v>
      </c>
      <c r="Z4" s="49" t="s">
        <v>61</v>
      </c>
      <c r="AC4" s="49" t="s">
        <v>56</v>
      </c>
      <c r="AD4" s="269" t="s">
        <v>57</v>
      </c>
      <c r="AE4" s="271"/>
      <c r="AF4" s="272" t="s">
        <v>58</v>
      </c>
      <c r="AG4" s="274"/>
      <c r="AH4" s="49" t="s">
        <v>59</v>
      </c>
      <c r="AI4" s="49" t="s">
        <v>61</v>
      </c>
      <c r="AL4" s="49" t="s">
        <v>56</v>
      </c>
      <c r="AM4" s="269" t="s">
        <v>57</v>
      </c>
      <c r="AN4" s="271"/>
      <c r="AO4" s="272" t="s">
        <v>58</v>
      </c>
      <c r="AP4" s="274"/>
      <c r="AQ4" s="49" t="s">
        <v>59</v>
      </c>
      <c r="AR4" s="49" t="s">
        <v>61</v>
      </c>
      <c r="AU4" s="49" t="s">
        <v>56</v>
      </c>
      <c r="AV4" s="269" t="s">
        <v>57</v>
      </c>
      <c r="AW4" s="271"/>
      <c r="AX4" s="272" t="s">
        <v>58</v>
      </c>
      <c r="AY4" s="274"/>
      <c r="AZ4" s="49" t="s">
        <v>59</v>
      </c>
      <c r="BA4" s="49" t="s">
        <v>60</v>
      </c>
      <c r="BB4" s="49" t="s">
        <v>61</v>
      </c>
      <c r="BE4" s="49" t="s">
        <v>56</v>
      </c>
      <c r="BF4" s="269" t="s">
        <v>57</v>
      </c>
      <c r="BG4" s="271"/>
      <c r="BH4" s="272" t="s">
        <v>58</v>
      </c>
      <c r="BI4" s="274"/>
      <c r="BJ4" s="49" t="s">
        <v>59</v>
      </c>
      <c r="BK4" s="49" t="s">
        <v>61</v>
      </c>
    </row>
    <row r="5" spans="2:63" ht="18" customHeight="1" x14ac:dyDescent="0.3">
      <c r="B5" s="101" t="s">
        <v>33</v>
      </c>
      <c r="C5" s="128"/>
      <c r="D5" s="55" t="s">
        <v>75</v>
      </c>
      <c r="E5" s="46" t="s">
        <v>263</v>
      </c>
      <c r="H5" s="46" t="s">
        <v>62</v>
      </c>
      <c r="I5" s="53"/>
      <c r="J5" s="55" t="s">
        <v>81</v>
      </c>
      <c r="K5" s="46" t="s">
        <v>82</v>
      </c>
      <c r="L5" s="46" t="s">
        <v>83</v>
      </c>
      <c r="M5" s="46" t="s">
        <v>84</v>
      </c>
      <c r="N5" s="46" t="s">
        <v>172</v>
      </c>
      <c r="O5" s="192" t="s">
        <v>415</v>
      </c>
      <c r="R5" s="85" t="s">
        <v>62</v>
      </c>
      <c r="S5" s="155"/>
      <c r="T5" s="156" t="s">
        <v>97</v>
      </c>
      <c r="U5" s="46" t="s">
        <v>98</v>
      </c>
      <c r="V5" s="46" t="s">
        <v>68</v>
      </c>
      <c r="W5" s="46" t="s">
        <v>78</v>
      </c>
      <c r="X5" s="46" t="s">
        <v>340</v>
      </c>
      <c r="Y5" s="46" t="s">
        <v>99</v>
      </c>
      <c r="Z5" s="193" t="s">
        <v>422</v>
      </c>
      <c r="AC5" s="53" t="s">
        <v>62</v>
      </c>
      <c r="AD5" s="53"/>
      <c r="AE5" s="55" t="s">
        <v>329</v>
      </c>
      <c r="AF5" s="46" t="s">
        <v>330</v>
      </c>
      <c r="AG5" s="46" t="s">
        <v>331</v>
      </c>
      <c r="AH5" s="46" t="s">
        <v>130</v>
      </c>
      <c r="AI5" s="194" t="s">
        <v>433</v>
      </c>
      <c r="AL5" s="46" t="s">
        <v>62</v>
      </c>
      <c r="AM5" s="53"/>
      <c r="AN5" s="54" t="s">
        <v>151</v>
      </c>
      <c r="AO5" s="46" t="s">
        <v>146</v>
      </c>
      <c r="AP5" s="46" t="s">
        <v>147</v>
      </c>
      <c r="AQ5" s="55" t="s">
        <v>333</v>
      </c>
      <c r="AR5" s="46" t="s">
        <v>347</v>
      </c>
      <c r="AU5" s="46" t="s">
        <v>62</v>
      </c>
      <c r="AV5" s="132"/>
      <c r="AW5" s="55" t="s">
        <v>171</v>
      </c>
      <c r="AX5" s="46" t="s">
        <v>129</v>
      </c>
      <c r="AY5" s="46" t="s">
        <v>63</v>
      </c>
      <c r="AZ5" s="46" t="s">
        <v>102</v>
      </c>
      <c r="BA5" s="46" t="s">
        <v>172</v>
      </c>
      <c r="BB5" s="46" t="s">
        <v>356</v>
      </c>
      <c r="BE5" s="46" t="s">
        <v>62</v>
      </c>
      <c r="BF5" s="53"/>
      <c r="BG5" s="55" t="s">
        <v>187</v>
      </c>
      <c r="BH5" s="46" t="s">
        <v>107</v>
      </c>
      <c r="BI5" s="46" t="s">
        <v>68</v>
      </c>
      <c r="BJ5" s="46" t="s">
        <v>188</v>
      </c>
      <c r="BK5" s="46" t="s">
        <v>360</v>
      </c>
    </row>
    <row r="6" spans="2:63" ht="18" customHeight="1" x14ac:dyDescent="0.3">
      <c r="B6" s="89" t="s">
        <v>38</v>
      </c>
      <c r="C6" s="129"/>
      <c r="D6" s="87" t="s">
        <v>97</v>
      </c>
      <c r="E6" s="47" t="s">
        <v>264</v>
      </c>
      <c r="H6" s="47" t="s">
        <v>65</v>
      </c>
      <c r="I6" s="86"/>
      <c r="J6" s="87" t="s">
        <v>71</v>
      </c>
      <c r="K6" s="47" t="s">
        <v>72</v>
      </c>
      <c r="L6" s="47" t="s">
        <v>73</v>
      </c>
      <c r="M6" s="47" t="s">
        <v>69</v>
      </c>
      <c r="N6" s="47" t="s">
        <v>172</v>
      </c>
      <c r="O6" s="158" t="s">
        <v>416</v>
      </c>
      <c r="R6" s="47" t="s">
        <v>65</v>
      </c>
      <c r="S6" s="129"/>
      <c r="T6" s="87" t="s">
        <v>100</v>
      </c>
      <c r="U6" s="47" t="s">
        <v>101</v>
      </c>
      <c r="V6" s="47" t="s">
        <v>68</v>
      </c>
      <c r="W6" s="47" t="s">
        <v>102</v>
      </c>
      <c r="X6" s="47" t="s">
        <v>341</v>
      </c>
      <c r="Y6" s="47" t="s">
        <v>99</v>
      </c>
      <c r="Z6" s="157" t="s">
        <v>424</v>
      </c>
      <c r="AC6" s="86" t="s">
        <v>65</v>
      </c>
      <c r="AD6" s="86"/>
      <c r="AE6" s="87" t="s">
        <v>131</v>
      </c>
      <c r="AF6" s="47" t="s">
        <v>132</v>
      </c>
      <c r="AG6" s="47" t="s">
        <v>63</v>
      </c>
      <c r="AH6" s="47" t="s">
        <v>130</v>
      </c>
      <c r="AI6" s="195" t="s">
        <v>434</v>
      </c>
      <c r="AL6" s="47" t="s">
        <v>65</v>
      </c>
      <c r="AM6" s="86"/>
      <c r="AN6" s="28" t="s">
        <v>152</v>
      </c>
      <c r="AO6" s="47" t="s">
        <v>153</v>
      </c>
      <c r="AP6" s="47" t="s">
        <v>154</v>
      </c>
      <c r="AQ6" s="87" t="s">
        <v>333</v>
      </c>
      <c r="AR6" s="47" t="s">
        <v>348</v>
      </c>
      <c r="AU6" s="47" t="s">
        <v>65</v>
      </c>
      <c r="AV6" s="86"/>
      <c r="AW6" s="87" t="s">
        <v>173</v>
      </c>
      <c r="AX6" s="47" t="s">
        <v>115</v>
      </c>
      <c r="AY6" s="47" t="s">
        <v>68</v>
      </c>
      <c r="AZ6" s="47" t="s">
        <v>84</v>
      </c>
      <c r="BA6" s="47" t="s">
        <v>172</v>
      </c>
      <c r="BB6" s="47" t="s">
        <v>357</v>
      </c>
      <c r="BE6" s="47" t="s">
        <v>65</v>
      </c>
      <c r="BF6" s="86"/>
      <c r="BG6" s="87" t="s">
        <v>189</v>
      </c>
      <c r="BH6" s="47" t="s">
        <v>101</v>
      </c>
      <c r="BI6" s="47" t="s">
        <v>68</v>
      </c>
      <c r="BJ6" s="47" t="s">
        <v>188</v>
      </c>
      <c r="BK6" s="47" t="s">
        <v>361</v>
      </c>
    </row>
    <row r="7" spans="2:63" ht="18" customHeight="1" x14ac:dyDescent="0.3">
      <c r="B7" s="89" t="s">
        <v>38</v>
      </c>
      <c r="C7" s="129"/>
      <c r="D7" s="87" t="s">
        <v>100</v>
      </c>
      <c r="E7" s="47" t="s">
        <v>264</v>
      </c>
      <c r="H7" s="47" t="s">
        <v>70</v>
      </c>
      <c r="I7" s="130"/>
      <c r="J7" s="87" t="s">
        <v>75</v>
      </c>
      <c r="K7" s="47" t="s">
        <v>76</v>
      </c>
      <c r="L7" s="47" t="s">
        <v>77</v>
      </c>
      <c r="M7" s="47" t="s">
        <v>78</v>
      </c>
      <c r="N7" s="47" t="s">
        <v>79</v>
      </c>
      <c r="O7" s="158" t="s">
        <v>423</v>
      </c>
      <c r="R7" s="47" t="s">
        <v>70</v>
      </c>
      <c r="S7" s="86"/>
      <c r="T7" s="87" t="s">
        <v>103</v>
      </c>
      <c r="U7" s="47" t="s">
        <v>104</v>
      </c>
      <c r="V7" s="47" t="s">
        <v>68</v>
      </c>
      <c r="W7" s="47" t="s">
        <v>105</v>
      </c>
      <c r="X7" s="47" t="s">
        <v>342</v>
      </c>
      <c r="Y7" s="47" t="s">
        <v>324</v>
      </c>
      <c r="Z7" s="157" t="s">
        <v>425</v>
      </c>
      <c r="AC7" s="86" t="s">
        <v>70</v>
      </c>
      <c r="AD7" s="86"/>
      <c r="AE7" s="87" t="s">
        <v>332</v>
      </c>
      <c r="AF7" s="47" t="s">
        <v>82</v>
      </c>
      <c r="AG7" s="47" t="s">
        <v>83</v>
      </c>
      <c r="AH7" s="47" t="s">
        <v>130</v>
      </c>
      <c r="AI7" s="195" t="s">
        <v>435</v>
      </c>
      <c r="AL7" s="47" t="s">
        <v>70</v>
      </c>
      <c r="AM7" s="86"/>
      <c r="AN7" s="28" t="s">
        <v>155</v>
      </c>
      <c r="AO7" s="47" t="s">
        <v>111</v>
      </c>
      <c r="AP7" s="47" t="s">
        <v>68</v>
      </c>
      <c r="AQ7" s="87" t="s">
        <v>333</v>
      </c>
      <c r="AR7" s="47" t="s">
        <v>343</v>
      </c>
      <c r="AU7" s="47" t="s">
        <v>70</v>
      </c>
      <c r="AV7" s="130"/>
      <c r="AW7" s="87" t="s">
        <v>174</v>
      </c>
      <c r="AX7" s="47" t="s">
        <v>175</v>
      </c>
      <c r="AY7" s="47" t="s">
        <v>176</v>
      </c>
      <c r="AZ7" s="47" t="s">
        <v>78</v>
      </c>
      <c r="BA7" s="47" t="s">
        <v>79</v>
      </c>
      <c r="BB7" s="47" t="s">
        <v>358</v>
      </c>
      <c r="BE7" s="47" t="s">
        <v>70</v>
      </c>
      <c r="BF7" s="86"/>
      <c r="BG7" s="87" t="s">
        <v>190</v>
      </c>
      <c r="BH7" s="47" t="s">
        <v>98</v>
      </c>
      <c r="BI7" s="47" t="s">
        <v>68</v>
      </c>
      <c r="BJ7" s="47" t="s">
        <v>188</v>
      </c>
      <c r="BK7" s="47" t="s">
        <v>344</v>
      </c>
    </row>
    <row r="8" spans="2:63" ht="18" customHeight="1" thickBot="1" x14ac:dyDescent="0.35">
      <c r="B8" s="191" t="s">
        <v>38</v>
      </c>
      <c r="C8" s="131"/>
      <c r="D8" s="58" t="s">
        <v>127</v>
      </c>
      <c r="E8" s="48" t="s">
        <v>264</v>
      </c>
      <c r="H8" s="47" t="s">
        <v>74</v>
      </c>
      <c r="I8" s="86"/>
      <c r="J8" s="87" t="s">
        <v>323</v>
      </c>
      <c r="K8" s="47" t="s">
        <v>186</v>
      </c>
      <c r="L8" s="47" t="s">
        <v>176</v>
      </c>
      <c r="M8" s="47" t="s">
        <v>84</v>
      </c>
      <c r="N8" s="47" t="s">
        <v>172</v>
      </c>
      <c r="O8" s="158" t="s">
        <v>417</v>
      </c>
      <c r="R8" s="47" t="s">
        <v>74</v>
      </c>
      <c r="S8" s="86"/>
      <c r="T8" s="87" t="s">
        <v>118</v>
      </c>
      <c r="U8" s="47" t="s">
        <v>119</v>
      </c>
      <c r="V8" s="47" t="s">
        <v>120</v>
      </c>
      <c r="W8" s="47" t="s">
        <v>108</v>
      </c>
      <c r="X8" s="47" t="s">
        <v>342</v>
      </c>
      <c r="Y8" s="47" t="s">
        <v>99</v>
      </c>
      <c r="Z8" s="158" t="s">
        <v>426</v>
      </c>
      <c r="AC8" s="86" t="s">
        <v>74</v>
      </c>
      <c r="AD8" s="86"/>
      <c r="AE8" s="87" t="s">
        <v>133</v>
      </c>
      <c r="AF8" s="47" t="s">
        <v>134</v>
      </c>
      <c r="AG8" s="47" t="s">
        <v>77</v>
      </c>
      <c r="AH8" s="47" t="s">
        <v>130</v>
      </c>
      <c r="AI8" s="195" t="s">
        <v>436</v>
      </c>
      <c r="AL8" s="47" t="s">
        <v>74</v>
      </c>
      <c r="AM8" s="86"/>
      <c r="AN8" s="28" t="s">
        <v>156</v>
      </c>
      <c r="AO8" s="47" t="s">
        <v>157</v>
      </c>
      <c r="AP8" s="47" t="s">
        <v>158</v>
      </c>
      <c r="AQ8" s="87" t="s">
        <v>333</v>
      </c>
      <c r="AR8" s="47" t="s">
        <v>365</v>
      </c>
      <c r="AU8" s="47" t="s">
        <v>74</v>
      </c>
      <c r="AV8" s="130"/>
      <c r="AW8" s="87" t="s">
        <v>177</v>
      </c>
      <c r="AX8" s="47" t="s">
        <v>72</v>
      </c>
      <c r="AY8" s="47" t="s">
        <v>73</v>
      </c>
      <c r="AZ8" s="47" t="s">
        <v>78</v>
      </c>
      <c r="BA8" s="47" t="s">
        <v>79</v>
      </c>
      <c r="BB8" s="47" t="s">
        <v>351</v>
      </c>
      <c r="BE8" s="47" t="s">
        <v>74</v>
      </c>
      <c r="BF8" s="86"/>
      <c r="BG8" s="87" t="s">
        <v>191</v>
      </c>
      <c r="BH8" s="47" t="s">
        <v>111</v>
      </c>
      <c r="BI8" s="47" t="s">
        <v>68</v>
      </c>
      <c r="BJ8" s="47" t="s">
        <v>188</v>
      </c>
      <c r="BK8" s="47" t="s">
        <v>362</v>
      </c>
    </row>
    <row r="9" spans="2:63" ht="18" customHeight="1" x14ac:dyDescent="0.3">
      <c r="H9" s="47" t="s">
        <v>80</v>
      </c>
      <c r="I9" s="86"/>
      <c r="J9" s="87" t="s">
        <v>66</v>
      </c>
      <c r="K9" s="47" t="s">
        <v>67</v>
      </c>
      <c r="L9" s="47" t="s">
        <v>68</v>
      </c>
      <c r="M9" s="47" t="s">
        <v>69</v>
      </c>
      <c r="N9" s="47" t="s">
        <v>172</v>
      </c>
      <c r="O9" s="158" t="s">
        <v>418</v>
      </c>
      <c r="R9" s="47" t="s">
        <v>80</v>
      </c>
      <c r="S9" s="86"/>
      <c r="T9" s="87" t="s">
        <v>106</v>
      </c>
      <c r="U9" s="47" t="s">
        <v>107</v>
      </c>
      <c r="V9" s="47" t="s">
        <v>68</v>
      </c>
      <c r="W9" s="47" t="s">
        <v>108</v>
      </c>
      <c r="X9" s="47" t="s">
        <v>342</v>
      </c>
      <c r="Y9" s="47" t="s">
        <v>109</v>
      </c>
      <c r="Z9" s="157" t="s">
        <v>427</v>
      </c>
      <c r="AC9" s="86" t="s">
        <v>80</v>
      </c>
      <c r="AD9" s="86"/>
      <c r="AE9" s="87" t="s">
        <v>135</v>
      </c>
      <c r="AF9" s="47" t="s">
        <v>136</v>
      </c>
      <c r="AG9" s="47" t="s">
        <v>137</v>
      </c>
      <c r="AH9" s="47" t="s">
        <v>130</v>
      </c>
      <c r="AI9" s="195" t="s">
        <v>437</v>
      </c>
      <c r="AL9" s="47" t="s">
        <v>80</v>
      </c>
      <c r="AM9" s="129"/>
      <c r="AN9" s="28" t="s">
        <v>159</v>
      </c>
      <c r="AO9" s="47" t="s">
        <v>76</v>
      </c>
      <c r="AP9" s="47" t="s">
        <v>77</v>
      </c>
      <c r="AQ9" s="87" t="s">
        <v>160</v>
      </c>
      <c r="AR9" s="47" t="s">
        <v>349</v>
      </c>
      <c r="AU9" s="47" t="s">
        <v>80</v>
      </c>
      <c r="AV9" s="86"/>
      <c r="AW9" s="87" t="s">
        <v>178</v>
      </c>
      <c r="AX9" s="47" t="s">
        <v>179</v>
      </c>
      <c r="AY9" s="47" t="s">
        <v>68</v>
      </c>
      <c r="AZ9" s="47" t="s">
        <v>84</v>
      </c>
      <c r="BA9" s="47" t="s">
        <v>172</v>
      </c>
      <c r="BB9" s="47" t="s">
        <v>352</v>
      </c>
      <c r="BE9" s="47" t="s">
        <v>80</v>
      </c>
      <c r="BF9" s="86"/>
      <c r="BG9" s="87" t="s">
        <v>192</v>
      </c>
      <c r="BH9" s="47" t="s">
        <v>124</v>
      </c>
      <c r="BI9" s="47" t="s">
        <v>125</v>
      </c>
      <c r="BJ9" s="47" t="s">
        <v>188</v>
      </c>
      <c r="BK9" s="47" t="s">
        <v>345</v>
      </c>
    </row>
    <row r="10" spans="2:63" ht="18" customHeight="1" x14ac:dyDescent="0.3">
      <c r="H10" s="47" t="s">
        <v>85</v>
      </c>
      <c r="I10" s="86"/>
      <c r="J10" s="87" t="s">
        <v>86</v>
      </c>
      <c r="K10" s="47" t="s">
        <v>87</v>
      </c>
      <c r="L10" s="47" t="s">
        <v>88</v>
      </c>
      <c r="M10" s="47" t="s">
        <v>69</v>
      </c>
      <c r="N10" s="47" t="s">
        <v>172</v>
      </c>
      <c r="O10" s="158" t="s">
        <v>419</v>
      </c>
      <c r="R10" s="47" t="s">
        <v>85</v>
      </c>
      <c r="S10" s="129"/>
      <c r="T10" s="87" t="s">
        <v>112</v>
      </c>
      <c r="U10" s="47" t="s">
        <v>113</v>
      </c>
      <c r="V10" s="47" t="s">
        <v>68</v>
      </c>
      <c r="W10" s="47" t="s">
        <v>69</v>
      </c>
      <c r="X10" s="47" t="s">
        <v>341</v>
      </c>
      <c r="Y10" s="47" t="s">
        <v>99</v>
      </c>
      <c r="Z10" s="157" t="s">
        <v>428</v>
      </c>
      <c r="AC10" s="86" t="s">
        <v>85</v>
      </c>
      <c r="AD10" s="86"/>
      <c r="AE10" s="87" t="s">
        <v>139</v>
      </c>
      <c r="AF10" s="47" t="s">
        <v>140</v>
      </c>
      <c r="AG10" s="47" t="s">
        <v>141</v>
      </c>
      <c r="AH10" s="47" t="s">
        <v>130</v>
      </c>
      <c r="AI10" s="195" t="s">
        <v>429</v>
      </c>
      <c r="AL10" s="47" t="s">
        <v>85</v>
      </c>
      <c r="AM10" s="86"/>
      <c r="AN10" s="28" t="s">
        <v>161</v>
      </c>
      <c r="AO10" s="47" t="s">
        <v>138</v>
      </c>
      <c r="AP10" s="47" t="s">
        <v>83</v>
      </c>
      <c r="AQ10" s="87" t="s">
        <v>333</v>
      </c>
      <c r="AR10" s="47" t="s">
        <v>350</v>
      </c>
      <c r="AU10" s="47" t="s">
        <v>85</v>
      </c>
      <c r="AV10" s="86"/>
      <c r="AW10" s="87" t="s">
        <v>180</v>
      </c>
      <c r="AX10" s="47" t="s">
        <v>181</v>
      </c>
      <c r="AY10" s="47" t="s">
        <v>92</v>
      </c>
      <c r="AZ10" s="47" t="s">
        <v>182</v>
      </c>
      <c r="BA10" s="47" t="s">
        <v>172</v>
      </c>
      <c r="BB10" s="47" t="s">
        <v>353</v>
      </c>
      <c r="BE10" s="47" t="s">
        <v>85</v>
      </c>
      <c r="BF10" s="86"/>
      <c r="BG10" s="87" t="s">
        <v>193</v>
      </c>
      <c r="BH10" s="47" t="s">
        <v>194</v>
      </c>
      <c r="BI10" s="47" t="s">
        <v>68</v>
      </c>
      <c r="BJ10" s="47" t="s">
        <v>188</v>
      </c>
      <c r="BK10" s="47" t="s">
        <v>363</v>
      </c>
    </row>
    <row r="11" spans="2:63" ht="18" customHeight="1" thickBot="1" x14ac:dyDescent="0.35">
      <c r="H11" s="47" t="s">
        <v>89</v>
      </c>
      <c r="I11" s="86"/>
      <c r="J11" s="87" t="s">
        <v>90</v>
      </c>
      <c r="K11" s="47" t="s">
        <v>91</v>
      </c>
      <c r="L11" s="47" t="s">
        <v>92</v>
      </c>
      <c r="M11" s="47" t="s">
        <v>69</v>
      </c>
      <c r="N11" s="47" t="s">
        <v>172</v>
      </c>
      <c r="O11" s="158" t="s">
        <v>420</v>
      </c>
      <c r="R11" s="47" t="s">
        <v>89</v>
      </c>
      <c r="S11" s="86"/>
      <c r="T11" s="87" t="s">
        <v>123</v>
      </c>
      <c r="U11" s="47" t="s">
        <v>124</v>
      </c>
      <c r="V11" s="47" t="s">
        <v>125</v>
      </c>
      <c r="W11" s="47" t="s">
        <v>108</v>
      </c>
      <c r="X11" s="47" t="s">
        <v>342</v>
      </c>
      <c r="Y11" s="47" t="s">
        <v>328</v>
      </c>
      <c r="Z11" s="158" t="s">
        <v>417</v>
      </c>
      <c r="AC11" s="86" t="s">
        <v>89</v>
      </c>
      <c r="AD11" s="86"/>
      <c r="AE11" s="87" t="s">
        <v>142</v>
      </c>
      <c r="AF11" s="47" t="s">
        <v>143</v>
      </c>
      <c r="AG11" s="47" t="s">
        <v>144</v>
      </c>
      <c r="AH11" s="47" t="s">
        <v>130</v>
      </c>
      <c r="AI11" s="195" t="s">
        <v>438</v>
      </c>
      <c r="AL11" s="47" t="s">
        <v>89</v>
      </c>
      <c r="AM11" s="86"/>
      <c r="AN11" s="28" t="s">
        <v>162</v>
      </c>
      <c r="AO11" s="47" t="s">
        <v>163</v>
      </c>
      <c r="AP11" s="47" t="s">
        <v>137</v>
      </c>
      <c r="AQ11" s="87" t="s">
        <v>333</v>
      </c>
      <c r="AR11" s="47" t="s">
        <v>351</v>
      </c>
      <c r="AU11" s="48" t="s">
        <v>89</v>
      </c>
      <c r="AV11" s="56"/>
      <c r="AW11" s="58" t="s">
        <v>183</v>
      </c>
      <c r="AX11" s="48" t="s">
        <v>184</v>
      </c>
      <c r="AY11" s="48" t="s">
        <v>88</v>
      </c>
      <c r="AZ11" s="48" t="s">
        <v>185</v>
      </c>
      <c r="BA11" s="48" t="s">
        <v>172</v>
      </c>
      <c r="BB11" s="48" t="s">
        <v>359</v>
      </c>
      <c r="BE11" s="47" t="s">
        <v>89</v>
      </c>
      <c r="BF11" s="86"/>
      <c r="BG11" s="87" t="s">
        <v>195</v>
      </c>
      <c r="BH11" s="47" t="s">
        <v>113</v>
      </c>
      <c r="BI11" s="47" t="s">
        <v>68</v>
      </c>
      <c r="BJ11" s="47" t="s">
        <v>188</v>
      </c>
      <c r="BK11" s="47" t="s">
        <v>355</v>
      </c>
    </row>
    <row r="12" spans="2:63" ht="18" customHeight="1" thickBot="1" x14ac:dyDescent="0.35">
      <c r="H12" s="48" t="s">
        <v>93</v>
      </c>
      <c r="I12" s="56"/>
      <c r="J12" s="58" t="s">
        <v>94</v>
      </c>
      <c r="K12" s="48" t="s">
        <v>95</v>
      </c>
      <c r="L12" s="48" t="s">
        <v>96</v>
      </c>
      <c r="M12" s="48" t="s">
        <v>84</v>
      </c>
      <c r="N12" s="48" t="s">
        <v>172</v>
      </c>
      <c r="O12" s="126" t="s">
        <v>421</v>
      </c>
      <c r="R12" s="47" t="s">
        <v>93</v>
      </c>
      <c r="S12" s="129"/>
      <c r="T12" s="87" t="s">
        <v>114</v>
      </c>
      <c r="U12" s="47" t="s">
        <v>115</v>
      </c>
      <c r="V12" s="47" t="s">
        <v>68</v>
      </c>
      <c r="W12" s="47" t="s">
        <v>69</v>
      </c>
      <c r="X12" s="47" t="s">
        <v>341</v>
      </c>
      <c r="Y12" s="47" t="s">
        <v>99</v>
      </c>
      <c r="Z12" s="158" t="s">
        <v>429</v>
      </c>
      <c r="AC12" s="86" t="s">
        <v>93</v>
      </c>
      <c r="AD12" s="86"/>
      <c r="AE12" s="87" t="s">
        <v>145</v>
      </c>
      <c r="AF12" s="47" t="s">
        <v>146</v>
      </c>
      <c r="AG12" s="47" t="s">
        <v>147</v>
      </c>
      <c r="AH12" s="47" t="s">
        <v>130</v>
      </c>
      <c r="AI12" s="195" t="s">
        <v>432</v>
      </c>
      <c r="AL12" s="47" t="s">
        <v>93</v>
      </c>
      <c r="AM12" s="86"/>
      <c r="AN12" s="28" t="s">
        <v>164</v>
      </c>
      <c r="AO12" s="47" t="s">
        <v>143</v>
      </c>
      <c r="AP12" s="47" t="s">
        <v>144</v>
      </c>
      <c r="AQ12" s="87" t="s">
        <v>333</v>
      </c>
      <c r="AR12" s="47" t="s">
        <v>352</v>
      </c>
      <c r="BE12" s="47" t="s">
        <v>93</v>
      </c>
      <c r="BF12" s="86"/>
      <c r="BG12" s="87" t="s">
        <v>187</v>
      </c>
      <c r="BH12" s="47" t="s">
        <v>107</v>
      </c>
      <c r="BI12" s="47" t="s">
        <v>68</v>
      </c>
      <c r="BJ12" s="47" t="s">
        <v>188</v>
      </c>
      <c r="BK12" s="47" t="s">
        <v>364</v>
      </c>
    </row>
    <row r="13" spans="2:63" ht="18" customHeight="1" thickBot="1" x14ac:dyDescent="0.35">
      <c r="R13" s="47" t="s">
        <v>117</v>
      </c>
      <c r="S13" s="86"/>
      <c r="T13" s="87" t="s">
        <v>116</v>
      </c>
      <c r="U13" s="47" t="s">
        <v>67</v>
      </c>
      <c r="V13" s="47" t="s">
        <v>68</v>
      </c>
      <c r="W13" s="47" t="s">
        <v>108</v>
      </c>
      <c r="X13" s="47" t="s">
        <v>342</v>
      </c>
      <c r="Y13" s="47" t="s">
        <v>99</v>
      </c>
      <c r="Z13" s="158" t="s">
        <v>430</v>
      </c>
      <c r="AC13" s="56" t="s">
        <v>117</v>
      </c>
      <c r="AD13" s="56"/>
      <c r="AE13" s="58" t="s">
        <v>148</v>
      </c>
      <c r="AF13" s="48" t="s">
        <v>149</v>
      </c>
      <c r="AG13" s="48" t="s">
        <v>150</v>
      </c>
      <c r="AH13" s="48" t="s">
        <v>130</v>
      </c>
      <c r="AI13" s="196" t="s">
        <v>439</v>
      </c>
      <c r="AL13" s="47" t="s">
        <v>117</v>
      </c>
      <c r="AM13" s="86"/>
      <c r="AN13" s="28" t="s">
        <v>165</v>
      </c>
      <c r="AO13" s="47" t="s">
        <v>149</v>
      </c>
      <c r="AP13" s="47" t="s">
        <v>150</v>
      </c>
      <c r="AQ13" s="87" t="s">
        <v>333</v>
      </c>
      <c r="AR13" s="47" t="s">
        <v>353</v>
      </c>
      <c r="BE13" s="48" t="s">
        <v>117</v>
      </c>
      <c r="BF13" s="131"/>
      <c r="BG13" s="58" t="s">
        <v>196</v>
      </c>
      <c r="BH13" s="48" t="s">
        <v>67</v>
      </c>
      <c r="BI13" s="48" t="s">
        <v>68</v>
      </c>
      <c r="BJ13" s="48" t="s">
        <v>197</v>
      </c>
      <c r="BK13" s="48" t="s">
        <v>346</v>
      </c>
    </row>
    <row r="14" spans="2:63" ht="18" customHeight="1" x14ac:dyDescent="0.3">
      <c r="R14" s="47" t="s">
        <v>121</v>
      </c>
      <c r="S14" s="86"/>
      <c r="T14" s="87" t="s">
        <v>110</v>
      </c>
      <c r="U14" s="47" t="s">
        <v>111</v>
      </c>
      <c r="V14" s="47" t="s">
        <v>68</v>
      </c>
      <c r="W14" s="47" t="s">
        <v>108</v>
      </c>
      <c r="X14" s="47" t="s">
        <v>342</v>
      </c>
      <c r="Y14" s="47" t="s">
        <v>325</v>
      </c>
      <c r="Z14" s="158" t="s">
        <v>418</v>
      </c>
      <c r="AL14" s="47" t="s">
        <v>121</v>
      </c>
      <c r="AM14" s="86"/>
      <c r="AN14" s="28" t="s">
        <v>166</v>
      </c>
      <c r="AO14" s="47" t="s">
        <v>167</v>
      </c>
      <c r="AP14" s="47" t="s">
        <v>168</v>
      </c>
      <c r="AQ14" s="87" t="s">
        <v>333</v>
      </c>
      <c r="AR14" s="47" t="s">
        <v>346</v>
      </c>
    </row>
    <row r="15" spans="2:63" ht="18" customHeight="1" thickBot="1" x14ac:dyDescent="0.35">
      <c r="R15" s="47" t="s">
        <v>122</v>
      </c>
      <c r="S15" s="86"/>
      <c r="T15" s="87" t="s">
        <v>326</v>
      </c>
      <c r="U15" s="47" t="s">
        <v>327</v>
      </c>
      <c r="V15" s="47" t="s">
        <v>68</v>
      </c>
      <c r="W15" s="47" t="s">
        <v>108</v>
      </c>
      <c r="X15" s="47" t="s">
        <v>342</v>
      </c>
      <c r="Y15" s="47" t="s">
        <v>325</v>
      </c>
      <c r="Z15" s="158" t="s">
        <v>431</v>
      </c>
      <c r="AL15" s="48" t="s">
        <v>122</v>
      </c>
      <c r="AM15" s="56"/>
      <c r="AN15" s="57" t="s">
        <v>169</v>
      </c>
      <c r="AO15" s="48" t="s">
        <v>170</v>
      </c>
      <c r="AP15" s="48" t="s">
        <v>63</v>
      </c>
      <c r="AQ15" s="58" t="s">
        <v>160</v>
      </c>
      <c r="AR15" s="48" t="s">
        <v>354</v>
      </c>
    </row>
    <row r="16" spans="2:63" ht="18" customHeight="1" thickBot="1" x14ac:dyDescent="0.35">
      <c r="R16" s="48" t="s">
        <v>126</v>
      </c>
      <c r="S16" s="131"/>
      <c r="T16" s="58" t="s">
        <v>127</v>
      </c>
      <c r="U16" s="48" t="s">
        <v>128</v>
      </c>
      <c r="V16" s="48" t="s">
        <v>68</v>
      </c>
      <c r="W16" s="48" t="s">
        <v>64</v>
      </c>
      <c r="X16" s="48" t="s">
        <v>341</v>
      </c>
      <c r="Y16" s="48" t="s">
        <v>99</v>
      </c>
      <c r="Z16" s="159" t="s">
        <v>432</v>
      </c>
    </row>
  </sheetData>
  <sheetProtection algorithmName="SHA-512" hashValue="RshashbddGsiXs9K1eLJpruuge1tEmnoe3uW+2vRE+QLWQlbgK9Kd4DJkKduayWWpqSvtqtxiWpuqRLxM0wiHA==" saltValue="x+Fz6oZIxmMRb4aNMHarsg==" spinCount="100000" sheet="1" objects="1" scenarios="1"/>
  <mergeCells count="33">
    <mergeCell ref="R2:Z2"/>
    <mergeCell ref="R3:V3"/>
    <mergeCell ref="W3:Z3"/>
    <mergeCell ref="S4:T4"/>
    <mergeCell ref="U4:V4"/>
    <mergeCell ref="H2:O2"/>
    <mergeCell ref="H3:K3"/>
    <mergeCell ref="L3:O3"/>
    <mergeCell ref="I4:J4"/>
    <mergeCell ref="K4:L4"/>
    <mergeCell ref="AM4:AN4"/>
    <mergeCell ref="AO4:AP4"/>
    <mergeCell ref="AC2:AI2"/>
    <mergeCell ref="AC3:AF3"/>
    <mergeCell ref="AG3:AI3"/>
    <mergeCell ref="AD4:AE4"/>
    <mergeCell ref="AF4:AG4"/>
    <mergeCell ref="C4:D4"/>
    <mergeCell ref="B3:E3"/>
    <mergeCell ref="B2:E2"/>
    <mergeCell ref="BE2:BK2"/>
    <mergeCell ref="BE3:BH3"/>
    <mergeCell ref="BI3:BK3"/>
    <mergeCell ref="BF4:BG4"/>
    <mergeCell ref="BH4:BI4"/>
    <mergeCell ref="AU2:BB2"/>
    <mergeCell ref="AU3:AX3"/>
    <mergeCell ref="AY3:BB3"/>
    <mergeCell ref="AV4:AW4"/>
    <mergeCell ref="AX4:AY4"/>
    <mergeCell ref="AL2:AR2"/>
    <mergeCell ref="AL3:AO3"/>
    <mergeCell ref="AP3:A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F06C-A02B-4EDF-BC0C-3194AC04BF91}">
  <dimension ref="B1:BK16"/>
  <sheetViews>
    <sheetView workbookViewId="0">
      <selection activeCell="B15" sqref="B15"/>
    </sheetView>
  </sheetViews>
  <sheetFormatPr defaultColWidth="8.88671875" defaultRowHeight="18" customHeight="1" x14ac:dyDescent="0.3"/>
  <cols>
    <col min="1" max="1" width="3.33203125" style="1" customWidth="1"/>
    <col min="2" max="2" width="8.88671875" style="1"/>
    <col min="3" max="3" width="1.109375" style="1" customWidth="1"/>
    <col min="4" max="4" width="26.6640625" style="1" customWidth="1"/>
    <col min="5" max="5" width="18.88671875" style="1" customWidth="1"/>
    <col min="6" max="7" width="3.33203125" style="1" customWidth="1"/>
    <col min="8" max="8" width="8.88671875" style="1"/>
    <col min="9" max="9" width="1.109375" style="1" customWidth="1"/>
    <col min="10" max="10" width="26.6640625" style="1" customWidth="1"/>
    <col min="11" max="11" width="32.21875" style="1" customWidth="1"/>
    <col min="12" max="12" width="15.5546875" style="1" customWidth="1"/>
    <col min="13" max="14" width="8.88671875" style="1"/>
    <col min="15" max="15" width="12.21875" style="1" customWidth="1"/>
    <col min="16" max="17" width="3.33203125" style="1" customWidth="1"/>
    <col min="18" max="18" width="6.6640625" style="1" customWidth="1"/>
    <col min="19" max="19" width="1.109375" style="1" customWidth="1"/>
    <col min="20" max="20" width="26.6640625" style="1" customWidth="1"/>
    <col min="21" max="21" width="32.21875" style="1" customWidth="1"/>
    <col min="22" max="22" width="15.5546875" style="1" customWidth="1"/>
    <col min="23" max="24" width="8.88671875" style="1"/>
    <col min="25" max="25" width="14.44140625" style="1" customWidth="1"/>
    <col min="26" max="26" width="12.21875" style="1" customWidth="1"/>
    <col min="27" max="28" width="3.33203125" style="1" customWidth="1"/>
    <col min="29" max="29" width="8.88671875" style="1"/>
    <col min="30" max="30" width="1.109375" style="1" customWidth="1"/>
    <col min="31" max="31" width="26.6640625" style="1" customWidth="1"/>
    <col min="32" max="32" width="32.21875" style="1" customWidth="1"/>
    <col min="33" max="33" width="15.5546875" style="1" customWidth="1"/>
    <col min="34" max="34" width="8.88671875" style="1"/>
    <col min="35" max="35" width="12.21875" style="1" customWidth="1"/>
    <col min="36" max="37" width="3.33203125" style="1" customWidth="1"/>
    <col min="38" max="38" width="8.88671875" style="1"/>
    <col min="39" max="39" width="1.109375" style="1" customWidth="1"/>
    <col min="40" max="40" width="37.77734375" style="1" customWidth="1"/>
    <col min="41" max="41" width="32.21875" style="1" customWidth="1"/>
    <col min="42" max="42" width="15.5546875" style="1" customWidth="1"/>
    <col min="43" max="43" width="8.88671875" style="1"/>
    <col min="44" max="44" width="12.21875" style="1" customWidth="1"/>
    <col min="45" max="46" width="3.33203125" style="1" customWidth="1"/>
    <col min="47" max="47" width="8.88671875" style="1"/>
    <col min="48" max="48" width="1.109375" style="1" customWidth="1"/>
    <col min="49" max="49" width="26.6640625" style="1" customWidth="1"/>
    <col min="50" max="50" width="32.21875" style="1" customWidth="1"/>
    <col min="51" max="51" width="15.5546875" style="1" customWidth="1"/>
    <col min="52" max="53" width="8.88671875" style="1"/>
    <col min="54" max="54" width="12.21875" style="1" customWidth="1"/>
    <col min="55" max="56" width="3.33203125" style="1" customWidth="1"/>
    <col min="57" max="57" width="8.88671875" style="1"/>
    <col min="58" max="58" width="1.109375" style="1" customWidth="1"/>
    <col min="59" max="59" width="26.6640625" style="1" customWidth="1"/>
    <col min="60" max="60" width="32.21875" style="1" customWidth="1"/>
    <col min="61" max="61" width="15.5546875" style="1" customWidth="1"/>
    <col min="62" max="62" width="8.88671875" style="1"/>
    <col min="63" max="63" width="12.21875" style="1" customWidth="1"/>
    <col min="64" max="64" width="3.33203125" style="1" customWidth="1"/>
    <col min="65" max="16384" width="8.88671875" style="1"/>
  </cols>
  <sheetData>
    <row r="1" spans="2:63" ht="18" customHeight="1" thickBot="1" x14ac:dyDescent="0.35"/>
    <row r="2" spans="2:63" ht="18" customHeight="1" thickBot="1" x14ac:dyDescent="0.35">
      <c r="B2" s="281" t="s">
        <v>401</v>
      </c>
      <c r="C2" s="282"/>
      <c r="D2" s="282"/>
      <c r="E2" s="283"/>
      <c r="H2" s="269" t="s">
        <v>401</v>
      </c>
      <c r="I2" s="270"/>
      <c r="J2" s="270"/>
      <c r="K2" s="270"/>
      <c r="L2" s="270"/>
      <c r="M2" s="270"/>
      <c r="N2" s="270"/>
      <c r="O2" s="271"/>
      <c r="R2" s="269" t="s">
        <v>401</v>
      </c>
      <c r="S2" s="270"/>
      <c r="T2" s="270"/>
      <c r="U2" s="270"/>
      <c r="V2" s="270"/>
      <c r="W2" s="270"/>
      <c r="X2" s="270"/>
      <c r="Y2" s="270"/>
      <c r="Z2" s="271"/>
      <c r="AC2" s="269" t="s">
        <v>401</v>
      </c>
      <c r="AD2" s="270"/>
      <c r="AE2" s="270"/>
      <c r="AF2" s="270"/>
      <c r="AG2" s="270"/>
      <c r="AH2" s="270"/>
      <c r="AI2" s="271"/>
      <c r="AL2" s="269" t="s">
        <v>401</v>
      </c>
      <c r="AM2" s="270"/>
      <c r="AN2" s="270"/>
      <c r="AO2" s="270"/>
      <c r="AP2" s="270"/>
      <c r="AQ2" s="270"/>
      <c r="AR2" s="271"/>
      <c r="AU2" s="269" t="s">
        <v>401</v>
      </c>
      <c r="AV2" s="270"/>
      <c r="AW2" s="270"/>
      <c r="AX2" s="270"/>
      <c r="AY2" s="270"/>
      <c r="AZ2" s="270"/>
      <c r="BA2" s="270"/>
      <c r="BB2" s="271"/>
      <c r="BE2" s="269" t="s">
        <v>401</v>
      </c>
      <c r="BF2" s="270"/>
      <c r="BG2" s="270"/>
      <c r="BH2" s="270"/>
      <c r="BI2" s="270"/>
      <c r="BJ2" s="270"/>
      <c r="BK2" s="271"/>
    </row>
    <row r="3" spans="2:63" ht="18" customHeight="1" thickBot="1" x14ac:dyDescent="0.35">
      <c r="B3" s="284" t="s">
        <v>262</v>
      </c>
      <c r="C3" s="285"/>
      <c r="D3" s="285"/>
      <c r="E3" s="286"/>
      <c r="H3" s="272" t="s">
        <v>55</v>
      </c>
      <c r="I3" s="273"/>
      <c r="J3" s="273"/>
      <c r="K3" s="274"/>
      <c r="L3" s="287" t="s">
        <v>22</v>
      </c>
      <c r="M3" s="288"/>
      <c r="N3" s="288"/>
      <c r="O3" s="289"/>
      <c r="R3" s="272" t="s">
        <v>55</v>
      </c>
      <c r="S3" s="273"/>
      <c r="T3" s="273"/>
      <c r="U3" s="273"/>
      <c r="V3" s="274"/>
      <c r="W3" s="260" t="s">
        <v>23</v>
      </c>
      <c r="X3" s="261"/>
      <c r="Y3" s="261"/>
      <c r="Z3" s="262"/>
      <c r="AC3" s="272" t="s">
        <v>55</v>
      </c>
      <c r="AD3" s="273"/>
      <c r="AE3" s="273"/>
      <c r="AF3" s="274"/>
      <c r="AG3" s="310" t="s">
        <v>25</v>
      </c>
      <c r="AH3" s="311"/>
      <c r="AI3" s="312"/>
      <c r="AL3" s="272" t="s">
        <v>55</v>
      </c>
      <c r="AM3" s="273"/>
      <c r="AN3" s="273"/>
      <c r="AO3" s="274"/>
      <c r="AP3" s="316" t="s">
        <v>26</v>
      </c>
      <c r="AQ3" s="317"/>
      <c r="AR3" s="318"/>
      <c r="AU3" s="272" t="s">
        <v>55</v>
      </c>
      <c r="AV3" s="273"/>
      <c r="AW3" s="273"/>
      <c r="AX3" s="274"/>
      <c r="AY3" s="319" t="s">
        <v>27</v>
      </c>
      <c r="AZ3" s="320"/>
      <c r="BA3" s="320"/>
      <c r="BB3" s="321"/>
      <c r="BE3" s="269" t="s">
        <v>55</v>
      </c>
      <c r="BF3" s="270"/>
      <c r="BG3" s="270"/>
      <c r="BH3" s="271"/>
      <c r="BI3" s="327" t="s">
        <v>31</v>
      </c>
      <c r="BJ3" s="328"/>
      <c r="BK3" s="329"/>
    </row>
    <row r="4" spans="2:63" ht="18" customHeight="1" thickBot="1" x14ac:dyDescent="0.35">
      <c r="B4" s="49" t="s">
        <v>56</v>
      </c>
      <c r="C4" s="269" t="s">
        <v>57</v>
      </c>
      <c r="D4" s="271"/>
      <c r="E4" s="49" t="s">
        <v>261</v>
      </c>
      <c r="H4" s="49" t="s">
        <v>56</v>
      </c>
      <c r="I4" s="269" t="s">
        <v>57</v>
      </c>
      <c r="J4" s="271"/>
      <c r="K4" s="272" t="s">
        <v>58</v>
      </c>
      <c r="L4" s="274"/>
      <c r="M4" s="49" t="s">
        <v>59</v>
      </c>
      <c r="N4" s="49" t="s">
        <v>60</v>
      </c>
      <c r="O4" s="49" t="s">
        <v>61</v>
      </c>
      <c r="R4" s="49" t="s">
        <v>56</v>
      </c>
      <c r="S4" s="269" t="s">
        <v>57</v>
      </c>
      <c r="T4" s="271"/>
      <c r="U4" s="272" t="s">
        <v>58</v>
      </c>
      <c r="V4" s="274"/>
      <c r="W4" s="49" t="s">
        <v>59</v>
      </c>
      <c r="X4" s="49" t="s">
        <v>60</v>
      </c>
      <c r="Y4" s="49" t="s">
        <v>21</v>
      </c>
      <c r="Z4" s="49" t="s">
        <v>61</v>
      </c>
      <c r="AC4" s="49" t="s">
        <v>56</v>
      </c>
      <c r="AD4" s="269" t="s">
        <v>57</v>
      </c>
      <c r="AE4" s="271"/>
      <c r="AF4" s="272" t="s">
        <v>58</v>
      </c>
      <c r="AG4" s="274"/>
      <c r="AH4" s="49" t="s">
        <v>59</v>
      </c>
      <c r="AI4" s="49" t="s">
        <v>61</v>
      </c>
      <c r="AL4" s="49" t="s">
        <v>56</v>
      </c>
      <c r="AM4" s="269" t="s">
        <v>57</v>
      </c>
      <c r="AN4" s="271"/>
      <c r="AO4" s="272" t="s">
        <v>58</v>
      </c>
      <c r="AP4" s="274"/>
      <c r="AQ4" s="49" t="s">
        <v>59</v>
      </c>
      <c r="AR4" s="49" t="s">
        <v>61</v>
      </c>
      <c r="AU4" s="49" t="s">
        <v>56</v>
      </c>
      <c r="AV4" s="269" t="s">
        <v>57</v>
      </c>
      <c r="AW4" s="271"/>
      <c r="AX4" s="272" t="s">
        <v>58</v>
      </c>
      <c r="AY4" s="274"/>
      <c r="AZ4" s="49" t="s">
        <v>59</v>
      </c>
      <c r="BA4" s="49" t="s">
        <v>60</v>
      </c>
      <c r="BB4" s="49" t="s">
        <v>61</v>
      </c>
      <c r="BE4" s="49" t="s">
        <v>56</v>
      </c>
      <c r="BF4" s="269" t="s">
        <v>57</v>
      </c>
      <c r="BG4" s="271"/>
      <c r="BH4" s="272" t="s">
        <v>58</v>
      </c>
      <c r="BI4" s="274"/>
      <c r="BJ4" s="49" t="s">
        <v>59</v>
      </c>
      <c r="BK4" s="49" t="s">
        <v>61</v>
      </c>
    </row>
    <row r="5" spans="2:63" ht="18" customHeight="1" x14ac:dyDescent="0.3">
      <c r="B5" s="101" t="s">
        <v>33</v>
      </c>
      <c r="C5" s="128"/>
      <c r="D5" s="55" t="s">
        <v>75</v>
      </c>
      <c r="E5" s="46" t="s">
        <v>263</v>
      </c>
      <c r="H5" s="46" t="s">
        <v>62</v>
      </c>
      <c r="I5" s="53"/>
      <c r="J5" s="55" t="s">
        <v>81</v>
      </c>
      <c r="K5" s="46" t="s">
        <v>82</v>
      </c>
      <c r="L5" s="46" t="s">
        <v>83</v>
      </c>
      <c r="M5" s="46" t="s">
        <v>84</v>
      </c>
      <c r="N5" s="46" t="s">
        <v>172</v>
      </c>
      <c r="O5" s="192" t="s">
        <v>415</v>
      </c>
      <c r="R5" s="85" t="s">
        <v>62</v>
      </c>
      <c r="S5" s="155"/>
      <c r="T5" s="156" t="s">
        <v>97</v>
      </c>
      <c r="U5" s="46" t="s">
        <v>98</v>
      </c>
      <c r="V5" s="46" t="s">
        <v>68</v>
      </c>
      <c r="W5" s="46" t="s">
        <v>78</v>
      </c>
      <c r="X5" s="46" t="s">
        <v>340</v>
      </c>
      <c r="Y5" s="46" t="s">
        <v>99</v>
      </c>
      <c r="Z5" s="193" t="s">
        <v>422</v>
      </c>
      <c r="AC5" s="53" t="s">
        <v>62</v>
      </c>
      <c r="AD5" s="53"/>
      <c r="AE5" s="55" t="s">
        <v>329</v>
      </c>
      <c r="AF5" s="46" t="s">
        <v>330</v>
      </c>
      <c r="AG5" s="46" t="s">
        <v>331</v>
      </c>
      <c r="AH5" s="46" t="s">
        <v>130</v>
      </c>
      <c r="AI5" s="194" t="s">
        <v>433</v>
      </c>
      <c r="AL5" s="46" t="s">
        <v>62</v>
      </c>
      <c r="AM5" s="53"/>
      <c r="AN5" s="54" t="s">
        <v>151</v>
      </c>
      <c r="AO5" s="46" t="s">
        <v>146</v>
      </c>
      <c r="AP5" s="46" t="s">
        <v>147</v>
      </c>
      <c r="AQ5" s="55" t="s">
        <v>333</v>
      </c>
      <c r="AR5" s="46" t="s">
        <v>347</v>
      </c>
      <c r="AU5" s="46" t="s">
        <v>62</v>
      </c>
      <c r="AV5" s="132"/>
      <c r="AW5" s="55" t="s">
        <v>171</v>
      </c>
      <c r="AX5" s="46" t="s">
        <v>129</v>
      </c>
      <c r="AY5" s="46" t="s">
        <v>63</v>
      </c>
      <c r="AZ5" s="46" t="s">
        <v>102</v>
      </c>
      <c r="BA5" s="46" t="s">
        <v>172</v>
      </c>
      <c r="BB5" s="46" t="s">
        <v>356</v>
      </c>
      <c r="BE5" s="46" t="s">
        <v>62</v>
      </c>
      <c r="BF5" s="53"/>
      <c r="BG5" s="55" t="s">
        <v>187</v>
      </c>
      <c r="BH5" s="46" t="s">
        <v>107</v>
      </c>
      <c r="BI5" s="46" t="s">
        <v>68</v>
      </c>
      <c r="BJ5" s="46" t="s">
        <v>188</v>
      </c>
      <c r="BK5" s="46" t="s">
        <v>360</v>
      </c>
    </row>
    <row r="6" spans="2:63" ht="18" customHeight="1" x14ac:dyDescent="0.3">
      <c r="B6" s="89" t="s">
        <v>38</v>
      </c>
      <c r="C6" s="129"/>
      <c r="D6" s="87" t="s">
        <v>97</v>
      </c>
      <c r="E6" s="47" t="s">
        <v>264</v>
      </c>
      <c r="H6" s="47" t="s">
        <v>65</v>
      </c>
      <c r="I6" s="86"/>
      <c r="J6" s="87" t="s">
        <v>71</v>
      </c>
      <c r="K6" s="47" t="s">
        <v>72</v>
      </c>
      <c r="L6" s="47" t="s">
        <v>73</v>
      </c>
      <c r="M6" s="47" t="s">
        <v>69</v>
      </c>
      <c r="N6" s="47" t="s">
        <v>172</v>
      </c>
      <c r="O6" s="158" t="s">
        <v>416</v>
      </c>
      <c r="R6" s="47" t="s">
        <v>65</v>
      </c>
      <c r="S6" s="129"/>
      <c r="T6" s="87" t="s">
        <v>100</v>
      </c>
      <c r="U6" s="47" t="s">
        <v>101</v>
      </c>
      <c r="V6" s="47" t="s">
        <v>68</v>
      </c>
      <c r="W6" s="47" t="s">
        <v>102</v>
      </c>
      <c r="X6" s="47" t="s">
        <v>341</v>
      </c>
      <c r="Y6" s="47" t="s">
        <v>99</v>
      </c>
      <c r="Z6" s="157" t="s">
        <v>424</v>
      </c>
      <c r="AC6" s="86" t="s">
        <v>65</v>
      </c>
      <c r="AD6" s="86"/>
      <c r="AE6" s="87" t="s">
        <v>131</v>
      </c>
      <c r="AF6" s="47" t="s">
        <v>132</v>
      </c>
      <c r="AG6" s="47" t="s">
        <v>63</v>
      </c>
      <c r="AH6" s="47" t="s">
        <v>130</v>
      </c>
      <c r="AI6" s="195" t="s">
        <v>434</v>
      </c>
      <c r="AL6" s="47" t="s">
        <v>65</v>
      </c>
      <c r="AM6" s="86"/>
      <c r="AN6" s="28" t="s">
        <v>152</v>
      </c>
      <c r="AO6" s="47" t="s">
        <v>153</v>
      </c>
      <c r="AP6" s="47" t="s">
        <v>154</v>
      </c>
      <c r="AQ6" s="87" t="s">
        <v>333</v>
      </c>
      <c r="AR6" s="47" t="s">
        <v>348</v>
      </c>
      <c r="AU6" s="47" t="s">
        <v>65</v>
      </c>
      <c r="AV6" s="86"/>
      <c r="AW6" s="87" t="s">
        <v>173</v>
      </c>
      <c r="AX6" s="47" t="s">
        <v>115</v>
      </c>
      <c r="AY6" s="47" t="s">
        <v>68</v>
      </c>
      <c r="AZ6" s="47" t="s">
        <v>84</v>
      </c>
      <c r="BA6" s="47" t="s">
        <v>172</v>
      </c>
      <c r="BB6" s="47" t="s">
        <v>357</v>
      </c>
      <c r="BE6" s="47" t="s">
        <v>65</v>
      </c>
      <c r="BF6" s="86"/>
      <c r="BG6" s="87" t="s">
        <v>189</v>
      </c>
      <c r="BH6" s="47" t="s">
        <v>101</v>
      </c>
      <c r="BI6" s="47" t="s">
        <v>68</v>
      </c>
      <c r="BJ6" s="47" t="s">
        <v>188</v>
      </c>
      <c r="BK6" s="47" t="s">
        <v>361</v>
      </c>
    </row>
    <row r="7" spans="2:63" ht="18" customHeight="1" x14ac:dyDescent="0.3">
      <c r="B7" s="89" t="s">
        <v>38</v>
      </c>
      <c r="C7" s="129"/>
      <c r="D7" s="87" t="s">
        <v>100</v>
      </c>
      <c r="E7" s="47" t="s">
        <v>264</v>
      </c>
      <c r="H7" s="47" t="s">
        <v>70</v>
      </c>
      <c r="I7" s="130"/>
      <c r="J7" s="87" t="s">
        <v>75</v>
      </c>
      <c r="K7" s="47" t="s">
        <v>76</v>
      </c>
      <c r="L7" s="47" t="s">
        <v>77</v>
      </c>
      <c r="M7" s="47" t="s">
        <v>78</v>
      </c>
      <c r="N7" s="47" t="s">
        <v>79</v>
      </c>
      <c r="O7" s="158" t="s">
        <v>423</v>
      </c>
      <c r="R7" s="47" t="s">
        <v>70</v>
      </c>
      <c r="S7" s="86"/>
      <c r="T7" s="87" t="s">
        <v>103</v>
      </c>
      <c r="U7" s="47" t="s">
        <v>104</v>
      </c>
      <c r="V7" s="47" t="s">
        <v>68</v>
      </c>
      <c r="W7" s="47" t="s">
        <v>105</v>
      </c>
      <c r="X7" s="47" t="s">
        <v>342</v>
      </c>
      <c r="Y7" s="47" t="s">
        <v>324</v>
      </c>
      <c r="Z7" s="157" t="s">
        <v>425</v>
      </c>
      <c r="AC7" s="86" t="s">
        <v>70</v>
      </c>
      <c r="AD7" s="86"/>
      <c r="AE7" s="87" t="s">
        <v>332</v>
      </c>
      <c r="AF7" s="47" t="s">
        <v>82</v>
      </c>
      <c r="AG7" s="47" t="s">
        <v>83</v>
      </c>
      <c r="AH7" s="47" t="s">
        <v>130</v>
      </c>
      <c r="AI7" s="195" t="s">
        <v>435</v>
      </c>
      <c r="AL7" s="47" t="s">
        <v>70</v>
      </c>
      <c r="AM7" s="86"/>
      <c r="AN7" s="28" t="s">
        <v>155</v>
      </c>
      <c r="AO7" s="47" t="s">
        <v>111</v>
      </c>
      <c r="AP7" s="47" t="s">
        <v>68</v>
      </c>
      <c r="AQ7" s="87" t="s">
        <v>333</v>
      </c>
      <c r="AR7" s="47" t="s">
        <v>343</v>
      </c>
      <c r="AU7" s="47" t="s">
        <v>70</v>
      </c>
      <c r="AV7" s="130"/>
      <c r="AW7" s="87" t="s">
        <v>174</v>
      </c>
      <c r="AX7" s="47" t="s">
        <v>175</v>
      </c>
      <c r="AY7" s="47" t="s">
        <v>176</v>
      </c>
      <c r="AZ7" s="47" t="s">
        <v>78</v>
      </c>
      <c r="BA7" s="47" t="s">
        <v>79</v>
      </c>
      <c r="BB7" s="47" t="s">
        <v>358</v>
      </c>
      <c r="BE7" s="47" t="s">
        <v>70</v>
      </c>
      <c r="BF7" s="86"/>
      <c r="BG7" s="87" t="s">
        <v>190</v>
      </c>
      <c r="BH7" s="47" t="s">
        <v>98</v>
      </c>
      <c r="BI7" s="47" t="s">
        <v>68</v>
      </c>
      <c r="BJ7" s="47" t="s">
        <v>188</v>
      </c>
      <c r="BK7" s="47" t="s">
        <v>344</v>
      </c>
    </row>
    <row r="8" spans="2:63" ht="18" customHeight="1" x14ac:dyDescent="0.3">
      <c r="B8" s="89" t="s">
        <v>38</v>
      </c>
      <c r="C8" s="129"/>
      <c r="D8" s="87" t="s">
        <v>127</v>
      </c>
      <c r="E8" s="47" t="s">
        <v>264</v>
      </c>
      <c r="H8" s="47" t="s">
        <v>74</v>
      </c>
      <c r="I8" s="86"/>
      <c r="J8" s="87" t="s">
        <v>323</v>
      </c>
      <c r="K8" s="47" t="s">
        <v>186</v>
      </c>
      <c r="L8" s="47" t="s">
        <v>176</v>
      </c>
      <c r="M8" s="47" t="s">
        <v>84</v>
      </c>
      <c r="N8" s="47" t="s">
        <v>172</v>
      </c>
      <c r="O8" s="158" t="s">
        <v>417</v>
      </c>
      <c r="R8" s="47" t="s">
        <v>74</v>
      </c>
      <c r="S8" s="86"/>
      <c r="T8" s="87" t="s">
        <v>118</v>
      </c>
      <c r="U8" s="47" t="s">
        <v>119</v>
      </c>
      <c r="V8" s="47" t="s">
        <v>120</v>
      </c>
      <c r="W8" s="47" t="s">
        <v>108</v>
      </c>
      <c r="X8" s="47" t="s">
        <v>342</v>
      </c>
      <c r="Y8" s="47" t="s">
        <v>99</v>
      </c>
      <c r="Z8" s="158" t="s">
        <v>426</v>
      </c>
      <c r="AC8" s="86" t="s">
        <v>74</v>
      </c>
      <c r="AD8" s="86"/>
      <c r="AE8" s="87" t="s">
        <v>133</v>
      </c>
      <c r="AF8" s="47" t="s">
        <v>134</v>
      </c>
      <c r="AG8" s="47" t="s">
        <v>77</v>
      </c>
      <c r="AH8" s="47" t="s">
        <v>130</v>
      </c>
      <c r="AI8" s="195" t="s">
        <v>436</v>
      </c>
      <c r="AL8" s="47" t="s">
        <v>74</v>
      </c>
      <c r="AM8" s="86"/>
      <c r="AN8" s="28" t="s">
        <v>156</v>
      </c>
      <c r="AO8" s="47" t="s">
        <v>157</v>
      </c>
      <c r="AP8" s="47" t="s">
        <v>158</v>
      </c>
      <c r="AQ8" s="87" t="s">
        <v>333</v>
      </c>
      <c r="AR8" s="47" t="s">
        <v>365</v>
      </c>
      <c r="AU8" s="47" t="s">
        <v>74</v>
      </c>
      <c r="AV8" s="130"/>
      <c r="AW8" s="87" t="s">
        <v>177</v>
      </c>
      <c r="AX8" s="47" t="s">
        <v>72</v>
      </c>
      <c r="AY8" s="47" t="s">
        <v>73</v>
      </c>
      <c r="AZ8" s="47" t="s">
        <v>78</v>
      </c>
      <c r="BA8" s="47" t="s">
        <v>79</v>
      </c>
      <c r="BB8" s="47" t="s">
        <v>351</v>
      </c>
      <c r="BE8" s="47" t="s">
        <v>74</v>
      </c>
      <c r="BF8" s="86"/>
      <c r="BG8" s="87" t="s">
        <v>191</v>
      </c>
      <c r="BH8" s="47" t="s">
        <v>111</v>
      </c>
      <c r="BI8" s="47" t="s">
        <v>68</v>
      </c>
      <c r="BJ8" s="47" t="s">
        <v>188</v>
      </c>
      <c r="BK8" s="47" t="s">
        <v>362</v>
      </c>
    </row>
    <row r="9" spans="2:63" ht="18" customHeight="1" x14ac:dyDescent="0.3">
      <c r="B9" s="94" t="s">
        <v>41</v>
      </c>
      <c r="C9" s="129"/>
      <c r="D9" s="87" t="s">
        <v>159</v>
      </c>
      <c r="E9" s="47" t="s">
        <v>264</v>
      </c>
      <c r="H9" s="47" t="s">
        <v>80</v>
      </c>
      <c r="I9" s="86"/>
      <c r="J9" s="87" t="s">
        <v>66</v>
      </c>
      <c r="K9" s="47" t="s">
        <v>67</v>
      </c>
      <c r="L9" s="47" t="s">
        <v>68</v>
      </c>
      <c r="M9" s="47" t="s">
        <v>69</v>
      </c>
      <c r="N9" s="47" t="s">
        <v>172</v>
      </c>
      <c r="O9" s="158" t="s">
        <v>418</v>
      </c>
      <c r="R9" s="47" t="s">
        <v>80</v>
      </c>
      <c r="S9" s="86"/>
      <c r="T9" s="87" t="s">
        <v>106</v>
      </c>
      <c r="U9" s="47" t="s">
        <v>107</v>
      </c>
      <c r="V9" s="47" t="s">
        <v>68</v>
      </c>
      <c r="W9" s="47" t="s">
        <v>108</v>
      </c>
      <c r="X9" s="47" t="s">
        <v>342</v>
      </c>
      <c r="Y9" s="47" t="s">
        <v>109</v>
      </c>
      <c r="Z9" s="157" t="s">
        <v>427</v>
      </c>
      <c r="AC9" s="86" t="s">
        <v>80</v>
      </c>
      <c r="AD9" s="86"/>
      <c r="AE9" s="87" t="s">
        <v>135</v>
      </c>
      <c r="AF9" s="47" t="s">
        <v>136</v>
      </c>
      <c r="AG9" s="47" t="s">
        <v>137</v>
      </c>
      <c r="AH9" s="47" t="s">
        <v>130</v>
      </c>
      <c r="AI9" s="195" t="s">
        <v>437</v>
      </c>
      <c r="AL9" s="47" t="s">
        <v>80</v>
      </c>
      <c r="AM9" s="129"/>
      <c r="AN9" s="28" t="s">
        <v>159</v>
      </c>
      <c r="AO9" s="47" t="s">
        <v>76</v>
      </c>
      <c r="AP9" s="47" t="s">
        <v>77</v>
      </c>
      <c r="AQ9" s="87" t="s">
        <v>160</v>
      </c>
      <c r="AR9" s="47" t="s">
        <v>349</v>
      </c>
      <c r="AU9" s="47" t="s">
        <v>80</v>
      </c>
      <c r="AV9" s="86"/>
      <c r="AW9" s="87" t="s">
        <v>178</v>
      </c>
      <c r="AX9" s="47" t="s">
        <v>179</v>
      </c>
      <c r="AY9" s="47" t="s">
        <v>68</v>
      </c>
      <c r="AZ9" s="47" t="s">
        <v>84</v>
      </c>
      <c r="BA9" s="47" t="s">
        <v>172</v>
      </c>
      <c r="BB9" s="47" t="s">
        <v>352</v>
      </c>
      <c r="BE9" s="47" t="s">
        <v>80</v>
      </c>
      <c r="BF9" s="86"/>
      <c r="BG9" s="87" t="s">
        <v>192</v>
      </c>
      <c r="BH9" s="47" t="s">
        <v>124</v>
      </c>
      <c r="BI9" s="47" t="s">
        <v>125</v>
      </c>
      <c r="BJ9" s="47" t="s">
        <v>188</v>
      </c>
      <c r="BK9" s="47" t="s">
        <v>345</v>
      </c>
    </row>
    <row r="10" spans="2:63" ht="18" customHeight="1" x14ac:dyDescent="0.3">
      <c r="B10" s="95" t="s">
        <v>42</v>
      </c>
      <c r="C10" s="129"/>
      <c r="D10" s="87" t="s">
        <v>171</v>
      </c>
      <c r="E10" s="47" t="s">
        <v>264</v>
      </c>
      <c r="H10" s="47" t="s">
        <v>85</v>
      </c>
      <c r="I10" s="86"/>
      <c r="J10" s="87" t="s">
        <v>86</v>
      </c>
      <c r="K10" s="47" t="s">
        <v>87</v>
      </c>
      <c r="L10" s="47" t="s">
        <v>88</v>
      </c>
      <c r="M10" s="47" t="s">
        <v>69</v>
      </c>
      <c r="N10" s="47" t="s">
        <v>172</v>
      </c>
      <c r="O10" s="158" t="s">
        <v>419</v>
      </c>
      <c r="R10" s="47" t="s">
        <v>85</v>
      </c>
      <c r="S10" s="129"/>
      <c r="T10" s="87" t="s">
        <v>112</v>
      </c>
      <c r="U10" s="47" t="s">
        <v>113</v>
      </c>
      <c r="V10" s="47" t="s">
        <v>68</v>
      </c>
      <c r="W10" s="47" t="s">
        <v>69</v>
      </c>
      <c r="X10" s="47" t="s">
        <v>341</v>
      </c>
      <c r="Y10" s="47" t="s">
        <v>99</v>
      </c>
      <c r="Z10" s="157" t="s">
        <v>428</v>
      </c>
      <c r="AC10" s="86" t="s">
        <v>85</v>
      </c>
      <c r="AD10" s="86"/>
      <c r="AE10" s="87" t="s">
        <v>139</v>
      </c>
      <c r="AF10" s="47" t="s">
        <v>140</v>
      </c>
      <c r="AG10" s="47" t="s">
        <v>141</v>
      </c>
      <c r="AH10" s="47" t="s">
        <v>130</v>
      </c>
      <c r="AI10" s="195" t="s">
        <v>429</v>
      </c>
      <c r="AL10" s="47" t="s">
        <v>85</v>
      </c>
      <c r="AM10" s="86"/>
      <c r="AN10" s="28" t="s">
        <v>161</v>
      </c>
      <c r="AO10" s="47" t="s">
        <v>138</v>
      </c>
      <c r="AP10" s="47" t="s">
        <v>83</v>
      </c>
      <c r="AQ10" s="87" t="s">
        <v>333</v>
      </c>
      <c r="AR10" s="47" t="s">
        <v>350</v>
      </c>
      <c r="AU10" s="47" t="s">
        <v>85</v>
      </c>
      <c r="AV10" s="86"/>
      <c r="AW10" s="87" t="s">
        <v>180</v>
      </c>
      <c r="AX10" s="47" t="s">
        <v>181</v>
      </c>
      <c r="AY10" s="47" t="s">
        <v>92</v>
      </c>
      <c r="AZ10" s="47" t="s">
        <v>182</v>
      </c>
      <c r="BA10" s="47" t="s">
        <v>172</v>
      </c>
      <c r="BB10" s="47" t="s">
        <v>353</v>
      </c>
      <c r="BE10" s="47" t="s">
        <v>85</v>
      </c>
      <c r="BF10" s="86"/>
      <c r="BG10" s="87" t="s">
        <v>193</v>
      </c>
      <c r="BH10" s="47" t="s">
        <v>194</v>
      </c>
      <c r="BI10" s="47" t="s">
        <v>68</v>
      </c>
      <c r="BJ10" s="47" t="s">
        <v>188</v>
      </c>
      <c r="BK10" s="47" t="s">
        <v>363</v>
      </c>
    </row>
    <row r="11" spans="2:63" ht="18" customHeight="1" thickBot="1" x14ac:dyDescent="0.35">
      <c r="B11" s="95" t="s">
        <v>42</v>
      </c>
      <c r="C11" s="130"/>
      <c r="D11" s="87" t="s">
        <v>174</v>
      </c>
      <c r="E11" s="47" t="s">
        <v>264</v>
      </c>
      <c r="H11" s="47" t="s">
        <v>89</v>
      </c>
      <c r="I11" s="86"/>
      <c r="J11" s="87" t="s">
        <v>90</v>
      </c>
      <c r="K11" s="47" t="s">
        <v>91</v>
      </c>
      <c r="L11" s="47" t="s">
        <v>92</v>
      </c>
      <c r="M11" s="47" t="s">
        <v>69</v>
      </c>
      <c r="N11" s="47" t="s">
        <v>172</v>
      </c>
      <c r="O11" s="158" t="s">
        <v>420</v>
      </c>
      <c r="R11" s="47" t="s">
        <v>89</v>
      </c>
      <c r="S11" s="86"/>
      <c r="T11" s="87" t="s">
        <v>123</v>
      </c>
      <c r="U11" s="47" t="s">
        <v>124</v>
      </c>
      <c r="V11" s="47" t="s">
        <v>125</v>
      </c>
      <c r="W11" s="47" t="s">
        <v>108</v>
      </c>
      <c r="X11" s="47" t="s">
        <v>342</v>
      </c>
      <c r="Y11" s="47" t="s">
        <v>328</v>
      </c>
      <c r="Z11" s="158" t="s">
        <v>417</v>
      </c>
      <c r="AC11" s="86" t="s">
        <v>89</v>
      </c>
      <c r="AD11" s="86"/>
      <c r="AE11" s="87" t="s">
        <v>142</v>
      </c>
      <c r="AF11" s="47" t="s">
        <v>143</v>
      </c>
      <c r="AG11" s="47" t="s">
        <v>144</v>
      </c>
      <c r="AH11" s="47" t="s">
        <v>130</v>
      </c>
      <c r="AI11" s="195" t="s">
        <v>438</v>
      </c>
      <c r="AL11" s="47" t="s">
        <v>89</v>
      </c>
      <c r="AM11" s="86"/>
      <c r="AN11" s="28" t="s">
        <v>162</v>
      </c>
      <c r="AO11" s="47" t="s">
        <v>163</v>
      </c>
      <c r="AP11" s="47" t="s">
        <v>137</v>
      </c>
      <c r="AQ11" s="87" t="s">
        <v>333</v>
      </c>
      <c r="AR11" s="47" t="s">
        <v>351</v>
      </c>
      <c r="AU11" s="48" t="s">
        <v>89</v>
      </c>
      <c r="AV11" s="56"/>
      <c r="AW11" s="58" t="s">
        <v>183</v>
      </c>
      <c r="AX11" s="48" t="s">
        <v>184</v>
      </c>
      <c r="AY11" s="48" t="s">
        <v>88</v>
      </c>
      <c r="AZ11" s="48" t="s">
        <v>185</v>
      </c>
      <c r="BA11" s="48" t="s">
        <v>172</v>
      </c>
      <c r="BB11" s="48" t="s">
        <v>359</v>
      </c>
      <c r="BE11" s="47" t="s">
        <v>89</v>
      </c>
      <c r="BF11" s="86"/>
      <c r="BG11" s="87" t="s">
        <v>195</v>
      </c>
      <c r="BH11" s="47" t="s">
        <v>113</v>
      </c>
      <c r="BI11" s="47" t="s">
        <v>68</v>
      </c>
      <c r="BJ11" s="47" t="s">
        <v>188</v>
      </c>
      <c r="BK11" s="47" t="s">
        <v>355</v>
      </c>
    </row>
    <row r="12" spans="2:63" ht="18" customHeight="1" thickBot="1" x14ac:dyDescent="0.35">
      <c r="B12" s="95" t="s">
        <v>42</v>
      </c>
      <c r="C12" s="130"/>
      <c r="D12" s="87" t="s">
        <v>177</v>
      </c>
      <c r="E12" s="47" t="s">
        <v>264</v>
      </c>
      <c r="H12" s="48" t="s">
        <v>93</v>
      </c>
      <c r="I12" s="56"/>
      <c r="J12" s="58" t="s">
        <v>94</v>
      </c>
      <c r="K12" s="48" t="s">
        <v>95</v>
      </c>
      <c r="L12" s="48" t="s">
        <v>96</v>
      </c>
      <c r="M12" s="48" t="s">
        <v>84</v>
      </c>
      <c r="N12" s="48" t="s">
        <v>172</v>
      </c>
      <c r="O12" s="126" t="s">
        <v>421</v>
      </c>
      <c r="R12" s="47" t="s">
        <v>93</v>
      </c>
      <c r="S12" s="129"/>
      <c r="T12" s="87" t="s">
        <v>114</v>
      </c>
      <c r="U12" s="47" t="s">
        <v>115</v>
      </c>
      <c r="V12" s="47" t="s">
        <v>68</v>
      </c>
      <c r="W12" s="47" t="s">
        <v>69</v>
      </c>
      <c r="X12" s="47" t="s">
        <v>341</v>
      </c>
      <c r="Y12" s="47" t="s">
        <v>99</v>
      </c>
      <c r="Z12" s="158" t="s">
        <v>429</v>
      </c>
      <c r="AC12" s="86" t="s">
        <v>93</v>
      </c>
      <c r="AD12" s="86"/>
      <c r="AE12" s="87" t="s">
        <v>145</v>
      </c>
      <c r="AF12" s="47" t="s">
        <v>146</v>
      </c>
      <c r="AG12" s="47" t="s">
        <v>147</v>
      </c>
      <c r="AH12" s="47" t="s">
        <v>130</v>
      </c>
      <c r="AI12" s="195" t="s">
        <v>432</v>
      </c>
      <c r="AL12" s="47" t="s">
        <v>93</v>
      </c>
      <c r="AM12" s="86"/>
      <c r="AN12" s="28" t="s">
        <v>164</v>
      </c>
      <c r="AO12" s="47" t="s">
        <v>143</v>
      </c>
      <c r="AP12" s="47" t="s">
        <v>144</v>
      </c>
      <c r="AQ12" s="87" t="s">
        <v>333</v>
      </c>
      <c r="AR12" s="47" t="s">
        <v>352</v>
      </c>
      <c r="BE12" s="47" t="s">
        <v>93</v>
      </c>
      <c r="BF12" s="86"/>
      <c r="BG12" s="87" t="s">
        <v>187</v>
      </c>
      <c r="BH12" s="47" t="s">
        <v>107</v>
      </c>
      <c r="BI12" s="47" t="s">
        <v>68</v>
      </c>
      <c r="BJ12" s="47" t="s">
        <v>188</v>
      </c>
      <c r="BK12" s="47" t="s">
        <v>364</v>
      </c>
    </row>
    <row r="13" spans="2:63" ht="18" customHeight="1" thickBot="1" x14ac:dyDescent="0.35">
      <c r="B13" s="127" t="s">
        <v>43</v>
      </c>
      <c r="C13" s="131"/>
      <c r="D13" s="58" t="s">
        <v>196</v>
      </c>
      <c r="E13" s="48" t="s">
        <v>264</v>
      </c>
      <c r="R13" s="47" t="s">
        <v>117</v>
      </c>
      <c r="S13" s="86"/>
      <c r="T13" s="87" t="s">
        <v>116</v>
      </c>
      <c r="U13" s="47" t="s">
        <v>67</v>
      </c>
      <c r="V13" s="47" t="s">
        <v>68</v>
      </c>
      <c r="W13" s="47" t="s">
        <v>108</v>
      </c>
      <c r="X13" s="47" t="s">
        <v>342</v>
      </c>
      <c r="Y13" s="47" t="s">
        <v>99</v>
      </c>
      <c r="Z13" s="158" t="s">
        <v>430</v>
      </c>
      <c r="AC13" s="56" t="s">
        <v>117</v>
      </c>
      <c r="AD13" s="56"/>
      <c r="AE13" s="58" t="s">
        <v>148</v>
      </c>
      <c r="AF13" s="48" t="s">
        <v>149</v>
      </c>
      <c r="AG13" s="48" t="s">
        <v>150</v>
      </c>
      <c r="AH13" s="48" t="s">
        <v>130</v>
      </c>
      <c r="AI13" s="196" t="s">
        <v>439</v>
      </c>
      <c r="AL13" s="47" t="s">
        <v>117</v>
      </c>
      <c r="AM13" s="86"/>
      <c r="AN13" s="28" t="s">
        <v>165</v>
      </c>
      <c r="AO13" s="47" t="s">
        <v>149</v>
      </c>
      <c r="AP13" s="47" t="s">
        <v>150</v>
      </c>
      <c r="AQ13" s="87" t="s">
        <v>333</v>
      </c>
      <c r="AR13" s="47" t="s">
        <v>353</v>
      </c>
      <c r="BE13" s="48" t="s">
        <v>117</v>
      </c>
      <c r="BF13" s="131"/>
      <c r="BG13" s="58" t="s">
        <v>196</v>
      </c>
      <c r="BH13" s="48" t="s">
        <v>67</v>
      </c>
      <c r="BI13" s="48" t="s">
        <v>68</v>
      </c>
      <c r="BJ13" s="48" t="s">
        <v>197</v>
      </c>
      <c r="BK13" s="48" t="s">
        <v>346</v>
      </c>
    </row>
    <row r="14" spans="2:63" ht="18" customHeight="1" x14ac:dyDescent="0.3">
      <c r="R14" s="47" t="s">
        <v>121</v>
      </c>
      <c r="S14" s="86"/>
      <c r="T14" s="87" t="s">
        <v>110</v>
      </c>
      <c r="U14" s="47" t="s">
        <v>111</v>
      </c>
      <c r="V14" s="47" t="s">
        <v>68</v>
      </c>
      <c r="W14" s="47" t="s">
        <v>108</v>
      </c>
      <c r="X14" s="47" t="s">
        <v>342</v>
      </c>
      <c r="Y14" s="47" t="s">
        <v>325</v>
      </c>
      <c r="Z14" s="158" t="s">
        <v>418</v>
      </c>
      <c r="AL14" s="47" t="s">
        <v>121</v>
      </c>
      <c r="AM14" s="86"/>
      <c r="AN14" s="28" t="s">
        <v>166</v>
      </c>
      <c r="AO14" s="47" t="s">
        <v>167</v>
      </c>
      <c r="AP14" s="47" t="s">
        <v>168</v>
      </c>
      <c r="AQ14" s="87" t="s">
        <v>333</v>
      </c>
      <c r="AR14" s="47" t="s">
        <v>346</v>
      </c>
    </row>
    <row r="15" spans="2:63" ht="18" customHeight="1" thickBot="1" x14ac:dyDescent="0.35">
      <c r="R15" s="47" t="s">
        <v>122</v>
      </c>
      <c r="S15" s="86"/>
      <c r="T15" s="87" t="s">
        <v>326</v>
      </c>
      <c r="U15" s="47" t="s">
        <v>327</v>
      </c>
      <c r="V15" s="47" t="s">
        <v>68</v>
      </c>
      <c r="W15" s="47" t="s">
        <v>108</v>
      </c>
      <c r="X15" s="47" t="s">
        <v>342</v>
      </c>
      <c r="Y15" s="47" t="s">
        <v>325</v>
      </c>
      <c r="Z15" s="158" t="s">
        <v>431</v>
      </c>
      <c r="AL15" s="48" t="s">
        <v>122</v>
      </c>
      <c r="AM15" s="56"/>
      <c r="AN15" s="57" t="s">
        <v>169</v>
      </c>
      <c r="AO15" s="48" t="s">
        <v>170</v>
      </c>
      <c r="AP15" s="48" t="s">
        <v>63</v>
      </c>
      <c r="AQ15" s="58" t="s">
        <v>160</v>
      </c>
      <c r="AR15" s="48" t="s">
        <v>354</v>
      </c>
    </row>
    <row r="16" spans="2:63" ht="18" customHeight="1" thickBot="1" x14ac:dyDescent="0.35">
      <c r="R16" s="48" t="s">
        <v>126</v>
      </c>
      <c r="S16" s="131"/>
      <c r="T16" s="58" t="s">
        <v>127</v>
      </c>
      <c r="U16" s="48" t="s">
        <v>128</v>
      </c>
      <c r="V16" s="48" t="s">
        <v>68</v>
      </c>
      <c r="W16" s="48" t="s">
        <v>64</v>
      </c>
      <c r="X16" s="48" t="s">
        <v>341</v>
      </c>
      <c r="Y16" s="48" t="s">
        <v>99</v>
      </c>
      <c r="Z16" s="159" t="s">
        <v>432</v>
      </c>
    </row>
  </sheetData>
  <mergeCells count="33">
    <mergeCell ref="AD4:AE4"/>
    <mergeCell ref="BH4:BI4"/>
    <mergeCell ref="AF4:AG4"/>
    <mergeCell ref="AM4:AN4"/>
    <mergeCell ref="AO4:AP4"/>
    <mergeCell ref="AV4:AW4"/>
    <mergeCell ref="AX4:AY4"/>
    <mergeCell ref="C4:D4"/>
    <mergeCell ref="I4:J4"/>
    <mergeCell ref="K4:L4"/>
    <mergeCell ref="S4:T4"/>
    <mergeCell ref="U4:V4"/>
    <mergeCell ref="AL2:AR2"/>
    <mergeCell ref="AU3:AX3"/>
    <mergeCell ref="AY3:BB3"/>
    <mergeCell ref="BE3:BH3"/>
    <mergeCell ref="BI3:BK3"/>
    <mergeCell ref="AU2:BB2"/>
    <mergeCell ref="BF4:BG4"/>
    <mergeCell ref="BE2:BK2"/>
    <mergeCell ref="B3:E3"/>
    <mergeCell ref="H3:K3"/>
    <mergeCell ref="L3:O3"/>
    <mergeCell ref="R3:V3"/>
    <mergeCell ref="W3:Z3"/>
    <mergeCell ref="AC3:AF3"/>
    <mergeCell ref="AG3:AI3"/>
    <mergeCell ref="AL3:AO3"/>
    <mergeCell ref="AP3:AR3"/>
    <mergeCell ref="B2:E2"/>
    <mergeCell ref="H2:O2"/>
    <mergeCell ref="R2:Z2"/>
    <mergeCell ref="AC2:A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2032-A504-4CBF-A7F9-64FDA792AD2D}">
  <dimension ref="B1:P49"/>
  <sheetViews>
    <sheetView workbookViewId="0">
      <selection activeCell="P8" sqref="P8"/>
    </sheetView>
  </sheetViews>
  <sheetFormatPr defaultColWidth="8.88671875" defaultRowHeight="18" customHeight="1" x14ac:dyDescent="0.3"/>
  <cols>
    <col min="1" max="1" width="3.33203125" style="1" customWidth="1"/>
    <col min="2" max="2" width="11.109375" style="1" customWidth="1"/>
    <col min="3" max="3" width="8.88671875" style="1"/>
    <col min="4" max="4" width="34.44140625" style="1" customWidth="1"/>
    <col min="5" max="5" width="22.21875" style="1" customWidth="1"/>
    <col min="6" max="7" width="3.33203125" style="1" customWidth="1"/>
    <col min="8" max="8" width="8.88671875" style="1"/>
    <col min="9" max="9" width="34.44140625" style="1" customWidth="1"/>
    <col min="10" max="12" width="11.109375" style="1" customWidth="1"/>
    <col min="13" max="14" width="3.33203125" style="1" customWidth="1"/>
    <col min="15" max="15" width="10.5546875" style="1" customWidth="1"/>
    <col min="16" max="16" width="13.33203125" style="1" customWidth="1"/>
    <col min="17" max="17" width="3.33203125" style="1" customWidth="1"/>
    <col min="18" max="16384" width="8.88671875" style="1"/>
  </cols>
  <sheetData>
    <row r="1" spans="2:16" ht="18" customHeight="1" thickBot="1" x14ac:dyDescent="0.35"/>
    <row r="2" spans="2:16" ht="18" customHeight="1" x14ac:dyDescent="0.3">
      <c r="B2" s="281" t="s">
        <v>401</v>
      </c>
      <c r="C2" s="282"/>
      <c r="D2" s="282"/>
      <c r="E2" s="283"/>
      <c r="H2" s="281" t="s">
        <v>401</v>
      </c>
      <c r="I2" s="282"/>
      <c r="J2" s="282"/>
      <c r="K2" s="282"/>
      <c r="L2" s="283"/>
    </row>
    <row r="3" spans="2:16" ht="18" customHeight="1" thickBot="1" x14ac:dyDescent="0.35">
      <c r="B3" s="284" t="s">
        <v>198</v>
      </c>
      <c r="C3" s="285"/>
      <c r="D3" s="285"/>
      <c r="E3" s="286"/>
      <c r="H3" s="284" t="s">
        <v>203</v>
      </c>
      <c r="I3" s="285"/>
      <c r="J3" s="285"/>
      <c r="K3" s="285"/>
      <c r="L3" s="286"/>
    </row>
    <row r="4" spans="2:16" ht="18" customHeight="1" thickBot="1" x14ac:dyDescent="0.35">
      <c r="B4" s="180" t="s">
        <v>199</v>
      </c>
      <c r="C4" s="180" t="s">
        <v>8</v>
      </c>
      <c r="D4" s="180" t="s">
        <v>0</v>
      </c>
      <c r="E4" s="180" t="s">
        <v>261</v>
      </c>
      <c r="H4" s="49" t="s">
        <v>8</v>
      </c>
      <c r="I4" s="50" t="s">
        <v>0</v>
      </c>
      <c r="J4" s="43" t="s">
        <v>200</v>
      </c>
      <c r="K4" s="44" t="s">
        <v>201</v>
      </c>
      <c r="L4" s="45" t="s">
        <v>202</v>
      </c>
      <c r="O4" s="272" t="s">
        <v>384</v>
      </c>
      <c r="P4" s="274"/>
    </row>
    <row r="5" spans="2:16" ht="18" customHeight="1" thickBot="1" x14ac:dyDescent="0.35">
      <c r="B5" s="85" t="s">
        <v>499</v>
      </c>
      <c r="C5" s="85" t="str">
        <f>IF(D5 &lt;&gt; "", VLOOKUP(D5, modelData, 2, FALSE), "")</f>
        <v>DPi</v>
      </c>
      <c r="D5" s="133" t="s">
        <v>409</v>
      </c>
      <c r="E5" s="85"/>
      <c r="H5" s="46" t="str">
        <f t="shared" ref="H5:H49" si="0">IF(AND(I5 &lt;&gt; "", I5 &lt;&gt; 0), VLOOKUP(I5, modelData, 2, FALSE), "")</f>
        <v>DPi</v>
      </c>
      <c r="I5" s="79" t="str" cm="1">
        <f t="array" ref="I5:I15">IF(_xlfn.UNIQUE(D5:D49, 0, FALSE) = 0, "", _xlfn.UNIQUE(D5:D49, 0, FALSE))</f>
        <v>Acura ARX-05</v>
      </c>
      <c r="J5" s="99"/>
      <c r="K5" s="33"/>
      <c r="L5" s="100"/>
      <c r="O5" s="287" t="s">
        <v>22</v>
      </c>
      <c r="P5" s="289"/>
    </row>
    <row r="6" spans="2:16" ht="18" customHeight="1" thickBot="1" x14ac:dyDescent="0.35">
      <c r="B6" s="47" t="s">
        <v>500</v>
      </c>
      <c r="C6" s="47" t="str">
        <f t="shared" ref="C6:C39" si="1">IF(D6 &lt;&gt; "", VLOOKUP(D6, modelData, 2, FALSE), "")</f>
        <v>DPi</v>
      </c>
      <c r="D6" s="79" t="s">
        <v>286</v>
      </c>
      <c r="E6" s="47"/>
      <c r="H6" s="47" t="str">
        <f t="shared" si="0"/>
        <v>DPi</v>
      </c>
      <c r="I6" s="79" t="str">
        <v>Cadillac DPi-V.R</v>
      </c>
      <c r="J6" s="51"/>
      <c r="K6" s="2"/>
      <c r="L6" s="52"/>
      <c r="O6" s="49" t="s">
        <v>32</v>
      </c>
      <c r="P6" s="49" t="s">
        <v>369</v>
      </c>
    </row>
    <row r="7" spans="2:16" ht="18" customHeight="1" x14ac:dyDescent="0.3">
      <c r="B7" s="47" t="s">
        <v>501</v>
      </c>
      <c r="C7" s="47" t="str">
        <f t="shared" si="1"/>
        <v>DPi</v>
      </c>
      <c r="D7" s="79" t="s">
        <v>287</v>
      </c>
      <c r="E7" s="47"/>
      <c r="H7" s="47" t="str">
        <f t="shared" si="0"/>
        <v>DPi</v>
      </c>
      <c r="I7" s="79" t="str">
        <v>Mazda RT24-P</v>
      </c>
      <c r="J7" s="51"/>
      <c r="K7" s="2"/>
      <c r="L7" s="52"/>
      <c r="O7" s="101" t="s">
        <v>281</v>
      </c>
      <c r="P7" s="175" t="s">
        <v>37</v>
      </c>
    </row>
    <row r="8" spans="2:16" ht="18" customHeight="1" x14ac:dyDescent="0.3">
      <c r="B8" s="47" t="s">
        <v>502</v>
      </c>
      <c r="C8" s="47" t="str">
        <f t="shared" si="1"/>
        <v>DPi</v>
      </c>
      <c r="D8" s="79" t="s">
        <v>285</v>
      </c>
      <c r="E8" s="47"/>
      <c r="H8" s="47" t="str">
        <f t="shared" si="0"/>
        <v>DPi</v>
      </c>
      <c r="I8" s="79" t="str">
        <v>Nissan Onroak DPi</v>
      </c>
      <c r="J8" s="51"/>
      <c r="K8" s="2"/>
      <c r="L8" s="52"/>
      <c r="O8" s="88" t="s">
        <v>9</v>
      </c>
      <c r="P8" s="173"/>
    </row>
    <row r="9" spans="2:16" ht="18" customHeight="1" x14ac:dyDescent="0.3">
      <c r="B9" s="47" t="s">
        <v>503</v>
      </c>
      <c r="C9" s="47" t="str">
        <f t="shared" si="1"/>
        <v>LMP1-L</v>
      </c>
      <c r="D9" s="79" t="s">
        <v>405</v>
      </c>
      <c r="E9" s="47"/>
      <c r="H9" s="47" t="str">
        <f t="shared" si="0"/>
        <v>LMP1-L</v>
      </c>
      <c r="I9" s="79" t="str">
        <v>BR Engineering BR1</v>
      </c>
      <c r="J9" s="51"/>
      <c r="K9" s="2"/>
      <c r="L9" s="52"/>
      <c r="O9" s="147" t="s">
        <v>317</v>
      </c>
      <c r="P9" s="173"/>
    </row>
    <row r="10" spans="2:16" ht="18" customHeight="1" thickBot="1" x14ac:dyDescent="0.35">
      <c r="B10" s="47" t="s">
        <v>504</v>
      </c>
      <c r="C10" s="47" t="str">
        <f t="shared" si="1"/>
        <v>LMP1-L</v>
      </c>
      <c r="D10" s="79" t="s">
        <v>283</v>
      </c>
      <c r="E10" s="47"/>
      <c r="H10" s="47" t="str">
        <f t="shared" si="0"/>
        <v>LMP1-L</v>
      </c>
      <c r="I10" s="79" t="str">
        <v>ENSO CLM P1/01</v>
      </c>
      <c r="J10" s="51"/>
      <c r="K10" s="2"/>
      <c r="L10" s="52"/>
      <c r="O10" s="148" t="s">
        <v>318</v>
      </c>
      <c r="P10" s="174"/>
    </row>
    <row r="11" spans="2:16" ht="18" customHeight="1" thickBot="1" x14ac:dyDescent="0.35">
      <c r="B11" s="47" t="s">
        <v>505</v>
      </c>
      <c r="C11" s="47" t="str">
        <f t="shared" si="1"/>
        <v>LMP1-L</v>
      </c>
      <c r="D11" s="47" t="s">
        <v>406</v>
      </c>
      <c r="E11" s="47"/>
      <c r="H11" s="47" t="str">
        <f t="shared" si="0"/>
        <v>LMP1-L</v>
      </c>
      <c r="I11" s="79" t="str">
        <v>Ginetta G60-LT-P1</v>
      </c>
      <c r="J11" s="51"/>
      <c r="K11" s="2"/>
      <c r="L11" s="52"/>
      <c r="O11" s="260" t="s">
        <v>38</v>
      </c>
      <c r="P11" s="262"/>
    </row>
    <row r="12" spans="2:16" ht="18" customHeight="1" thickBot="1" x14ac:dyDescent="0.35">
      <c r="B12" s="47" t="s">
        <v>506</v>
      </c>
      <c r="C12" s="47" t="str">
        <f t="shared" si="1"/>
        <v>LMP1-L</v>
      </c>
      <c r="D12" s="79" t="s">
        <v>407</v>
      </c>
      <c r="E12" s="47"/>
      <c r="H12" s="47" t="str">
        <f t="shared" si="0"/>
        <v>LMP1-L</v>
      </c>
      <c r="I12" s="79" t="str">
        <v>Rebellion R13</v>
      </c>
      <c r="J12" s="51"/>
      <c r="K12" s="2"/>
      <c r="L12" s="52"/>
      <c r="O12" s="49" t="s">
        <v>32</v>
      </c>
      <c r="P12" s="49" t="s">
        <v>369</v>
      </c>
    </row>
    <row r="13" spans="2:16" ht="18" customHeight="1" thickBot="1" x14ac:dyDescent="0.35">
      <c r="B13" s="47" t="s">
        <v>507</v>
      </c>
      <c r="C13" s="47" t="str">
        <f t="shared" si="1"/>
        <v>LMP1-H</v>
      </c>
      <c r="D13" s="79" t="s">
        <v>282</v>
      </c>
      <c r="E13" s="47"/>
      <c r="H13" s="47" t="str">
        <f t="shared" si="0"/>
        <v>LMP1-H</v>
      </c>
      <c r="I13" s="79" t="str">
        <v>Porsche 919 Hybrid</v>
      </c>
      <c r="J13" s="51"/>
      <c r="K13" s="2"/>
      <c r="L13" s="52"/>
      <c r="O13" s="102" t="s">
        <v>288</v>
      </c>
      <c r="P13" s="175" t="s">
        <v>37</v>
      </c>
    </row>
    <row r="14" spans="2:16" ht="18" customHeight="1" x14ac:dyDescent="0.3">
      <c r="B14" s="47" t="s">
        <v>508</v>
      </c>
      <c r="C14" s="47" t="str">
        <f t="shared" si="1"/>
        <v>LMP1-H</v>
      </c>
      <c r="D14" s="79" t="s">
        <v>408</v>
      </c>
      <c r="E14" s="47"/>
      <c r="H14" s="47" t="str">
        <f t="shared" si="0"/>
        <v>LMP1-H</v>
      </c>
      <c r="I14" s="79" t="str">
        <v>Toyota TS050 - Hybrid</v>
      </c>
      <c r="J14" s="51"/>
      <c r="K14" s="2"/>
      <c r="L14" s="52"/>
      <c r="O14" s="104" t="s">
        <v>9</v>
      </c>
      <c r="P14" s="173"/>
    </row>
    <row r="15" spans="2:16" ht="18" customHeight="1" x14ac:dyDescent="0.3">
      <c r="B15" s="47"/>
      <c r="C15" s="47" t="str">
        <f t="shared" si="1"/>
        <v/>
      </c>
      <c r="D15" s="79"/>
      <c r="E15" s="47"/>
      <c r="H15" s="47" t="str">
        <f t="shared" si="0"/>
        <v/>
      </c>
      <c r="I15" s="79" t="str">
        <v/>
      </c>
      <c r="J15" s="51"/>
      <c r="K15" s="2"/>
      <c r="L15" s="52"/>
      <c r="O15" s="91" t="s">
        <v>319</v>
      </c>
      <c r="P15" s="173"/>
    </row>
    <row r="16" spans="2:16" ht="18" customHeight="1" thickBot="1" x14ac:dyDescent="0.35">
      <c r="B16" s="47"/>
      <c r="C16" s="47" t="str">
        <f t="shared" si="1"/>
        <v/>
      </c>
      <c r="D16" s="79"/>
      <c r="E16" s="47"/>
      <c r="H16" s="47" t="str">
        <f t="shared" si="0"/>
        <v/>
      </c>
      <c r="I16" s="79"/>
      <c r="J16" s="51"/>
      <c r="K16" s="2"/>
      <c r="L16" s="52"/>
      <c r="O16" s="103" t="s">
        <v>24</v>
      </c>
      <c r="P16" s="174"/>
    </row>
    <row r="17" spans="2:16" ht="18" customHeight="1" thickBot="1" x14ac:dyDescent="0.35">
      <c r="B17" s="47"/>
      <c r="C17" s="47" t="str">
        <f t="shared" si="1"/>
        <v/>
      </c>
      <c r="D17" s="47"/>
      <c r="E17" s="47"/>
      <c r="H17" s="47" t="str">
        <f t="shared" si="0"/>
        <v/>
      </c>
      <c r="I17" s="79"/>
      <c r="J17" s="51"/>
      <c r="K17" s="2"/>
      <c r="L17" s="52"/>
      <c r="O17" s="242" t="s">
        <v>39</v>
      </c>
      <c r="P17" s="244"/>
    </row>
    <row r="18" spans="2:16" ht="18" customHeight="1" thickBot="1" x14ac:dyDescent="0.35">
      <c r="B18" s="47"/>
      <c r="C18" s="47" t="str">
        <f t="shared" si="1"/>
        <v/>
      </c>
      <c r="D18" s="47"/>
      <c r="E18" s="47"/>
      <c r="H18" s="47" t="str">
        <f t="shared" si="0"/>
        <v/>
      </c>
      <c r="I18" s="79"/>
      <c r="J18" s="51"/>
      <c r="K18" s="2"/>
      <c r="L18" s="52"/>
      <c r="O18" s="49" t="s">
        <v>32</v>
      </c>
      <c r="P18" s="49" t="s">
        <v>369</v>
      </c>
    </row>
    <row r="19" spans="2:16" ht="18" customHeight="1" x14ac:dyDescent="0.3">
      <c r="B19" s="47"/>
      <c r="C19" s="47" t="str">
        <f t="shared" si="1"/>
        <v/>
      </c>
      <c r="D19" s="47"/>
      <c r="E19" s="47"/>
      <c r="H19" s="47" t="str">
        <f t="shared" si="0"/>
        <v/>
      </c>
      <c r="I19" s="79"/>
      <c r="J19" s="51"/>
      <c r="K19" s="2"/>
      <c r="L19" s="52"/>
      <c r="O19" s="104" t="s">
        <v>9</v>
      </c>
      <c r="P19" s="175"/>
    </row>
    <row r="20" spans="2:16" ht="18" customHeight="1" x14ac:dyDescent="0.3">
      <c r="B20" s="47"/>
      <c r="C20" s="47" t="str">
        <f t="shared" si="1"/>
        <v/>
      </c>
      <c r="D20" s="47"/>
      <c r="E20" s="47"/>
      <c r="H20" s="47" t="str">
        <f t="shared" si="0"/>
        <v/>
      </c>
      <c r="I20" s="79"/>
      <c r="J20" s="51"/>
      <c r="K20" s="2"/>
      <c r="L20" s="52"/>
      <c r="O20" s="93" t="s">
        <v>10</v>
      </c>
      <c r="P20" s="173" t="s">
        <v>37</v>
      </c>
    </row>
    <row r="21" spans="2:16" ht="18" customHeight="1" thickBot="1" x14ac:dyDescent="0.35">
      <c r="B21" s="47"/>
      <c r="C21" s="47" t="str">
        <f t="shared" si="1"/>
        <v/>
      </c>
      <c r="D21" s="47"/>
      <c r="E21" s="47"/>
      <c r="H21" s="47" t="str">
        <f t="shared" si="0"/>
        <v/>
      </c>
      <c r="I21" s="79"/>
      <c r="J21" s="51"/>
      <c r="K21" s="2"/>
      <c r="L21" s="52"/>
      <c r="O21" s="148" t="s">
        <v>320</v>
      </c>
      <c r="P21" s="174"/>
    </row>
    <row r="22" spans="2:16" ht="18" customHeight="1" x14ac:dyDescent="0.3">
      <c r="B22" s="47"/>
      <c r="C22" s="47" t="str">
        <f t="shared" si="1"/>
        <v/>
      </c>
      <c r="D22" s="47"/>
      <c r="E22" s="47"/>
      <c r="H22" s="47" t="str">
        <f t="shared" si="0"/>
        <v/>
      </c>
      <c r="I22" s="79"/>
      <c r="J22" s="51"/>
      <c r="K22" s="2"/>
      <c r="L22" s="52"/>
    </row>
    <row r="23" spans="2:16" ht="18" customHeight="1" x14ac:dyDescent="0.3">
      <c r="B23" s="47"/>
      <c r="C23" s="47" t="str">
        <f t="shared" si="1"/>
        <v/>
      </c>
      <c r="D23" s="47"/>
      <c r="E23" s="47"/>
      <c r="H23" s="47" t="str">
        <f t="shared" si="0"/>
        <v/>
      </c>
      <c r="I23" s="79"/>
      <c r="J23" s="51"/>
      <c r="K23" s="2"/>
      <c r="L23" s="52"/>
    </row>
    <row r="24" spans="2:16" ht="18" customHeight="1" x14ac:dyDescent="0.3">
      <c r="B24" s="47"/>
      <c r="C24" s="47" t="str">
        <f t="shared" si="1"/>
        <v/>
      </c>
      <c r="D24" s="47"/>
      <c r="E24" s="47"/>
      <c r="H24" s="47" t="str">
        <f t="shared" si="0"/>
        <v/>
      </c>
      <c r="I24" s="79"/>
      <c r="J24" s="51"/>
      <c r="K24" s="2"/>
      <c r="L24" s="52"/>
    </row>
    <row r="25" spans="2:16" ht="18" customHeight="1" x14ac:dyDescent="0.3">
      <c r="B25" s="47"/>
      <c r="C25" s="47" t="str">
        <f t="shared" si="1"/>
        <v/>
      </c>
      <c r="D25" s="47"/>
      <c r="E25" s="47"/>
      <c r="H25" s="47" t="str">
        <f t="shared" si="0"/>
        <v/>
      </c>
      <c r="I25" s="79"/>
      <c r="J25" s="51"/>
      <c r="K25" s="2"/>
      <c r="L25" s="52"/>
    </row>
    <row r="26" spans="2:16" ht="18" customHeight="1" x14ac:dyDescent="0.3">
      <c r="B26" s="47"/>
      <c r="C26" s="47" t="str">
        <f t="shared" si="1"/>
        <v/>
      </c>
      <c r="D26" s="47"/>
      <c r="E26" s="47"/>
      <c r="H26" s="47" t="str">
        <f t="shared" si="0"/>
        <v/>
      </c>
      <c r="I26" s="79"/>
      <c r="J26" s="51"/>
      <c r="K26" s="2"/>
      <c r="L26" s="52"/>
    </row>
    <row r="27" spans="2:16" ht="18" customHeight="1" x14ac:dyDescent="0.3">
      <c r="B27" s="47"/>
      <c r="C27" s="47" t="str">
        <f t="shared" si="1"/>
        <v/>
      </c>
      <c r="D27" s="47"/>
      <c r="E27" s="47"/>
      <c r="H27" s="47" t="str">
        <f t="shared" si="0"/>
        <v/>
      </c>
      <c r="I27" s="79"/>
      <c r="J27" s="51"/>
      <c r="K27" s="2"/>
      <c r="L27" s="52"/>
    </row>
    <row r="28" spans="2:16" ht="18" customHeight="1" x14ac:dyDescent="0.3">
      <c r="B28" s="47"/>
      <c r="C28" s="47" t="str">
        <f t="shared" si="1"/>
        <v/>
      </c>
      <c r="D28" s="47"/>
      <c r="E28" s="47"/>
      <c r="H28" s="47" t="str">
        <f t="shared" si="0"/>
        <v/>
      </c>
      <c r="I28" s="79"/>
      <c r="J28" s="51"/>
      <c r="K28" s="2"/>
      <c r="L28" s="52"/>
    </row>
    <row r="29" spans="2:16" ht="18" customHeight="1" x14ac:dyDescent="0.3">
      <c r="B29" s="47"/>
      <c r="C29" s="47" t="str">
        <f t="shared" si="1"/>
        <v/>
      </c>
      <c r="D29" s="47"/>
      <c r="E29" s="47"/>
      <c r="H29" s="47" t="str">
        <f t="shared" si="0"/>
        <v/>
      </c>
      <c r="I29" s="79"/>
      <c r="J29" s="51"/>
      <c r="K29" s="2"/>
      <c r="L29" s="52"/>
    </row>
    <row r="30" spans="2:16" ht="18" customHeight="1" x14ac:dyDescent="0.3">
      <c r="B30" s="47"/>
      <c r="C30" s="47" t="str">
        <f t="shared" si="1"/>
        <v/>
      </c>
      <c r="D30" s="47"/>
      <c r="E30" s="47"/>
      <c r="H30" s="47" t="str">
        <f t="shared" si="0"/>
        <v/>
      </c>
      <c r="I30" s="79"/>
      <c r="J30" s="51"/>
      <c r="K30" s="2"/>
      <c r="L30" s="52"/>
    </row>
    <row r="31" spans="2:16" ht="18" customHeight="1" x14ac:dyDescent="0.3">
      <c r="B31" s="47"/>
      <c r="C31" s="47" t="str">
        <f t="shared" si="1"/>
        <v/>
      </c>
      <c r="D31" s="47"/>
      <c r="E31" s="47"/>
      <c r="H31" s="47" t="str">
        <f t="shared" si="0"/>
        <v/>
      </c>
      <c r="I31" s="79"/>
      <c r="J31" s="51"/>
      <c r="K31" s="2"/>
      <c r="L31" s="52"/>
    </row>
    <row r="32" spans="2:16" ht="18" customHeight="1" x14ac:dyDescent="0.3">
      <c r="B32" s="47"/>
      <c r="C32" s="47" t="str">
        <f t="shared" si="1"/>
        <v/>
      </c>
      <c r="D32" s="47"/>
      <c r="E32" s="47"/>
      <c r="H32" s="47" t="str">
        <f t="shared" si="0"/>
        <v/>
      </c>
      <c r="I32" s="79"/>
      <c r="J32" s="51"/>
      <c r="K32" s="2"/>
      <c r="L32" s="52"/>
    </row>
    <row r="33" spans="2:12" ht="18" customHeight="1" x14ac:dyDescent="0.3">
      <c r="B33" s="47"/>
      <c r="C33" s="47" t="str">
        <f t="shared" si="1"/>
        <v/>
      </c>
      <c r="D33" s="47"/>
      <c r="E33" s="47"/>
      <c r="H33" s="47" t="str">
        <f t="shared" si="0"/>
        <v/>
      </c>
      <c r="I33" s="79"/>
      <c r="J33" s="51"/>
      <c r="K33" s="2"/>
      <c r="L33" s="52"/>
    </row>
    <row r="34" spans="2:12" ht="18" customHeight="1" x14ac:dyDescent="0.3">
      <c r="B34" s="47"/>
      <c r="C34" s="47" t="str">
        <f t="shared" si="1"/>
        <v/>
      </c>
      <c r="D34" s="47"/>
      <c r="E34" s="47"/>
      <c r="H34" s="47" t="str">
        <f t="shared" si="0"/>
        <v/>
      </c>
      <c r="I34" s="79"/>
      <c r="J34" s="51"/>
      <c r="K34" s="2"/>
      <c r="L34" s="52"/>
    </row>
    <row r="35" spans="2:12" ht="18" customHeight="1" x14ac:dyDescent="0.3">
      <c r="B35" s="47"/>
      <c r="C35" s="47" t="str">
        <f t="shared" si="1"/>
        <v/>
      </c>
      <c r="D35" s="47"/>
      <c r="E35" s="47"/>
      <c r="H35" s="47" t="str">
        <f t="shared" si="0"/>
        <v/>
      </c>
      <c r="I35" s="79"/>
      <c r="J35" s="51"/>
      <c r="K35" s="2"/>
      <c r="L35" s="52"/>
    </row>
    <row r="36" spans="2:12" ht="18" customHeight="1" x14ac:dyDescent="0.3">
      <c r="B36" s="47"/>
      <c r="C36" s="47" t="str">
        <f t="shared" si="1"/>
        <v/>
      </c>
      <c r="D36" s="47"/>
      <c r="E36" s="47"/>
      <c r="H36" s="47" t="str">
        <f t="shared" si="0"/>
        <v/>
      </c>
      <c r="I36" s="79"/>
      <c r="J36" s="51"/>
      <c r="K36" s="2"/>
      <c r="L36" s="52"/>
    </row>
    <row r="37" spans="2:12" ht="18" customHeight="1" x14ac:dyDescent="0.3">
      <c r="B37" s="47"/>
      <c r="C37" s="47" t="str">
        <f t="shared" si="1"/>
        <v/>
      </c>
      <c r="D37" s="47"/>
      <c r="E37" s="47"/>
      <c r="H37" s="47" t="str">
        <f t="shared" si="0"/>
        <v/>
      </c>
      <c r="I37" s="79"/>
      <c r="J37" s="51"/>
      <c r="K37" s="2"/>
      <c r="L37" s="52"/>
    </row>
    <row r="38" spans="2:12" ht="18" customHeight="1" x14ac:dyDescent="0.3">
      <c r="B38" s="47"/>
      <c r="C38" s="47" t="str">
        <f t="shared" si="1"/>
        <v/>
      </c>
      <c r="D38" s="47"/>
      <c r="E38" s="47"/>
      <c r="H38" s="47" t="str">
        <f t="shared" si="0"/>
        <v/>
      </c>
      <c r="I38" s="79"/>
      <c r="J38" s="51"/>
      <c r="K38" s="2"/>
      <c r="L38" s="52"/>
    </row>
    <row r="39" spans="2:12" ht="18" customHeight="1" x14ac:dyDescent="0.3">
      <c r="B39" s="47"/>
      <c r="C39" s="47" t="str">
        <f t="shared" si="1"/>
        <v/>
      </c>
      <c r="D39" s="47"/>
      <c r="E39" s="47"/>
      <c r="H39" s="47" t="str">
        <f t="shared" si="0"/>
        <v/>
      </c>
      <c r="I39" s="79"/>
      <c r="J39" s="51"/>
      <c r="K39" s="2"/>
      <c r="L39" s="52"/>
    </row>
    <row r="40" spans="2:12" ht="18" customHeight="1" x14ac:dyDescent="0.3">
      <c r="B40" s="47"/>
      <c r="C40" s="47" t="str">
        <f t="shared" ref="C40:C49" si="2">IF(D40 &lt;&gt; "", VLOOKUP(D40, modelData, 2, FALSE), "")</f>
        <v/>
      </c>
      <c r="D40" s="47"/>
      <c r="E40" s="47"/>
      <c r="H40" s="47" t="str">
        <f t="shared" si="0"/>
        <v/>
      </c>
      <c r="I40" s="79"/>
      <c r="J40" s="51"/>
      <c r="K40" s="2"/>
      <c r="L40" s="52"/>
    </row>
    <row r="41" spans="2:12" ht="18" customHeight="1" x14ac:dyDescent="0.3">
      <c r="B41" s="47"/>
      <c r="C41" s="47" t="str">
        <f t="shared" si="2"/>
        <v/>
      </c>
      <c r="D41" s="47"/>
      <c r="E41" s="47"/>
      <c r="H41" s="47" t="str">
        <f t="shared" si="0"/>
        <v/>
      </c>
      <c r="I41" s="79"/>
      <c r="J41" s="51"/>
      <c r="K41" s="2"/>
      <c r="L41" s="52"/>
    </row>
    <row r="42" spans="2:12" ht="18" customHeight="1" x14ac:dyDescent="0.3">
      <c r="B42" s="47"/>
      <c r="C42" s="47" t="str">
        <f t="shared" si="2"/>
        <v/>
      </c>
      <c r="D42" s="47"/>
      <c r="E42" s="47"/>
      <c r="H42" s="47" t="str">
        <f t="shared" si="0"/>
        <v/>
      </c>
      <c r="I42" s="79"/>
      <c r="J42" s="51"/>
      <c r="K42" s="2"/>
      <c r="L42" s="52"/>
    </row>
    <row r="43" spans="2:12" ht="18" customHeight="1" x14ac:dyDescent="0.3">
      <c r="B43" s="47"/>
      <c r="C43" s="47" t="str">
        <f t="shared" si="2"/>
        <v/>
      </c>
      <c r="D43" s="47"/>
      <c r="E43" s="47"/>
      <c r="H43" s="47" t="str">
        <f t="shared" si="0"/>
        <v/>
      </c>
      <c r="I43" s="79"/>
      <c r="J43" s="51"/>
      <c r="K43" s="2"/>
      <c r="L43" s="52"/>
    </row>
    <row r="44" spans="2:12" ht="18" customHeight="1" x14ac:dyDescent="0.3">
      <c r="B44" s="47"/>
      <c r="C44" s="47" t="str">
        <f t="shared" si="2"/>
        <v/>
      </c>
      <c r="D44" s="47"/>
      <c r="E44" s="47"/>
      <c r="H44" s="47" t="str">
        <f t="shared" si="0"/>
        <v/>
      </c>
      <c r="I44" s="79"/>
      <c r="J44" s="51"/>
      <c r="K44" s="2"/>
      <c r="L44" s="52"/>
    </row>
    <row r="45" spans="2:12" ht="18" customHeight="1" x14ac:dyDescent="0.3">
      <c r="B45" s="47"/>
      <c r="C45" s="47" t="str">
        <f t="shared" si="2"/>
        <v/>
      </c>
      <c r="D45" s="47"/>
      <c r="E45" s="47"/>
      <c r="H45" s="47" t="str">
        <f t="shared" si="0"/>
        <v/>
      </c>
      <c r="I45" s="79"/>
      <c r="J45" s="51"/>
      <c r="K45" s="2"/>
      <c r="L45" s="52"/>
    </row>
    <row r="46" spans="2:12" ht="18" customHeight="1" x14ac:dyDescent="0.3">
      <c r="B46" s="47"/>
      <c r="C46" s="47" t="str">
        <f t="shared" si="2"/>
        <v/>
      </c>
      <c r="D46" s="47"/>
      <c r="E46" s="47"/>
      <c r="H46" s="47" t="str">
        <f t="shared" si="0"/>
        <v/>
      </c>
      <c r="I46" s="79"/>
      <c r="J46" s="51"/>
      <c r="K46" s="2"/>
      <c r="L46" s="52"/>
    </row>
    <row r="47" spans="2:12" ht="18" customHeight="1" x14ac:dyDescent="0.3">
      <c r="B47" s="47"/>
      <c r="C47" s="47" t="str">
        <f t="shared" si="2"/>
        <v/>
      </c>
      <c r="D47" s="47"/>
      <c r="E47" s="47"/>
      <c r="H47" s="47" t="str">
        <f t="shared" si="0"/>
        <v/>
      </c>
      <c r="I47" s="79"/>
      <c r="J47" s="51"/>
      <c r="K47" s="2"/>
      <c r="L47" s="52"/>
    </row>
    <row r="48" spans="2:12" ht="18" customHeight="1" x14ac:dyDescent="0.3">
      <c r="B48" s="47"/>
      <c r="C48" s="47" t="str">
        <f t="shared" si="2"/>
        <v/>
      </c>
      <c r="D48" s="47"/>
      <c r="E48" s="47"/>
      <c r="H48" s="47" t="str">
        <f t="shared" si="0"/>
        <v/>
      </c>
      <c r="I48" s="79"/>
      <c r="J48" s="51"/>
      <c r="K48" s="2"/>
      <c r="L48" s="52"/>
    </row>
    <row r="49" spans="2:12" ht="18" customHeight="1" thickBot="1" x14ac:dyDescent="0.35">
      <c r="B49" s="48"/>
      <c r="C49" s="48" t="str">
        <f t="shared" si="2"/>
        <v/>
      </c>
      <c r="D49" s="48"/>
      <c r="E49" s="48"/>
      <c r="H49" s="48" t="str">
        <f t="shared" si="0"/>
        <v/>
      </c>
      <c r="I49" s="135"/>
      <c r="J49" s="40"/>
      <c r="K49" s="41"/>
      <c r="L49" s="42"/>
    </row>
  </sheetData>
  <sheetProtection algorithmName="SHA-512" hashValue="8mx5OoFlPtjxxN54yywOlYKVV/tLOrA/4gqU7ozbEBB+GWi/f2EA9VVFbGi4xbYUEq8P3Rrj8Kg2g8Fde9Eq9w==" saltValue="QPb0DaDixsK2S6Oa0s7lNQ==" spinCount="100000" sheet="1" objects="1" scenarios="1"/>
  <protectedRanges>
    <protectedRange sqref="B5:B49 D5:E49 J5:L49 P7:P10 P13:P16 P19 P21" name="Editable"/>
  </protectedRanges>
  <mergeCells count="8">
    <mergeCell ref="B2:E2"/>
    <mergeCell ref="B3:E3"/>
    <mergeCell ref="O17:P17"/>
    <mergeCell ref="O5:P5"/>
    <mergeCell ref="O11:P11"/>
    <mergeCell ref="H3:L3"/>
    <mergeCell ref="H2:L2"/>
    <mergeCell ref="O4:P4"/>
  </mergeCells>
  <phoneticPr fontId="16" type="noConversion"/>
  <conditionalFormatting sqref="C5:C49">
    <cfRule type="cellIs" dxfId="420" priority="56" operator="equal">
      <formula>"LMP1-H"</formula>
    </cfRule>
    <cfRule type="cellIs" dxfId="419" priority="120" operator="equal">
      <formula>"LMP1-L"</formula>
    </cfRule>
    <cfRule type="cellIs" dxfId="418" priority="240" operator="equal">
      <formula>"DPi"</formula>
    </cfRule>
    <cfRule type="cellIs" dxfId="417" priority="241" operator="equal">
      <formula>"LMP2"</formula>
    </cfRule>
    <cfRule type="cellIs" dxfId="416" priority="242" operator="equal">
      <formula>"LMP3"</formula>
    </cfRule>
    <cfRule type="cellIs" dxfId="415" priority="243" operator="equal">
      <formula>"LMGTE"</formula>
    </cfRule>
    <cfRule type="cellIs" dxfId="414" priority="244" operator="equal">
      <formula>"GT3"</formula>
    </cfRule>
    <cfRule type="cellIs" dxfId="413" priority="246" operator="equal">
      <formula>"GT4"</formula>
    </cfRule>
  </conditionalFormatting>
  <conditionalFormatting sqref="D5:D49">
    <cfRule type="cellIs" dxfId="412" priority="48" operator="equal">
      <formula>"BR Engineering BR1"</formula>
    </cfRule>
    <cfRule type="cellIs" dxfId="411" priority="49" operator="equal">
      <formula>"ENSO CLM P1/01"</formula>
    </cfRule>
    <cfRule type="cellIs" dxfId="410" priority="50" operator="equal">
      <formula>"Ginetta G60-LT-P1"</formula>
    </cfRule>
    <cfRule type="cellIs" dxfId="409" priority="51" operator="equal">
      <formula>"Rebellion R13"</formula>
    </cfRule>
    <cfRule type="cellIs" dxfId="408" priority="109" operator="equal">
      <formula>"Porsche 919 Hybrid"</formula>
    </cfRule>
    <cfRule type="cellIs" dxfId="407" priority="110" operator="equal">
      <formula>"Toyota TS050 - Hybrid"</formula>
    </cfRule>
    <cfRule type="cellIs" dxfId="406" priority="111" operator="equal">
      <formula>"Acura ARX-05"</formula>
    </cfRule>
    <cfRule type="cellIs" dxfId="405" priority="112" operator="equal">
      <formula>"Cadillac DPi-V.R"</formula>
    </cfRule>
    <cfRule type="cellIs" dxfId="404" priority="118" operator="equal">
      <formula>"Mazda RT24-P"</formula>
    </cfRule>
    <cfRule type="cellIs" dxfId="403" priority="186" operator="equal">
      <formula>"Nissan Onroak DPi"</formula>
    </cfRule>
    <cfRule type="cellIs" dxfId="402" priority="189" operator="equal">
      <formula>"Dallara P217"</formula>
    </cfRule>
    <cfRule type="cellIs" dxfId="401" priority="190" operator="equal">
      <formula>"Ligier JS P217"</formula>
    </cfRule>
    <cfRule type="cellIs" dxfId="400" priority="191" operator="equal">
      <formula>"Oreca 07"</formula>
    </cfRule>
    <cfRule type="cellIs" dxfId="399" priority="192" operator="equal">
      <formula>"Riley-Multimatic Mk. 30"</formula>
    </cfRule>
    <cfRule type="cellIs" dxfId="398" priority="193" operator="equal">
      <formula>"ADESS-03"</formula>
    </cfRule>
    <cfRule type="cellIs" dxfId="397" priority="194" operator="equal">
      <formula>"Ginetta-Juno P3"</formula>
    </cfRule>
    <cfRule type="cellIs" dxfId="396" priority="195" operator="equal">
      <formula>"Ligier JS P3"</formula>
    </cfRule>
    <cfRule type="cellIs" dxfId="395" priority="196" operator="equal">
      <formula>"Norma M30"</formula>
    </cfRule>
    <cfRule type="cellIs" dxfId="394" priority="197" operator="equal">
      <formula>"Aston Martin Vantage GTE"</formula>
    </cfRule>
    <cfRule type="cellIs" dxfId="393" priority="198" operator="equal">
      <formula>"BMW M8 GTE"</formula>
    </cfRule>
    <cfRule type="cellIs" dxfId="392" priority="199" operator="equal">
      <formula>"Chevrolet Corvette C7.R"</formula>
    </cfRule>
    <cfRule type="cellIs" dxfId="391" priority="200" operator="equal">
      <formula>"Ferrari 488 GTE Evo"</formula>
    </cfRule>
    <cfRule type="cellIs" dxfId="390" priority="201" operator="equal">
      <formula>"Ford GT"</formula>
    </cfRule>
    <cfRule type="cellIs" dxfId="389" priority="202" operator="equal">
      <formula>"Porsche 911 RSR"</formula>
    </cfRule>
    <cfRule type="cellIs" dxfId="388" priority="203" operator="equal">
      <formula>"Acura NSX GT3"</formula>
    </cfRule>
    <cfRule type="cellIs" dxfId="387" priority="204" operator="equal">
      <formula>"Aston Martin Vantage GT3"</formula>
    </cfRule>
    <cfRule type="cellIs" dxfId="386" priority="205" operator="equal">
      <formula>"Audi R8 LMS"</formula>
    </cfRule>
    <cfRule type="cellIs" dxfId="385" priority="206" operator="equal">
      <formula>"Bentley Continental GT3"</formula>
    </cfRule>
    <cfRule type="cellIs" dxfId="384" priority="207" operator="equal">
      <formula>"BMW M6 GT3"</formula>
    </cfRule>
    <cfRule type="cellIs" dxfId="383" priority="209" operator="equal">
      <formula>"Callaway Corvette C7 GT3-R"</formula>
    </cfRule>
    <cfRule type="cellIs" dxfId="382" priority="210" operator="equal">
      <formula>"Ferrari 488 GT3"</formula>
    </cfRule>
    <cfRule type="cellIs" dxfId="381" priority="215" operator="equal">
      <formula>"Lamborghini Huracán GT3"</formula>
    </cfRule>
    <cfRule type="cellIs" dxfId="380" priority="216" operator="equal">
      <formula>"Lexus RC F GT3"</formula>
    </cfRule>
    <cfRule type="cellIs" dxfId="379" priority="217" operator="equal">
      <formula>"McLaren 650S GT3"</formula>
    </cfRule>
    <cfRule type="cellIs" dxfId="378" priority="218" operator="equal">
      <formula>"Mercedes-AMG GT3"</formula>
    </cfRule>
    <cfRule type="cellIs" dxfId="377" priority="219" operator="equal">
      <formula>"Nissan GT-R Nismo GT3"</formula>
    </cfRule>
    <cfRule type="cellIs" dxfId="376" priority="220" operator="equal">
      <formula>"Porsche 911 GT3 R"</formula>
    </cfRule>
    <cfRule type="cellIs" dxfId="375" priority="227" operator="equal">
      <formula>"Aston Martin V8 Vantage GT4"</formula>
    </cfRule>
    <cfRule type="cellIs" dxfId="374" priority="228" operator="equal">
      <formula>"Audi R8 LMS GT4"</formula>
    </cfRule>
    <cfRule type="cellIs" dxfId="373" priority="229" operator="equal">
      <formula>"Ekris M4 GT4"</formula>
    </cfRule>
    <cfRule type="cellIs" dxfId="372" priority="230" operator="equal">
      <formula>"Ford Mustang GT4"</formula>
    </cfRule>
    <cfRule type="cellIs" dxfId="371" priority="231" operator="equal">
      <formula>"Ginetta G55 GT4"</formula>
    </cfRule>
    <cfRule type="cellIs" dxfId="370" priority="232" operator="equal">
      <formula>"KTM X-Bow GT4"</formula>
    </cfRule>
    <cfRule type="cellIs" dxfId="369" priority="233" operator="equal">
      <formula>"Maserati GranTurismo MC GT4"</formula>
    </cfRule>
    <cfRule type="cellIs" dxfId="368" priority="235" operator="equal">
      <formula>"Nissan 370Z GT4"</formula>
    </cfRule>
    <cfRule type="cellIs" dxfId="367" priority="236" operator="equal">
      <formula>"McLaren 570S GT4"</formula>
    </cfRule>
    <cfRule type="cellIs" dxfId="366" priority="238" operator="equal">
      <formula>"Porsche Cayman GT4 Clubsport MR"</formula>
    </cfRule>
  </conditionalFormatting>
  <conditionalFormatting sqref="H5:H49">
    <cfRule type="cellIs" dxfId="365" priority="55" operator="equal">
      <formula>"LMP1-H"</formula>
    </cfRule>
    <cfRule type="cellIs" dxfId="364" priority="63" operator="equal">
      <formula>"LMP1-L"</formula>
    </cfRule>
    <cfRule type="cellIs" dxfId="363" priority="102" operator="equal">
      <formula>"DPi"</formula>
    </cfRule>
    <cfRule type="cellIs" dxfId="362" priority="103" operator="equal">
      <formula>"LMP2"</formula>
    </cfRule>
    <cfRule type="cellIs" dxfId="361" priority="104" operator="equal">
      <formula>"LMP3"</formula>
    </cfRule>
    <cfRule type="cellIs" dxfId="360" priority="105" operator="equal">
      <formula>"LMGTE"</formula>
    </cfRule>
    <cfRule type="cellIs" dxfId="359" priority="106" operator="equal">
      <formula>"GT3"</formula>
    </cfRule>
    <cfRule type="cellIs" dxfId="358" priority="107" operator="equal">
      <formula>"GT4"</formula>
    </cfRule>
  </conditionalFormatting>
  <conditionalFormatting sqref="I5:I49">
    <cfRule type="cellIs" dxfId="357" priority="1" operator="equal">
      <formula>"BR Engineering BR1"</formula>
    </cfRule>
    <cfRule type="cellIs" dxfId="356" priority="2" operator="equal">
      <formula>"ENSO CLM P1/01"</formula>
    </cfRule>
    <cfRule type="cellIs" dxfId="355" priority="3" operator="equal">
      <formula>"Ginetta G60-LT-P1"</formula>
    </cfRule>
    <cfRule type="cellIs" dxfId="354" priority="4" operator="equal">
      <formula>"Rebellion R13"</formula>
    </cfRule>
    <cfRule type="cellIs" dxfId="353" priority="5" operator="equal">
      <formula>"Porsche 919 Hybrid"</formula>
    </cfRule>
    <cfRule type="cellIs" dxfId="352" priority="6" operator="equal">
      <formula>"Toyota TS050 - Hybrid"</formula>
    </cfRule>
    <cfRule type="cellIs" dxfId="351" priority="7" operator="equal">
      <formula>"Acura ARX-05"</formula>
    </cfRule>
    <cfRule type="cellIs" dxfId="350" priority="8" operator="equal">
      <formula>"Cadillac DPi-V.R"</formula>
    </cfRule>
    <cfRule type="cellIs" dxfId="349" priority="9" operator="equal">
      <formula>"Mazda RT24-P"</formula>
    </cfRule>
    <cfRule type="cellIs" dxfId="348" priority="10" operator="equal">
      <formula>"Nissan Onroak DPi"</formula>
    </cfRule>
    <cfRule type="cellIs" dxfId="347" priority="11" operator="equal">
      <formula>"Dallara P217"</formula>
    </cfRule>
    <cfRule type="cellIs" dxfId="346" priority="12" operator="equal">
      <formula>"Ligier JS P217"</formula>
    </cfRule>
    <cfRule type="cellIs" dxfId="345" priority="13" operator="equal">
      <formula>"Oreca 07"</formula>
    </cfRule>
    <cfRule type="cellIs" dxfId="344" priority="14" operator="equal">
      <formula>"Riley-Multimatic Mk. 30"</formula>
    </cfRule>
    <cfRule type="cellIs" dxfId="343" priority="15" operator="equal">
      <formula>"ADESS-03"</formula>
    </cfRule>
    <cfRule type="cellIs" dxfId="342" priority="16" operator="equal">
      <formula>"Ginetta-Juno P3"</formula>
    </cfRule>
    <cfRule type="cellIs" dxfId="341" priority="17" operator="equal">
      <formula>"Ligier JS P3"</formula>
    </cfRule>
    <cfRule type="cellIs" dxfId="340" priority="18" operator="equal">
      <formula>"Norma M30"</formula>
    </cfRule>
    <cfRule type="cellIs" dxfId="339" priority="19" operator="equal">
      <formula>"Aston Martin Vantage GTE"</formula>
    </cfRule>
    <cfRule type="cellIs" dxfId="338" priority="20" operator="equal">
      <formula>"BMW M8 GTE"</formula>
    </cfRule>
    <cfRule type="cellIs" dxfId="337" priority="21" operator="equal">
      <formula>"Chevrolet Corvette C7.R"</formula>
    </cfRule>
    <cfRule type="cellIs" dxfId="336" priority="22" operator="equal">
      <formula>"Ferrari 488 GTE Evo"</formula>
    </cfRule>
    <cfRule type="cellIs" dxfId="335" priority="23" operator="equal">
      <formula>"Ford GT"</formula>
    </cfRule>
    <cfRule type="cellIs" dxfId="334" priority="24" operator="equal">
      <formula>"Porsche 911 RSR"</formula>
    </cfRule>
    <cfRule type="cellIs" dxfId="333" priority="25" operator="equal">
      <formula>"Acura NSX GT3"</formula>
    </cfRule>
    <cfRule type="cellIs" dxfId="332" priority="26" operator="equal">
      <formula>"Aston Martin Vantage GT3"</formula>
    </cfRule>
    <cfRule type="cellIs" dxfId="331" priority="27" operator="equal">
      <formula>"Audi R8 LMS"</formula>
    </cfRule>
    <cfRule type="cellIs" dxfId="330" priority="28" operator="equal">
      <formula>"Bentley Continental GT3"</formula>
    </cfRule>
    <cfRule type="cellIs" dxfId="329" priority="29" operator="equal">
      <formula>"BMW M6 GT3"</formula>
    </cfRule>
    <cfRule type="cellIs" dxfId="328" priority="30" operator="equal">
      <formula>"Callaway Corvette C7 GT3-R"</formula>
    </cfRule>
    <cfRule type="cellIs" dxfId="327" priority="31" operator="equal">
      <formula>"Ferrari 488 GT3"</formula>
    </cfRule>
    <cfRule type="cellIs" dxfId="326" priority="32" operator="equal">
      <formula>"Lamborghini Huracán GT3"</formula>
    </cfRule>
    <cfRule type="cellIs" dxfId="325" priority="33" operator="equal">
      <formula>"Lexus RC F GT3"</formula>
    </cfRule>
    <cfRule type="cellIs" dxfId="324" priority="34" operator="equal">
      <formula>"McLaren 650S GT3"</formula>
    </cfRule>
    <cfRule type="cellIs" dxfId="323" priority="35" operator="equal">
      <formula>"Mercedes-AMG GT3"</formula>
    </cfRule>
    <cfRule type="cellIs" dxfId="322" priority="36" operator="equal">
      <formula>"Nissan GT-R Nismo GT3"</formula>
    </cfRule>
    <cfRule type="cellIs" dxfId="321" priority="37" operator="equal">
      <formula>"Porsche 911 GT3 R"</formula>
    </cfRule>
    <cfRule type="cellIs" dxfId="320" priority="38" operator="equal">
      <formula>"Aston Martin V8 Vantage GT4"</formula>
    </cfRule>
    <cfRule type="cellIs" dxfId="319" priority="39" operator="equal">
      <formula>"Audi R8 LMS GT4"</formula>
    </cfRule>
    <cfRule type="cellIs" dxfId="318" priority="40" operator="equal">
      <formula>"Ekris M4 GT4"</formula>
    </cfRule>
    <cfRule type="cellIs" dxfId="317" priority="41" operator="equal">
      <formula>"Ford Mustang GT4"</formula>
    </cfRule>
    <cfRule type="cellIs" dxfId="316" priority="42" operator="equal">
      <formula>"Ginetta G55 GT4"</formula>
    </cfRule>
    <cfRule type="cellIs" dxfId="315" priority="43" operator="equal">
      <formula>"KTM X-Bow GT4"</formula>
    </cfRule>
    <cfRule type="cellIs" dxfId="314" priority="44" operator="equal">
      <formula>"Maserati GranTurismo MC GT4"</formula>
    </cfRule>
    <cfRule type="cellIs" dxfId="313" priority="45" operator="equal">
      <formula>"Nissan 370Z GT4"</formula>
    </cfRule>
    <cfRule type="cellIs" dxfId="312" priority="46" operator="equal">
      <formula>"McLaren 570S GT4"</formula>
    </cfRule>
    <cfRule type="cellIs" dxfId="311" priority="47" operator="equal">
      <formula>"Porsche Cayman GT4 Clubsport MR"</formula>
    </cfRule>
  </conditionalFormatting>
  <conditionalFormatting sqref="P7:P10 P13:P16 P19:P21">
    <cfRule type="cellIs" dxfId="310" priority="52" operator="equal">
      <formula>"Continental"</formula>
    </cfRule>
    <cfRule type="cellIs" dxfId="309" priority="53" operator="equal">
      <formula>"Dunlop"</formula>
    </cfRule>
    <cfRule type="cellIs" dxfId="308" priority="54" operator="equal">
      <formula>"Michelin"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1CBC-1528-4871-80AB-50F287EC18AD}">
  <dimension ref="B1:AP41"/>
  <sheetViews>
    <sheetView workbookViewId="0">
      <selection activeCell="H6" sqref="H6"/>
    </sheetView>
  </sheetViews>
  <sheetFormatPr defaultColWidth="8.88671875" defaultRowHeight="18" customHeight="1" x14ac:dyDescent="0.3"/>
  <cols>
    <col min="1" max="1" width="3.33203125" style="1" customWidth="1"/>
    <col min="2" max="2" width="8.88671875" style="1"/>
    <col min="3" max="3" width="37.77734375" style="1" customWidth="1"/>
    <col min="4" max="4" width="11.109375" style="1" customWidth="1"/>
    <col min="5" max="5" width="8.88671875" style="1"/>
    <col min="6" max="6" width="35.5546875" style="1" customWidth="1"/>
    <col min="7" max="7" width="13.33203125" style="1" customWidth="1"/>
    <col min="8" max="8" width="11.109375" style="1" customWidth="1"/>
    <col min="9" max="9" width="8.88671875" style="1"/>
    <col min="10" max="10" width="34.44140625" style="1" customWidth="1"/>
    <col min="11" max="16" width="11.109375" style="1" customWidth="1"/>
    <col min="17" max="17" width="6.6640625" style="1" customWidth="1"/>
    <col min="18" max="18" width="11.109375" style="1" customWidth="1"/>
    <col min="19" max="19" width="6.6640625" style="1" customWidth="1"/>
    <col min="20" max="20" width="11.109375" style="1" customWidth="1"/>
    <col min="21" max="21" width="14.44140625" style="1" customWidth="1"/>
    <col min="22" max="23" width="3.33203125" style="1" customWidth="1"/>
    <col min="24" max="24" width="32.21875" style="1" customWidth="1"/>
    <col min="25" max="26" width="3.33203125" style="1" customWidth="1"/>
    <col min="27" max="27" width="8.88671875" style="1" customWidth="1"/>
    <col min="28" max="28" width="34.44140625" style="1" customWidth="1"/>
    <col min="29" max="29" width="3.33203125" style="1" customWidth="1"/>
    <col min="30" max="30" width="13.33203125" style="1" customWidth="1"/>
    <col min="31" max="31" width="3.33203125" style="1" customWidth="1"/>
    <col min="32" max="33" width="8.88671875" style="1" customWidth="1"/>
    <col min="34" max="35" width="11.109375" style="1" customWidth="1"/>
    <col min="36" max="36" width="3.33203125" style="1" customWidth="1"/>
    <col min="37" max="38" width="11.109375" style="1" customWidth="1"/>
    <col min="39" max="39" width="3.33203125" style="1" customWidth="1"/>
    <col min="40" max="40" width="13.33203125" style="1" customWidth="1"/>
    <col min="41" max="41" width="3.33203125" style="1" customWidth="1"/>
    <col min="42" max="42" width="11.109375" style="1" customWidth="1"/>
    <col min="43" max="44" width="3.33203125" style="1" customWidth="1"/>
    <col min="45" max="16384" width="8.88671875" style="1"/>
  </cols>
  <sheetData>
    <row r="1" spans="2:42" ht="18" customHeight="1" thickBot="1" x14ac:dyDescent="0.35"/>
    <row r="2" spans="2:42" ht="18" customHeight="1" thickBot="1" x14ac:dyDescent="0.35">
      <c r="B2" s="252" t="s">
        <v>401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4"/>
    </row>
    <row r="3" spans="2:42" ht="18" customHeight="1" thickBot="1" x14ac:dyDescent="0.35">
      <c r="B3" s="237" t="s">
        <v>218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404"/>
      <c r="Q3" s="404"/>
      <c r="R3" s="404"/>
      <c r="S3" s="404"/>
      <c r="T3" s="404"/>
      <c r="U3" s="239"/>
      <c r="X3" s="46" t="s">
        <v>401</v>
      </c>
    </row>
    <row r="4" spans="2:42" ht="18" customHeight="1" thickBot="1" x14ac:dyDescent="0.35">
      <c r="B4" s="405" t="s">
        <v>204</v>
      </c>
      <c r="C4" s="406" t="s">
        <v>205</v>
      </c>
      <c r="D4" s="407"/>
      <c r="E4" s="395" t="s">
        <v>208</v>
      </c>
      <c r="F4" s="410"/>
      <c r="G4" s="396"/>
      <c r="H4" s="406" t="s">
        <v>209</v>
      </c>
      <c r="I4" s="408"/>
      <c r="J4" s="407"/>
      <c r="K4" s="406" t="s">
        <v>216</v>
      </c>
      <c r="L4" s="408"/>
      <c r="M4" s="408"/>
      <c r="N4" s="408"/>
      <c r="O4" s="409"/>
      <c r="P4" s="272" t="s">
        <v>400</v>
      </c>
      <c r="Q4" s="411"/>
      <c r="R4" s="411"/>
      <c r="S4" s="411"/>
      <c r="T4" s="273"/>
      <c r="U4" s="279" t="s">
        <v>217</v>
      </c>
      <c r="X4" s="48" t="s">
        <v>218</v>
      </c>
      <c r="AA4" s="332" t="s">
        <v>219</v>
      </c>
      <c r="AB4" s="332"/>
      <c r="AF4" s="332" t="s">
        <v>220</v>
      </c>
      <c r="AG4" s="332"/>
      <c r="AH4" s="332"/>
      <c r="AI4" s="332"/>
    </row>
    <row r="5" spans="2:42" ht="18" customHeight="1" thickBot="1" x14ac:dyDescent="0.35">
      <c r="B5" s="237"/>
      <c r="C5" s="49" t="s">
        <v>20</v>
      </c>
      <c r="D5" s="49" t="s">
        <v>32</v>
      </c>
      <c r="E5" s="43" t="s">
        <v>206</v>
      </c>
      <c r="F5" s="45" t="s">
        <v>207</v>
      </c>
      <c r="G5" s="50" t="s">
        <v>369</v>
      </c>
      <c r="H5" s="49" t="s">
        <v>210</v>
      </c>
      <c r="I5" s="49" t="s">
        <v>8</v>
      </c>
      <c r="J5" s="49" t="s">
        <v>0</v>
      </c>
      <c r="K5" s="43" t="s">
        <v>211</v>
      </c>
      <c r="L5" s="44" t="s">
        <v>212</v>
      </c>
      <c r="M5" s="44" t="s">
        <v>213</v>
      </c>
      <c r="N5" s="45" t="s">
        <v>214</v>
      </c>
      <c r="O5" s="49" t="s">
        <v>215</v>
      </c>
      <c r="P5" s="269" t="s">
        <v>394</v>
      </c>
      <c r="Q5" s="270"/>
      <c r="R5" s="270"/>
      <c r="S5" s="270"/>
      <c r="T5" s="187" t="s">
        <v>393</v>
      </c>
      <c r="U5" s="290"/>
      <c r="X5" s="49" t="s">
        <v>277</v>
      </c>
      <c r="AA5" s="2" t="s">
        <v>8</v>
      </c>
      <c r="AB5" s="2" t="s">
        <v>0</v>
      </c>
      <c r="AD5" s="2" t="s">
        <v>369</v>
      </c>
      <c r="AF5" s="332" t="s">
        <v>229</v>
      </c>
      <c r="AG5" s="332"/>
      <c r="AH5" s="2" t="s">
        <v>221</v>
      </c>
      <c r="AI5" s="2" t="s">
        <v>222</v>
      </c>
      <c r="AN5" s="2" t="s">
        <v>441</v>
      </c>
      <c r="AP5" s="2" t="s">
        <v>442</v>
      </c>
    </row>
    <row r="6" spans="2:42" ht="18" customHeight="1" x14ac:dyDescent="0.3">
      <c r="B6" s="46" t="str">
        <f>IF(C6 &lt;&gt; "", 1, "")</f>
        <v/>
      </c>
      <c r="C6" s="85"/>
      <c r="D6" s="46" t="str">
        <f>IF(ISERROR(AI6), "", AI6)</f>
        <v/>
      </c>
      <c r="E6" s="99"/>
      <c r="F6" s="100"/>
      <c r="G6" s="156" t="str">
        <f>IF(ISERROR(AD6), "", IF(AD6 = 0, "", AD6))</f>
        <v/>
      </c>
      <c r="H6" s="85"/>
      <c r="I6" s="46" t="str">
        <f>IF(ISERROR(AA6), "", AA6)</f>
        <v/>
      </c>
      <c r="J6" s="134" t="str">
        <f>IF(ISERROR(AB6), "", AB6)</f>
        <v/>
      </c>
      <c r="K6" s="99"/>
      <c r="L6" s="33"/>
      <c r="M6" s="33"/>
      <c r="N6" s="100"/>
      <c r="O6" s="46" t="str">
        <f>IF(ISERROR(AN6), "", AN6)</f>
        <v/>
      </c>
      <c r="P6" s="189"/>
      <c r="Q6" s="33"/>
      <c r="R6" s="33"/>
      <c r="S6" s="190"/>
      <c r="T6" s="46"/>
      <c r="U6" s="46" t="str">
        <f>IF(ISERROR(AP6), "", AP6)</f>
        <v/>
      </c>
      <c r="X6" s="277" t="s">
        <v>273</v>
      </c>
      <c r="AA6" s="2" t="str">
        <f t="shared" ref="AA6:AA40" si="0">IF(H6 &lt;&gt; "", IF(VLOOKUP(H6, purchasedCars, 2, FALSE) = "", "", VLOOKUP(H6, purchasedCars, 2, FALSE)),"")</f>
        <v/>
      </c>
      <c r="AB6" s="4" t="str">
        <f t="shared" ref="AB6:AB40" si="1">IF(H6 &lt;&gt; "", IF(VLOOKUP(H6, purchasedCars, 3, FALSE) = "", "", VLOOKUP(H6, purchasedCars, 3, FALSE)),"")</f>
        <v/>
      </c>
      <c r="AD6" s="2" t="str">
        <f t="shared" ref="AD6:AD40" si="2">IF(AF6 = 1, VLOOKUP(TRIM(AI6), gemSupplier, 2, FALSE), IF(AF6 = 2, VLOOKUP(TRIM(AI6), nasccSupplier, 2, FALSE), IF(AF6 = 2.1, VLOOKUP(TRIM(AI6), nasccSupplier, 2, FALSE), IF(AF6 = 2.2, VLOOKUP(TRIM(AI6), nasccSupplier, 2, FALSE), IF(AF6 = 3, VLOOKUP(TRIM(AI6), euemSupplier, 2, FALSE), IF(AF6 = 4, VLOOKUP(TRIM(AI6), wgtssSupplier, 2, FALSE), IF(AF6 = 5, VLOOKUP(TRIM(AI6), wgtmSupplier, 2, FALSE), IF(AF6 = 7, VLOOKUP(TRIM(AI6), asmSupplier, 2, FALSE), ""))))))))</f>
        <v/>
      </c>
      <c r="AF6" s="2">
        <f t="shared" ref="AF6:AF40" si="3">IF(C6 &lt;&gt; "", VLOOKUP(C6, seriesClasses, 2, FALSE), 0)</f>
        <v>0</v>
      </c>
      <c r="AG6" s="2">
        <f t="shared" ref="AG6:AG40" si="4">IF(AI6 &lt;&gt; "", VLOOKUP(AI6, classIndexes, 2, FALSE), 0)</f>
        <v>0</v>
      </c>
      <c r="AH6" s="2" t="str">
        <f>IF(AF6 = 0, "", IF(AF6 = 1, VLOOKUP(I6, gemClasses, 2, FALSE), IF(AF6 = 2, VLOOKUP(I6, nasccClasses, 2, FALSE), IF(AF6 = 2.1, VLOOKUP(I6, nasccClasses, 2, FALSE), IF(AF6 = 2.2, VLOOKUP(I6, nasccClasses, 2, FALSE), IF(AF6 = 3, VLOOKUP(I6, euemClasses, 2, FALSE), IF(AF6 = 4, VLOOKUP(I6, wgtssClasses, 2, FALSE), IF(AF6 = 5, VLOOKUP(I6, wgtmClasses, 2, FALSE), IF(AF6 = 6, VLOOKUP(I6, wpcClasses, 2, FALSE), IF(AF6 = 7, VLOOKUP(I6, asmClasses, 2, FALSE), ""))))))))))</f>
        <v/>
      </c>
      <c r="AI6" s="2" t="str">
        <f>IF(AF6 = 1, AK6, IF(AF6 = 5, AL6, AH6))</f>
        <v/>
      </c>
      <c r="AK6" s="2" t="str">
        <f t="shared" ref="AK6:AK40" si="5">IF(AND(IF(AH6 = "LMGTE PRO", TRUE, FALSE), IF(M6 = "Bronze", TRUE, FALSE)), "LMGTE AM", AH6)</f>
        <v/>
      </c>
      <c r="AL6" s="2" t="str">
        <f t="shared" ref="AL6:AL40" si="6">IF(AND(IF(AH6 = "GT3-P", TRUE, FALSE), IF(M6 = "Bronze", TRUE, FALSE)), "GT3-A", AH6)</f>
        <v/>
      </c>
      <c r="AN6" s="2" t="str">
        <f>'Lineup Legality - FS'!L5</f>
        <v/>
      </c>
      <c r="AP6" s="2" t="str">
        <f>IF(H6 &lt;&gt; "", CONCATENATE("$", ROUND(SUM('Total Costs'!M5:V5), 3), " Million"), "")</f>
        <v/>
      </c>
    </row>
    <row r="7" spans="2:42" ht="18" customHeight="1" x14ac:dyDescent="0.3">
      <c r="B7" s="47" t="str">
        <f>IF(C7 &lt;&gt; "", B6 + 1, "")</f>
        <v/>
      </c>
      <c r="C7" s="47"/>
      <c r="D7" s="47" t="str">
        <f t="shared" ref="D7:D40" si="7">IF(ISERROR(AI7), "", AI7)</f>
        <v/>
      </c>
      <c r="E7" s="51"/>
      <c r="F7" s="52"/>
      <c r="G7" s="87" t="str">
        <f t="shared" ref="G7:G40" si="8">IF(ISERROR(AD7), "", IF(AD7 = 0, "", AD7))</f>
        <v/>
      </c>
      <c r="H7" s="47"/>
      <c r="I7" s="47" t="str">
        <f t="shared" ref="I7:I12" si="9">IF(ISERROR(AA7), "", AA7)</f>
        <v/>
      </c>
      <c r="J7" s="79" t="str">
        <f t="shared" ref="J7:J40" si="10">IF(ISERROR(AB7), "", AB7)</f>
        <v/>
      </c>
      <c r="K7" s="51"/>
      <c r="L7" s="2"/>
      <c r="M7" s="2"/>
      <c r="N7" s="52"/>
      <c r="O7" s="47" t="str">
        <f t="shared" ref="O7:O40" si="11">IF(ISERROR(AN7), "", AN7)</f>
        <v/>
      </c>
      <c r="P7" s="188"/>
      <c r="Q7" s="2"/>
      <c r="R7" s="2"/>
      <c r="S7" s="22"/>
      <c r="T7" s="47"/>
      <c r="U7" s="47" t="str">
        <f t="shared" ref="U7:U40" si="12">IF(ISERROR(AP7), "", AP7)</f>
        <v/>
      </c>
      <c r="X7" s="380"/>
      <c r="AA7" s="2" t="str">
        <f t="shared" si="0"/>
        <v/>
      </c>
      <c r="AB7" s="4" t="str">
        <f t="shared" si="1"/>
        <v/>
      </c>
      <c r="AD7" s="2" t="str">
        <f t="shared" si="2"/>
        <v/>
      </c>
      <c r="AF7" s="2">
        <f t="shared" si="3"/>
        <v>0</v>
      </c>
      <c r="AG7" s="2">
        <f t="shared" si="4"/>
        <v>0</v>
      </c>
      <c r="AH7" s="2" t="str">
        <f>IF(AF7 = 0, "", IF(AF7 = 1, VLOOKUP(I7, gemClasses, 2, FALSE), IF(AF7 = 2, VLOOKUP(I7, nasccClasses, 2, FALSE), IF(AF7 = 2.1, VLOOKUP(I7, nasccClasses, 2, FALSE), IF(AF7 = 2.2, VLOOKUP(I7, nasccClasses, 2, FALSE), IF(AF7 = 3, VLOOKUP(I7, euemClasses, 2, FALSE), IF(AF7 = 4, VLOOKUP(I7, wgtssClasses, 2, FALSE), IF(AF7 = 5, VLOOKUP(I7, wgtmClasses, 2, FALSE), IF(AF7 = 6, VLOOKUP(I7, wpcClasses, 2, FALSE), IF(AF7 = 7, VLOOKUP(I7, asmClasses, 2, FALSE), ""))))))))))</f>
        <v/>
      </c>
      <c r="AI7" s="2" t="str">
        <f t="shared" ref="AI7:AI40" si="13">IF(AF7 = 1, AK7, IF(AF7 = 5, AL7, AH7))</f>
        <v/>
      </c>
      <c r="AK7" s="2" t="str">
        <f t="shared" si="5"/>
        <v/>
      </c>
      <c r="AL7" s="2" t="str">
        <f t="shared" si="6"/>
        <v/>
      </c>
      <c r="AN7" s="2" t="str">
        <f>'Lineup Legality - FS'!L9</f>
        <v/>
      </c>
      <c r="AP7" s="2" t="str">
        <f>IF(H7 &lt;&gt; "", CONCATENATE("$", ROUND(SUM('Total Costs'!M6:V6), 3), " Million"), "")</f>
        <v/>
      </c>
    </row>
    <row r="8" spans="2:42" ht="18" customHeight="1" x14ac:dyDescent="0.3">
      <c r="B8" s="47" t="str">
        <f t="shared" ref="B8:B40" si="14">IF(C8 &lt;&gt; "", B7 + 1, "")</f>
        <v/>
      </c>
      <c r="C8" s="47"/>
      <c r="D8" s="47" t="str">
        <f t="shared" si="7"/>
        <v/>
      </c>
      <c r="E8" s="51"/>
      <c r="F8" s="52"/>
      <c r="G8" s="87" t="str">
        <f t="shared" si="8"/>
        <v/>
      </c>
      <c r="H8" s="47"/>
      <c r="I8" s="47" t="str">
        <f t="shared" si="9"/>
        <v/>
      </c>
      <c r="J8" s="79" t="str">
        <f t="shared" si="10"/>
        <v/>
      </c>
      <c r="K8" s="51"/>
      <c r="L8" s="2"/>
      <c r="M8" s="2"/>
      <c r="N8" s="52"/>
      <c r="O8" s="47" t="str">
        <f t="shared" si="11"/>
        <v/>
      </c>
      <c r="P8" s="188"/>
      <c r="Q8" s="2"/>
      <c r="R8" s="2"/>
      <c r="S8" s="22"/>
      <c r="T8" s="47"/>
      <c r="U8" s="47" t="str">
        <f t="shared" si="12"/>
        <v/>
      </c>
      <c r="X8" s="380"/>
      <c r="AA8" s="2" t="str">
        <f t="shared" si="0"/>
        <v/>
      </c>
      <c r="AB8" s="4" t="str">
        <f t="shared" si="1"/>
        <v/>
      </c>
      <c r="AD8" s="2" t="str">
        <f t="shared" si="2"/>
        <v/>
      </c>
      <c r="AF8" s="2">
        <f t="shared" si="3"/>
        <v>0</v>
      </c>
      <c r="AG8" s="2">
        <f t="shared" si="4"/>
        <v>0</v>
      </c>
      <c r="AH8" s="2" t="str">
        <f>IF(AF8 = 0, "", IF(AF8 = 1, VLOOKUP(I8, gemClasses, 2, FALSE), IF(AF8 = 2, VLOOKUP(I8, nasccClasses, 2, FALSE), IF(AF8 = 2.1, VLOOKUP(I8, nasccClasses, 2, FALSE), IF(AF8 = 2.2, VLOOKUP(I8, nasccClasses, 2, FALSE), IF(AF8 = 3, VLOOKUP(I8, euemClasses, 2, FALSE), IF(AF8 = 4, VLOOKUP(I8, wgtssClasses, 2, FALSE), IF(AF8 = 5, VLOOKUP(I8, wgtmClasses, 2, FALSE), IF(AF8 = 6, VLOOKUP(I8, wpcClasses, 2, FALSE), IF(AF8 = 7, VLOOKUP(I8, asmClasses, 2, FALSE), ""))))))))))</f>
        <v/>
      </c>
      <c r="AI8" s="2" t="str">
        <f t="shared" si="13"/>
        <v/>
      </c>
      <c r="AK8" s="2" t="str">
        <f t="shared" si="5"/>
        <v/>
      </c>
      <c r="AL8" s="2" t="str">
        <f t="shared" si="6"/>
        <v/>
      </c>
      <c r="AN8" s="2" t="str">
        <f>'Lineup Legality - FS'!L13</f>
        <v/>
      </c>
      <c r="AP8" s="2" t="str">
        <f>IF(H8 &lt;&gt; "", CONCATENATE("$", ROUND(SUM('Total Costs'!M7:V7), 3), " Million"), "")</f>
        <v/>
      </c>
    </row>
    <row r="9" spans="2:42" ht="18" customHeight="1" x14ac:dyDescent="0.3">
      <c r="B9" s="47" t="str">
        <f t="shared" si="14"/>
        <v/>
      </c>
      <c r="C9" s="47"/>
      <c r="D9" s="47" t="str">
        <f t="shared" si="7"/>
        <v/>
      </c>
      <c r="E9" s="51"/>
      <c r="F9" s="52"/>
      <c r="G9" s="87" t="str">
        <f t="shared" si="8"/>
        <v/>
      </c>
      <c r="H9" s="47"/>
      <c r="I9" s="47" t="str">
        <f t="shared" si="9"/>
        <v/>
      </c>
      <c r="J9" s="79" t="str">
        <f t="shared" si="10"/>
        <v/>
      </c>
      <c r="K9" s="51"/>
      <c r="L9" s="2"/>
      <c r="M9" s="2"/>
      <c r="N9" s="52"/>
      <c r="O9" s="47" t="str">
        <f t="shared" si="11"/>
        <v/>
      </c>
      <c r="P9" s="188"/>
      <c r="Q9" s="2"/>
      <c r="R9" s="2"/>
      <c r="S9" s="22"/>
      <c r="T9" s="47"/>
      <c r="U9" s="47" t="str">
        <f t="shared" si="12"/>
        <v/>
      </c>
      <c r="X9" s="380" t="s">
        <v>274</v>
      </c>
      <c r="AA9" s="2" t="str">
        <f t="shared" si="0"/>
        <v/>
      </c>
      <c r="AB9" s="4" t="str">
        <f t="shared" si="1"/>
        <v/>
      </c>
      <c r="AD9" s="2" t="str">
        <f t="shared" si="2"/>
        <v/>
      </c>
      <c r="AF9" s="2">
        <f t="shared" si="3"/>
        <v>0</v>
      </c>
      <c r="AG9" s="2">
        <f t="shared" si="4"/>
        <v>0</v>
      </c>
      <c r="AH9" s="2" t="str">
        <f>IF(AF9 = 0, "", IF(AF9 = 1, VLOOKUP(I9, gemClasses, 2, FALSE), IF(AF9 = 2, VLOOKUP(I9, nasccClasses, 2, FALSE), IF(AF9 = 2.1, VLOOKUP(I9, nasccClasses, 2, FALSE), IF(AF9 = 2.2, VLOOKUP(I9, nasccClasses, 2, FALSE), IF(AF9 = 3, VLOOKUP(I9, euemClasses, 2, FALSE), IF(AF9 = 4, VLOOKUP(I9, wgtssClasses, 2, FALSE), IF(AF9 = 5, VLOOKUP(I9, wgtmClasses, 2, FALSE), IF(AF9 = 6, VLOOKUP(I9, wpcClasses, 2, FALSE), IF(AF9 = 7, VLOOKUP(I9, asmClasses, 2, FALSE), ""))))))))))</f>
        <v/>
      </c>
      <c r="AI9" s="2" t="str">
        <f t="shared" si="13"/>
        <v/>
      </c>
      <c r="AK9" s="2" t="str">
        <f t="shared" si="5"/>
        <v/>
      </c>
      <c r="AL9" s="2" t="str">
        <f t="shared" si="6"/>
        <v/>
      </c>
      <c r="AN9" s="2" t="str">
        <f>'Lineup Legality - FS'!L17</f>
        <v/>
      </c>
      <c r="AP9" s="2" t="str">
        <f>IF(H9 &lt;&gt; "", CONCATENATE("$", ROUND(SUM('Total Costs'!M8:V8), 3), " Million"), "")</f>
        <v/>
      </c>
    </row>
    <row r="10" spans="2:42" ht="18" customHeight="1" x14ac:dyDescent="0.3">
      <c r="B10" s="47" t="str">
        <f t="shared" si="14"/>
        <v/>
      </c>
      <c r="C10" s="47"/>
      <c r="D10" s="47" t="str">
        <f t="shared" si="7"/>
        <v/>
      </c>
      <c r="E10" s="51"/>
      <c r="F10" s="52"/>
      <c r="G10" s="87" t="str">
        <f t="shared" si="8"/>
        <v/>
      </c>
      <c r="H10" s="47"/>
      <c r="I10" s="47" t="str">
        <f t="shared" si="9"/>
        <v/>
      </c>
      <c r="J10" s="79" t="str">
        <f t="shared" si="10"/>
        <v/>
      </c>
      <c r="K10" s="51"/>
      <c r="L10" s="2"/>
      <c r="M10" s="2"/>
      <c r="N10" s="52"/>
      <c r="O10" s="47" t="str">
        <f t="shared" si="11"/>
        <v/>
      </c>
      <c r="P10" s="188"/>
      <c r="Q10" s="2"/>
      <c r="R10" s="2"/>
      <c r="S10" s="22"/>
      <c r="T10" s="47"/>
      <c r="U10" s="47" t="str">
        <f t="shared" si="12"/>
        <v/>
      </c>
      <c r="X10" s="380"/>
      <c r="AA10" s="2" t="str">
        <f t="shared" si="0"/>
        <v/>
      </c>
      <c r="AB10" s="4" t="str">
        <f t="shared" si="1"/>
        <v/>
      </c>
      <c r="AD10" s="2" t="str">
        <f t="shared" si="2"/>
        <v/>
      </c>
      <c r="AF10" s="2">
        <f t="shared" si="3"/>
        <v>0</v>
      </c>
      <c r="AG10" s="2">
        <f t="shared" si="4"/>
        <v>0</v>
      </c>
      <c r="AH10" s="2" t="str">
        <f>IF(AF10 = 0, "", IF(AF10 = 1, VLOOKUP(I10, gemClasses, 2, FALSE), IF(AF10 = 2, VLOOKUP(I10, nasccClasses, 2, FALSE), IF(AF10 = 2.1, VLOOKUP(I10, nasccClasses, 2, FALSE), IF(AF10 = 2.2, VLOOKUP(I10, nasccClasses, 2, FALSE), IF(AF10 = 3, VLOOKUP(I10, euemClasses, 2, FALSE), IF(AF10 = 4, VLOOKUP(I10, wgtssClasses, 2, FALSE), IF(AF10 = 5, VLOOKUP(I10, wgtmClasses, 2, FALSE), IF(AF10 = 6, VLOOKUP(I10, wpcClasses, 2, FALSE), IF(AF10 = 7, VLOOKUP(I10, asmClasses, 2, FALSE), ""))))))))))</f>
        <v/>
      </c>
      <c r="AI10" s="2" t="str">
        <f t="shared" si="13"/>
        <v/>
      </c>
      <c r="AK10" s="2" t="str">
        <f t="shared" si="5"/>
        <v/>
      </c>
      <c r="AL10" s="2" t="str">
        <f t="shared" si="6"/>
        <v/>
      </c>
      <c r="AN10" s="2" t="str">
        <f>'Lineup Legality - FS'!L21</f>
        <v/>
      </c>
      <c r="AP10" s="2" t="str">
        <f>IF(H10 &lt;&gt; "", CONCATENATE("$", ROUND(SUM('Total Costs'!M9:V9), 3), " Million"), "")</f>
        <v/>
      </c>
    </row>
    <row r="11" spans="2:42" ht="18" customHeight="1" x14ac:dyDescent="0.3">
      <c r="B11" s="47" t="str">
        <f t="shared" si="14"/>
        <v/>
      </c>
      <c r="C11" s="47"/>
      <c r="D11" s="47" t="str">
        <f t="shared" si="7"/>
        <v/>
      </c>
      <c r="E11" s="51"/>
      <c r="F11" s="52"/>
      <c r="G11" s="87" t="str">
        <f t="shared" si="8"/>
        <v/>
      </c>
      <c r="H11" s="47"/>
      <c r="I11" s="47" t="str">
        <f t="shared" si="9"/>
        <v/>
      </c>
      <c r="J11" s="79" t="str">
        <f t="shared" si="10"/>
        <v/>
      </c>
      <c r="K11" s="51"/>
      <c r="L11" s="2"/>
      <c r="M11" s="2"/>
      <c r="N11" s="52"/>
      <c r="O11" s="47" t="str">
        <f t="shared" si="11"/>
        <v/>
      </c>
      <c r="P11" s="188"/>
      <c r="Q11" s="2"/>
      <c r="R11" s="2"/>
      <c r="S11" s="22"/>
      <c r="T11" s="47"/>
      <c r="U11" s="47" t="str">
        <f t="shared" si="12"/>
        <v/>
      </c>
      <c r="X11" s="380"/>
      <c r="AA11" s="2" t="str">
        <f t="shared" si="0"/>
        <v/>
      </c>
      <c r="AB11" s="4" t="str">
        <f t="shared" si="1"/>
        <v/>
      </c>
      <c r="AD11" s="2" t="str">
        <f t="shared" si="2"/>
        <v/>
      </c>
      <c r="AF11" s="2">
        <f t="shared" si="3"/>
        <v>0</v>
      </c>
      <c r="AG11" s="2">
        <f t="shared" si="4"/>
        <v>0</v>
      </c>
      <c r="AH11" s="2" t="str">
        <f>IF(AF11 = 0, "", IF(AF11 = 1, VLOOKUP(I11, gemClasses, 2, FALSE), IF(AF11 = 2, VLOOKUP(I11, nasccClasses, 2, FALSE), IF(AF11 = 2.1, VLOOKUP(I11, nasccClasses, 2, FALSE), IF(AF11 = 2.2, VLOOKUP(I11, nasccClasses, 2, FALSE), IF(AF11 = 3, VLOOKUP(I11, euemClasses, 2, FALSE), IF(AF11 = 4, VLOOKUP(I11, wgtssClasses, 2, FALSE), IF(AF11 = 5, VLOOKUP(I11, wgtmClasses, 2, FALSE), IF(AF11 = 6, VLOOKUP(I11, wpcClasses, 2, FALSE), IF(AF11 = 7, VLOOKUP(I11, asmClasses, 2, FALSE), ""))))))))))</f>
        <v/>
      </c>
      <c r="AI11" s="2" t="str">
        <f t="shared" si="13"/>
        <v/>
      </c>
      <c r="AK11" s="2" t="str">
        <f t="shared" si="5"/>
        <v/>
      </c>
      <c r="AL11" s="2" t="str">
        <f t="shared" si="6"/>
        <v/>
      </c>
      <c r="AN11" s="2" t="str">
        <f>'Lineup Legality - FS'!L25</f>
        <v/>
      </c>
      <c r="AP11" s="2" t="str">
        <f>IF(H11 &lt;&gt; "", CONCATENATE("$", ROUND(SUM('Total Costs'!M10:V10), 3), " Million"), "")</f>
        <v/>
      </c>
    </row>
    <row r="12" spans="2:42" ht="18" customHeight="1" x14ac:dyDescent="0.3">
      <c r="B12" s="47" t="str">
        <f t="shared" si="14"/>
        <v/>
      </c>
      <c r="C12" s="47"/>
      <c r="D12" s="47" t="str">
        <f t="shared" si="7"/>
        <v/>
      </c>
      <c r="E12" s="51"/>
      <c r="F12" s="52"/>
      <c r="G12" s="87" t="str">
        <f t="shared" si="8"/>
        <v/>
      </c>
      <c r="H12" s="47"/>
      <c r="I12" s="47" t="str">
        <f t="shared" si="9"/>
        <v/>
      </c>
      <c r="J12" s="79" t="str">
        <f t="shared" si="10"/>
        <v/>
      </c>
      <c r="K12" s="51"/>
      <c r="L12" s="2"/>
      <c r="M12" s="2"/>
      <c r="N12" s="52"/>
      <c r="O12" s="47" t="str">
        <f t="shared" si="11"/>
        <v/>
      </c>
      <c r="P12" s="188"/>
      <c r="Q12" s="2"/>
      <c r="R12" s="2"/>
      <c r="S12" s="22"/>
      <c r="T12" s="47"/>
      <c r="U12" s="47" t="str">
        <f t="shared" si="12"/>
        <v/>
      </c>
      <c r="X12" s="380" t="s">
        <v>275</v>
      </c>
      <c r="AA12" s="2" t="str">
        <f t="shared" si="0"/>
        <v/>
      </c>
      <c r="AB12" s="4" t="str">
        <f t="shared" si="1"/>
        <v/>
      </c>
      <c r="AD12" s="2" t="str">
        <f t="shared" si="2"/>
        <v/>
      </c>
      <c r="AF12" s="2">
        <f t="shared" si="3"/>
        <v>0</v>
      </c>
      <c r="AG12" s="2">
        <f t="shared" si="4"/>
        <v>0</v>
      </c>
      <c r="AH12" s="2" t="str">
        <f>IF(AF12 = 0, "", IF(AF12 = 1, VLOOKUP(I12, gemClasses, 2, FALSE), IF(AF12 = 2, VLOOKUP(I12, nasccClasses, 2, FALSE), IF(AF12 = 2.1, VLOOKUP(I12, nasccClasses, 2, FALSE), IF(AF12 = 2.2, VLOOKUP(I12, nasccClasses, 2, FALSE), IF(AF12 = 3, VLOOKUP(I12, euemClasses, 2, FALSE), IF(AF12 = 4, VLOOKUP(I12, wgtssClasses, 2, FALSE), IF(AF12 = 5, VLOOKUP(I12, wgtmClasses, 2, FALSE), IF(AF12 = 6, VLOOKUP(I12, wpcClasses, 2, FALSE), IF(AF12 = 7, VLOOKUP(I12, asmClasses, 2, FALSE), ""))))))))))</f>
        <v/>
      </c>
      <c r="AI12" s="2" t="str">
        <f t="shared" si="13"/>
        <v/>
      </c>
      <c r="AK12" s="2" t="str">
        <f t="shared" si="5"/>
        <v/>
      </c>
      <c r="AL12" s="2" t="str">
        <f t="shared" si="6"/>
        <v/>
      </c>
      <c r="AN12" s="2" t="str">
        <f>'Lineup Legality - FS'!L29</f>
        <v/>
      </c>
      <c r="AP12" s="2" t="str">
        <f>IF(H12 &lt;&gt; "", CONCATENATE("$", ROUND(SUM('Total Costs'!M11:V11), 3), " Million"), "")</f>
        <v/>
      </c>
    </row>
    <row r="13" spans="2:42" ht="18" customHeight="1" x14ac:dyDescent="0.3">
      <c r="B13" s="47" t="str">
        <f t="shared" si="14"/>
        <v/>
      </c>
      <c r="C13" s="47"/>
      <c r="D13" s="47" t="str">
        <f t="shared" si="7"/>
        <v/>
      </c>
      <c r="E13" s="51"/>
      <c r="F13" s="52"/>
      <c r="G13" s="87" t="str">
        <f t="shared" si="8"/>
        <v/>
      </c>
      <c r="H13" s="47"/>
      <c r="I13" s="47" t="str">
        <f t="shared" ref="I13:I40" si="15">IF(ISERROR(AA13), "", AA13)</f>
        <v/>
      </c>
      <c r="J13" s="79" t="str">
        <f t="shared" si="10"/>
        <v/>
      </c>
      <c r="K13" s="51"/>
      <c r="L13" s="2"/>
      <c r="M13" s="2"/>
      <c r="N13" s="52"/>
      <c r="O13" s="47" t="str">
        <f t="shared" si="11"/>
        <v/>
      </c>
      <c r="P13" s="188"/>
      <c r="Q13" s="2"/>
      <c r="R13" s="2"/>
      <c r="S13" s="22"/>
      <c r="T13" s="47"/>
      <c r="U13" s="47" t="str">
        <f t="shared" si="12"/>
        <v/>
      </c>
      <c r="X13" s="380"/>
      <c r="AA13" s="2" t="str">
        <f t="shared" si="0"/>
        <v/>
      </c>
      <c r="AB13" s="4" t="str">
        <f t="shared" si="1"/>
        <v/>
      </c>
      <c r="AD13" s="2" t="str">
        <f t="shared" si="2"/>
        <v/>
      </c>
      <c r="AF13" s="2">
        <f t="shared" si="3"/>
        <v>0</v>
      </c>
      <c r="AG13" s="2">
        <f t="shared" si="4"/>
        <v>0</v>
      </c>
      <c r="AH13" s="2" t="str">
        <f>IF(AF13 = 0, "", IF(AF13 = 1, VLOOKUP(I13, gemClasses, 2, FALSE), IF(AF13 = 2, VLOOKUP(I13, nasccClasses, 2, FALSE), IF(AF13 = 2.1, VLOOKUP(I13, nasccClasses, 2, FALSE), IF(AF13 = 2.2, VLOOKUP(I13, nasccClasses, 2, FALSE), IF(AF13 = 3, VLOOKUP(I13, euemClasses, 2, FALSE), IF(AF13 = 4, VLOOKUP(I13, wgtssClasses, 2, FALSE), IF(AF13 = 5, VLOOKUP(I13, wgtmClasses, 2, FALSE), IF(AF13 = 6, VLOOKUP(I13, wpcClasses, 2, FALSE), IF(AF13 = 7, VLOOKUP(I13, asmClasses, 2, FALSE), ""))))))))))</f>
        <v/>
      </c>
      <c r="AI13" s="2" t="str">
        <f t="shared" si="13"/>
        <v/>
      </c>
      <c r="AK13" s="2" t="str">
        <f t="shared" si="5"/>
        <v/>
      </c>
      <c r="AL13" s="2" t="str">
        <f t="shared" si="6"/>
        <v/>
      </c>
      <c r="AN13" s="2" t="str">
        <f>'Lineup Legality - FS'!L33</f>
        <v/>
      </c>
      <c r="AP13" s="2" t="str">
        <f>IF(H13 &lt;&gt; "", CONCATENATE("$", ROUND(SUM('Total Costs'!M12:V12), 3), " Million"), "")</f>
        <v/>
      </c>
    </row>
    <row r="14" spans="2:42" ht="18" customHeight="1" x14ac:dyDescent="0.3">
      <c r="B14" s="47" t="str">
        <f t="shared" si="14"/>
        <v/>
      </c>
      <c r="C14" s="47"/>
      <c r="D14" s="47" t="str">
        <f t="shared" si="7"/>
        <v/>
      </c>
      <c r="E14" s="51"/>
      <c r="F14" s="52"/>
      <c r="G14" s="87" t="str">
        <f t="shared" si="8"/>
        <v/>
      </c>
      <c r="H14" s="47"/>
      <c r="I14" s="47" t="str">
        <f t="shared" si="15"/>
        <v/>
      </c>
      <c r="J14" s="79" t="str">
        <f t="shared" si="10"/>
        <v/>
      </c>
      <c r="K14" s="51"/>
      <c r="L14" s="2"/>
      <c r="M14" s="2"/>
      <c r="N14" s="52"/>
      <c r="O14" s="47" t="str">
        <f t="shared" si="11"/>
        <v/>
      </c>
      <c r="P14" s="188"/>
      <c r="Q14" s="2"/>
      <c r="R14" s="2"/>
      <c r="S14" s="22"/>
      <c r="T14" s="47"/>
      <c r="U14" s="47" t="str">
        <f t="shared" si="12"/>
        <v/>
      </c>
      <c r="X14" s="380"/>
      <c r="AA14" s="2" t="str">
        <f t="shared" si="0"/>
        <v/>
      </c>
      <c r="AB14" s="4" t="str">
        <f t="shared" si="1"/>
        <v/>
      </c>
      <c r="AD14" s="2" t="str">
        <f t="shared" si="2"/>
        <v/>
      </c>
      <c r="AF14" s="2">
        <f t="shared" si="3"/>
        <v>0</v>
      </c>
      <c r="AG14" s="2">
        <f t="shared" si="4"/>
        <v>0</v>
      </c>
      <c r="AH14" s="2" t="str">
        <f>IF(AF14 = 0, "", IF(AF14 = 1, VLOOKUP(I14, gemClasses, 2, FALSE), IF(AF14 = 2, VLOOKUP(I14, nasccClasses, 2, FALSE), IF(AF14 = 2.1, VLOOKUP(I14, nasccClasses, 2, FALSE), IF(AF14 = 2.2, VLOOKUP(I14, nasccClasses, 2, FALSE), IF(AF14 = 3, VLOOKUP(I14, euemClasses, 2, FALSE), IF(AF14 = 4, VLOOKUP(I14, wgtssClasses, 2, FALSE), IF(AF14 = 5, VLOOKUP(I14, wgtmClasses, 2, FALSE), IF(AF14 = 6, VLOOKUP(I14, wpcClasses, 2, FALSE), IF(AF14 = 7, VLOOKUP(I14, asmClasses, 2, FALSE), ""))))))))))</f>
        <v/>
      </c>
      <c r="AI14" s="2" t="str">
        <f t="shared" si="13"/>
        <v/>
      </c>
      <c r="AK14" s="2" t="str">
        <f t="shared" si="5"/>
        <v/>
      </c>
      <c r="AL14" s="2" t="str">
        <f t="shared" si="6"/>
        <v/>
      </c>
      <c r="AN14" s="2" t="str">
        <f>'Lineup Legality - FS'!L37</f>
        <v/>
      </c>
      <c r="AP14" s="2" t="str">
        <f>IF(H14 &lt;&gt; "", CONCATENATE("$", ROUND(SUM('Total Costs'!M13:V13), 3), " Million"), "")</f>
        <v/>
      </c>
    </row>
    <row r="15" spans="2:42" ht="18" customHeight="1" x14ac:dyDescent="0.3">
      <c r="B15" s="47" t="str">
        <f t="shared" si="14"/>
        <v/>
      </c>
      <c r="C15" s="47"/>
      <c r="D15" s="47" t="str">
        <f t="shared" si="7"/>
        <v/>
      </c>
      <c r="E15" s="51"/>
      <c r="F15" s="52"/>
      <c r="G15" s="87" t="str">
        <f t="shared" si="8"/>
        <v/>
      </c>
      <c r="H15" s="47"/>
      <c r="I15" s="47" t="str">
        <f t="shared" si="15"/>
        <v/>
      </c>
      <c r="J15" s="79" t="str">
        <f t="shared" si="10"/>
        <v/>
      </c>
      <c r="K15" s="51"/>
      <c r="L15" s="2"/>
      <c r="M15" s="2"/>
      <c r="N15" s="52"/>
      <c r="O15" s="47" t="str">
        <f t="shared" si="11"/>
        <v/>
      </c>
      <c r="P15" s="188"/>
      <c r="Q15" s="2"/>
      <c r="R15" s="2"/>
      <c r="S15" s="22"/>
      <c r="T15" s="47"/>
      <c r="U15" s="47" t="str">
        <f t="shared" si="12"/>
        <v/>
      </c>
      <c r="X15" s="278" t="s">
        <v>497</v>
      </c>
      <c r="AA15" s="2" t="str">
        <f t="shared" si="0"/>
        <v/>
      </c>
      <c r="AB15" s="4" t="str">
        <f t="shared" si="1"/>
        <v/>
      </c>
      <c r="AD15" s="2" t="str">
        <f t="shared" si="2"/>
        <v/>
      </c>
      <c r="AF15" s="2">
        <f t="shared" si="3"/>
        <v>0</v>
      </c>
      <c r="AG15" s="2">
        <f t="shared" si="4"/>
        <v>0</v>
      </c>
      <c r="AH15" s="2" t="str">
        <f>IF(AF15 = 0, "", IF(AF15 = 1, VLOOKUP(I15, gemClasses, 2, FALSE), IF(AF15 = 2, VLOOKUP(I15, nasccClasses, 2, FALSE), IF(AF15 = 2.1, VLOOKUP(I15, nasccClasses, 2, FALSE), IF(AF15 = 2.2, VLOOKUP(I15, nasccClasses, 2, FALSE), IF(AF15 = 3, VLOOKUP(I15, euemClasses, 2, FALSE), IF(AF15 = 4, VLOOKUP(I15, wgtssClasses, 2, FALSE), IF(AF15 = 5, VLOOKUP(I15, wgtmClasses, 2, FALSE), IF(AF15 = 6, VLOOKUP(I15, wpcClasses, 2, FALSE), IF(AF15 = 7, VLOOKUP(I15, asmClasses, 2, FALSE), ""))))))))))</f>
        <v/>
      </c>
      <c r="AI15" s="2" t="str">
        <f t="shared" si="13"/>
        <v/>
      </c>
      <c r="AK15" s="2" t="str">
        <f t="shared" si="5"/>
        <v/>
      </c>
      <c r="AL15" s="2" t="str">
        <f t="shared" si="6"/>
        <v/>
      </c>
      <c r="AN15" s="2" t="str">
        <f>'Lineup Legality - FS'!L41</f>
        <v/>
      </c>
      <c r="AP15" s="2" t="str">
        <f>IF(H15 &lt;&gt; "", CONCATENATE("$", ROUND(SUM('Total Costs'!M14:V14), 3), " Million"), "")</f>
        <v/>
      </c>
    </row>
    <row r="16" spans="2:42" ht="18" customHeight="1" x14ac:dyDescent="0.3">
      <c r="B16" s="47" t="str">
        <f t="shared" si="14"/>
        <v/>
      </c>
      <c r="C16" s="47"/>
      <c r="D16" s="47" t="str">
        <f t="shared" si="7"/>
        <v/>
      </c>
      <c r="E16" s="51"/>
      <c r="F16" s="52"/>
      <c r="G16" s="87" t="str">
        <f t="shared" si="8"/>
        <v/>
      </c>
      <c r="H16" s="47"/>
      <c r="I16" s="47" t="str">
        <f t="shared" si="15"/>
        <v/>
      </c>
      <c r="J16" s="79" t="str">
        <f t="shared" si="10"/>
        <v/>
      </c>
      <c r="K16" s="51"/>
      <c r="L16" s="2"/>
      <c r="M16" s="2"/>
      <c r="N16" s="52"/>
      <c r="O16" s="47" t="str">
        <f t="shared" si="11"/>
        <v/>
      </c>
      <c r="P16" s="188"/>
      <c r="Q16" s="2"/>
      <c r="R16" s="2"/>
      <c r="S16" s="22"/>
      <c r="T16" s="47"/>
      <c r="U16" s="47" t="str">
        <f t="shared" si="12"/>
        <v/>
      </c>
      <c r="X16" s="403"/>
      <c r="AA16" s="2" t="str">
        <f t="shared" si="0"/>
        <v/>
      </c>
      <c r="AB16" s="4" t="str">
        <f t="shared" si="1"/>
        <v/>
      </c>
      <c r="AD16" s="2" t="str">
        <f t="shared" si="2"/>
        <v/>
      </c>
      <c r="AF16" s="2">
        <f t="shared" si="3"/>
        <v>0</v>
      </c>
      <c r="AG16" s="2">
        <f t="shared" si="4"/>
        <v>0</v>
      </c>
      <c r="AH16" s="2" t="str">
        <f>IF(AF16 = 0, "", IF(AF16 = 1, VLOOKUP(I16, gemClasses, 2, FALSE), IF(AF16 = 2, VLOOKUP(I16, nasccClasses, 2, FALSE), IF(AF16 = 2.1, VLOOKUP(I16, nasccClasses, 2, FALSE), IF(AF16 = 2.2, VLOOKUP(I16, nasccClasses, 2, FALSE), IF(AF16 = 3, VLOOKUP(I16, euemClasses, 2, FALSE), IF(AF16 = 4, VLOOKUP(I16, wgtssClasses, 2, FALSE), IF(AF16 = 5, VLOOKUP(I16, wgtmClasses, 2, FALSE), IF(AF16 = 6, VLOOKUP(I16, wpcClasses, 2, FALSE), IF(AF16 = 7, VLOOKUP(I16, asmClasses, 2, FALSE), ""))))))))))</f>
        <v/>
      </c>
      <c r="AI16" s="2" t="str">
        <f t="shared" si="13"/>
        <v/>
      </c>
      <c r="AK16" s="2" t="str">
        <f t="shared" si="5"/>
        <v/>
      </c>
      <c r="AL16" s="2" t="str">
        <f t="shared" si="6"/>
        <v/>
      </c>
      <c r="AN16" s="2" t="str">
        <f>'Lineup Legality - FS'!L45</f>
        <v/>
      </c>
      <c r="AP16" s="2" t="str">
        <f>IF(H16 &lt;&gt; "", CONCATENATE("$", ROUND(SUM('Total Costs'!M15:V15), 3), " Million"), "")</f>
        <v/>
      </c>
    </row>
    <row r="17" spans="2:42" ht="18" customHeight="1" x14ac:dyDescent="0.3">
      <c r="B17" s="47" t="str">
        <f t="shared" si="14"/>
        <v/>
      </c>
      <c r="C17" s="47"/>
      <c r="D17" s="47" t="str">
        <f t="shared" si="7"/>
        <v/>
      </c>
      <c r="E17" s="51"/>
      <c r="F17" s="52"/>
      <c r="G17" s="87" t="str">
        <f t="shared" si="8"/>
        <v/>
      </c>
      <c r="H17" s="47"/>
      <c r="I17" s="47" t="str">
        <f t="shared" si="15"/>
        <v/>
      </c>
      <c r="J17" s="79" t="str">
        <f t="shared" si="10"/>
        <v/>
      </c>
      <c r="K17" s="51"/>
      <c r="L17" s="2"/>
      <c r="M17" s="2"/>
      <c r="N17" s="52"/>
      <c r="O17" s="47" t="str">
        <f t="shared" si="11"/>
        <v/>
      </c>
      <c r="P17" s="188"/>
      <c r="Q17" s="2"/>
      <c r="R17" s="2"/>
      <c r="S17" s="22"/>
      <c r="T17" s="47"/>
      <c r="U17" s="47" t="str">
        <f t="shared" si="12"/>
        <v/>
      </c>
      <c r="X17" s="278" t="s">
        <v>496</v>
      </c>
      <c r="AA17" s="2" t="str">
        <f t="shared" si="0"/>
        <v/>
      </c>
      <c r="AB17" s="4" t="str">
        <f t="shared" si="1"/>
        <v/>
      </c>
      <c r="AD17" s="2" t="str">
        <f t="shared" si="2"/>
        <v/>
      </c>
      <c r="AF17" s="2">
        <f t="shared" si="3"/>
        <v>0</v>
      </c>
      <c r="AG17" s="2">
        <f t="shared" si="4"/>
        <v>0</v>
      </c>
      <c r="AH17" s="2" t="str">
        <f>IF(AF17 = 0, "", IF(AF17 = 1, VLOOKUP(I17, gemClasses, 2, FALSE), IF(AF17 = 2, VLOOKUP(I17, nasccClasses, 2, FALSE), IF(AF17 = 2.1, VLOOKUP(I17, nasccClasses, 2, FALSE), IF(AF17 = 2.2, VLOOKUP(I17, nasccClasses, 2, FALSE), IF(AF17 = 3, VLOOKUP(I17, euemClasses, 2, FALSE), IF(AF17 = 4, VLOOKUP(I17, wgtssClasses, 2, FALSE), IF(AF17 = 5, VLOOKUP(I17, wgtmClasses, 2, FALSE), IF(AF17 = 6, VLOOKUP(I17, wpcClasses, 2, FALSE), IF(AF17 = 7, VLOOKUP(I17, asmClasses, 2, FALSE), ""))))))))))</f>
        <v/>
      </c>
      <c r="AI17" s="2" t="str">
        <f t="shared" si="13"/>
        <v/>
      </c>
      <c r="AK17" s="2" t="str">
        <f t="shared" si="5"/>
        <v/>
      </c>
      <c r="AL17" s="2" t="str">
        <f t="shared" si="6"/>
        <v/>
      </c>
      <c r="AN17" s="2" t="str">
        <f>'Lineup Legality - FS'!L49</f>
        <v/>
      </c>
      <c r="AP17" s="2" t="str">
        <f>IF(H17 &lt;&gt; "", CONCATENATE("$", ROUND(SUM('Total Costs'!M16:V16), 3), " Million"), "")</f>
        <v/>
      </c>
    </row>
    <row r="18" spans="2:42" ht="18" customHeight="1" x14ac:dyDescent="0.3">
      <c r="B18" s="47" t="str">
        <f t="shared" si="14"/>
        <v/>
      </c>
      <c r="C18" s="47"/>
      <c r="D18" s="47" t="str">
        <f t="shared" si="7"/>
        <v/>
      </c>
      <c r="E18" s="51"/>
      <c r="F18" s="52"/>
      <c r="G18" s="87" t="str">
        <f t="shared" si="8"/>
        <v/>
      </c>
      <c r="H18" s="47"/>
      <c r="I18" s="47" t="str">
        <f t="shared" si="15"/>
        <v/>
      </c>
      <c r="J18" s="79" t="str">
        <f t="shared" si="10"/>
        <v/>
      </c>
      <c r="K18" s="51"/>
      <c r="L18" s="2"/>
      <c r="M18" s="2"/>
      <c r="N18" s="52"/>
      <c r="O18" s="47" t="str">
        <f t="shared" si="11"/>
        <v/>
      </c>
      <c r="P18" s="188"/>
      <c r="Q18" s="2"/>
      <c r="R18" s="2"/>
      <c r="S18" s="22"/>
      <c r="T18" s="47"/>
      <c r="U18" s="47" t="str">
        <f t="shared" si="12"/>
        <v/>
      </c>
      <c r="X18" s="403"/>
      <c r="AA18" s="2" t="str">
        <f t="shared" si="0"/>
        <v/>
      </c>
      <c r="AB18" s="4" t="str">
        <f t="shared" si="1"/>
        <v/>
      </c>
      <c r="AD18" s="2" t="str">
        <f t="shared" si="2"/>
        <v/>
      </c>
      <c r="AF18" s="2">
        <f t="shared" si="3"/>
        <v>0</v>
      </c>
      <c r="AG18" s="2">
        <f t="shared" si="4"/>
        <v>0</v>
      </c>
      <c r="AH18" s="2" t="str">
        <f>IF(AF18 = 0, "", IF(AF18 = 1, VLOOKUP(I18, gemClasses, 2, FALSE), IF(AF18 = 2, VLOOKUP(I18, nasccClasses, 2, FALSE), IF(AF18 = 2.1, VLOOKUP(I18, nasccClasses, 2, FALSE), IF(AF18 = 2.2, VLOOKUP(I18, nasccClasses, 2, FALSE), IF(AF18 = 3, VLOOKUP(I18, euemClasses, 2, FALSE), IF(AF18 = 4, VLOOKUP(I18, wgtssClasses, 2, FALSE), IF(AF18 = 5, VLOOKUP(I18, wgtmClasses, 2, FALSE), IF(AF18 = 6, VLOOKUP(I18, wpcClasses, 2, FALSE), IF(AF18 = 7, VLOOKUP(I18, asmClasses, 2, FALSE), ""))))))))))</f>
        <v/>
      </c>
      <c r="AI18" s="2" t="str">
        <f t="shared" si="13"/>
        <v/>
      </c>
      <c r="AK18" s="2" t="str">
        <f t="shared" si="5"/>
        <v/>
      </c>
      <c r="AL18" s="2" t="str">
        <f t="shared" si="6"/>
        <v/>
      </c>
      <c r="AN18" s="2" t="str">
        <f>'Lineup Legality - FS'!L53</f>
        <v/>
      </c>
      <c r="AP18" s="2" t="str">
        <f>IF(H18 &lt;&gt; "", CONCATENATE("$", ROUND(SUM('Total Costs'!M17:V17), 3), " Million"), "")</f>
        <v/>
      </c>
    </row>
    <row r="19" spans="2:42" ht="18" customHeight="1" x14ac:dyDescent="0.3">
      <c r="B19" s="47" t="str">
        <f t="shared" si="14"/>
        <v/>
      </c>
      <c r="C19" s="47"/>
      <c r="D19" s="47" t="str">
        <f t="shared" si="7"/>
        <v/>
      </c>
      <c r="E19" s="51"/>
      <c r="F19" s="52"/>
      <c r="G19" s="87" t="str">
        <f t="shared" si="8"/>
        <v/>
      </c>
      <c r="H19" s="47"/>
      <c r="I19" s="47" t="str">
        <f t="shared" si="15"/>
        <v/>
      </c>
      <c r="J19" s="79" t="str">
        <f t="shared" si="10"/>
        <v/>
      </c>
      <c r="K19" s="51"/>
      <c r="L19" s="2"/>
      <c r="M19" s="2"/>
      <c r="N19" s="52"/>
      <c r="O19" s="47" t="str">
        <f t="shared" si="11"/>
        <v/>
      </c>
      <c r="P19" s="188"/>
      <c r="Q19" s="2"/>
      <c r="R19" s="2"/>
      <c r="S19" s="22"/>
      <c r="T19" s="47"/>
      <c r="U19" s="47" t="str">
        <f t="shared" si="12"/>
        <v/>
      </c>
      <c r="X19" s="278" t="s">
        <v>498</v>
      </c>
      <c r="AA19" s="2" t="str">
        <f t="shared" si="0"/>
        <v/>
      </c>
      <c r="AB19" s="4" t="str">
        <f t="shared" si="1"/>
        <v/>
      </c>
      <c r="AD19" s="2" t="str">
        <f t="shared" si="2"/>
        <v/>
      </c>
      <c r="AF19" s="2">
        <f t="shared" si="3"/>
        <v>0</v>
      </c>
      <c r="AG19" s="2">
        <f t="shared" si="4"/>
        <v>0</v>
      </c>
      <c r="AH19" s="2" t="str">
        <f>IF(AF19 = 0, "", IF(AF19 = 1, VLOOKUP(I19, gemClasses, 2, FALSE), IF(AF19 = 2, VLOOKUP(I19, nasccClasses, 2, FALSE), IF(AF19 = 2.1, VLOOKUP(I19, nasccClasses, 2, FALSE), IF(AF19 = 2.2, VLOOKUP(I19, nasccClasses, 2, FALSE), IF(AF19 = 3, VLOOKUP(I19, euemClasses, 2, FALSE), IF(AF19 = 4, VLOOKUP(I19, wgtssClasses, 2, FALSE), IF(AF19 = 5, VLOOKUP(I19, wgtmClasses, 2, FALSE), IF(AF19 = 6, VLOOKUP(I19, wpcClasses, 2, FALSE), IF(AF19 = 7, VLOOKUP(I19, asmClasses, 2, FALSE), ""))))))))))</f>
        <v/>
      </c>
      <c r="AI19" s="2" t="str">
        <f t="shared" si="13"/>
        <v/>
      </c>
      <c r="AK19" s="2" t="str">
        <f t="shared" si="5"/>
        <v/>
      </c>
      <c r="AL19" s="2" t="str">
        <f t="shared" si="6"/>
        <v/>
      </c>
      <c r="AN19" s="2" t="str">
        <f>'Lineup Legality - FS'!L57</f>
        <v/>
      </c>
      <c r="AP19" s="2" t="str">
        <f>IF(H19 &lt;&gt; "", CONCATENATE("$", ROUND(SUM('Total Costs'!M18:V18), 3), " Million"), "")</f>
        <v/>
      </c>
    </row>
    <row r="20" spans="2:42" ht="18" customHeight="1" x14ac:dyDescent="0.3">
      <c r="B20" s="47" t="str">
        <f t="shared" si="14"/>
        <v/>
      </c>
      <c r="C20" s="47"/>
      <c r="D20" s="47" t="str">
        <f t="shared" si="7"/>
        <v/>
      </c>
      <c r="E20" s="51"/>
      <c r="F20" s="52"/>
      <c r="G20" s="87" t="str">
        <f t="shared" si="8"/>
        <v/>
      </c>
      <c r="H20" s="47"/>
      <c r="I20" s="47" t="str">
        <f t="shared" si="15"/>
        <v/>
      </c>
      <c r="J20" s="79" t="str">
        <f t="shared" si="10"/>
        <v/>
      </c>
      <c r="K20" s="51"/>
      <c r="L20" s="2"/>
      <c r="M20" s="2"/>
      <c r="N20" s="52"/>
      <c r="O20" s="47" t="str">
        <f t="shared" si="11"/>
        <v/>
      </c>
      <c r="P20" s="188"/>
      <c r="Q20" s="2"/>
      <c r="R20" s="2"/>
      <c r="S20" s="22"/>
      <c r="T20" s="47"/>
      <c r="U20" s="47" t="str">
        <f t="shared" si="12"/>
        <v/>
      </c>
      <c r="X20" s="403"/>
      <c r="AA20" s="2" t="str">
        <f t="shared" si="0"/>
        <v/>
      </c>
      <c r="AB20" s="4" t="str">
        <f t="shared" si="1"/>
        <v/>
      </c>
      <c r="AD20" s="2" t="str">
        <f t="shared" si="2"/>
        <v/>
      </c>
      <c r="AF20" s="2">
        <f t="shared" si="3"/>
        <v>0</v>
      </c>
      <c r="AG20" s="2">
        <f t="shared" si="4"/>
        <v>0</v>
      </c>
      <c r="AH20" s="2" t="str">
        <f>IF(AF20 = 0, "", IF(AF20 = 1, VLOOKUP(I20, gemClasses, 2, FALSE), IF(AF20 = 2, VLOOKUP(I20, nasccClasses, 2, FALSE), IF(AF20 = 2.1, VLOOKUP(I20, nasccClasses, 2, FALSE), IF(AF20 = 2.2, VLOOKUP(I20, nasccClasses, 2, FALSE), IF(AF20 = 3, VLOOKUP(I20, euemClasses, 2, FALSE), IF(AF20 = 4, VLOOKUP(I20, wgtssClasses, 2, FALSE), IF(AF20 = 5, VLOOKUP(I20, wgtmClasses, 2, FALSE), IF(AF20 = 6, VLOOKUP(I20, wpcClasses, 2, FALSE), IF(AF20 = 7, VLOOKUP(I20, asmClasses, 2, FALSE), ""))))))))))</f>
        <v/>
      </c>
      <c r="AI20" s="2" t="str">
        <f t="shared" si="13"/>
        <v/>
      </c>
      <c r="AK20" s="2" t="str">
        <f t="shared" si="5"/>
        <v/>
      </c>
      <c r="AL20" s="2" t="str">
        <f t="shared" si="6"/>
        <v/>
      </c>
      <c r="AN20" s="2" t="str">
        <f>'Lineup Legality - FS'!L61</f>
        <v/>
      </c>
      <c r="AP20" s="2" t="str">
        <f>IF(H20 &lt;&gt; "", CONCATENATE("$", ROUND(SUM('Total Costs'!M19:V19), 3), " Million"), "")</f>
        <v/>
      </c>
    </row>
    <row r="21" spans="2:42" ht="18" customHeight="1" x14ac:dyDescent="0.3">
      <c r="B21" s="47" t="str">
        <f t="shared" si="14"/>
        <v/>
      </c>
      <c r="C21" s="47"/>
      <c r="D21" s="47" t="str">
        <f t="shared" si="7"/>
        <v/>
      </c>
      <c r="E21" s="51"/>
      <c r="F21" s="52"/>
      <c r="G21" s="87" t="str">
        <f t="shared" si="8"/>
        <v/>
      </c>
      <c r="H21" s="47"/>
      <c r="I21" s="47" t="str">
        <f t="shared" si="15"/>
        <v/>
      </c>
      <c r="J21" s="79" t="str">
        <f t="shared" si="10"/>
        <v/>
      </c>
      <c r="K21" s="51"/>
      <c r="L21" s="2"/>
      <c r="M21" s="2"/>
      <c r="N21" s="52"/>
      <c r="O21" s="47" t="str">
        <f t="shared" si="11"/>
        <v/>
      </c>
      <c r="P21" s="188"/>
      <c r="Q21" s="2"/>
      <c r="R21" s="2"/>
      <c r="S21" s="22"/>
      <c r="T21" s="47"/>
      <c r="U21" s="47" t="str">
        <f t="shared" si="12"/>
        <v/>
      </c>
      <c r="X21" s="380" t="s">
        <v>276</v>
      </c>
      <c r="AA21" s="2" t="str">
        <f t="shared" si="0"/>
        <v/>
      </c>
      <c r="AB21" s="4" t="str">
        <f t="shared" si="1"/>
        <v/>
      </c>
      <c r="AD21" s="2" t="str">
        <f t="shared" si="2"/>
        <v/>
      </c>
      <c r="AF21" s="2">
        <f t="shared" si="3"/>
        <v>0</v>
      </c>
      <c r="AG21" s="2">
        <f t="shared" si="4"/>
        <v>0</v>
      </c>
      <c r="AH21" s="2" t="str">
        <f>IF(AF21 = 0, "", IF(AF21 = 1, VLOOKUP(I21, gemClasses, 2, FALSE), IF(AF21 = 2, VLOOKUP(I21, nasccClasses, 2, FALSE), IF(AF21 = 2.1, VLOOKUP(I21, nasccClasses, 2, FALSE), IF(AF21 = 2.2, VLOOKUP(I21, nasccClasses, 2, FALSE), IF(AF21 = 3, VLOOKUP(I21, euemClasses, 2, FALSE), IF(AF21 = 4, VLOOKUP(I21, wgtssClasses, 2, FALSE), IF(AF21 = 5, VLOOKUP(I21, wgtmClasses, 2, FALSE), IF(AF21 = 6, VLOOKUP(I21, wpcClasses, 2, FALSE), IF(AF21 = 7, VLOOKUP(I21, asmClasses, 2, FALSE), ""))))))))))</f>
        <v/>
      </c>
      <c r="AI21" s="2" t="str">
        <f t="shared" si="13"/>
        <v/>
      </c>
      <c r="AK21" s="2" t="str">
        <f t="shared" si="5"/>
        <v/>
      </c>
      <c r="AL21" s="2" t="str">
        <f t="shared" si="6"/>
        <v/>
      </c>
      <c r="AN21" s="2" t="str">
        <f>'Lineup Legality - FS'!L65</f>
        <v/>
      </c>
      <c r="AP21" s="2" t="str">
        <f>IF(H21 &lt;&gt; "", CONCATENATE("$", ROUND(SUM('Total Costs'!M20:V20), 3), " Million"), "")</f>
        <v/>
      </c>
    </row>
    <row r="22" spans="2:42" ht="18" customHeight="1" thickBot="1" x14ac:dyDescent="0.35">
      <c r="B22" s="47" t="str">
        <f t="shared" si="14"/>
        <v/>
      </c>
      <c r="C22" s="47"/>
      <c r="D22" s="47" t="str">
        <f t="shared" si="7"/>
        <v/>
      </c>
      <c r="E22" s="51"/>
      <c r="F22" s="52"/>
      <c r="G22" s="87" t="str">
        <f t="shared" si="8"/>
        <v/>
      </c>
      <c r="H22" s="47"/>
      <c r="I22" s="47" t="str">
        <f t="shared" si="15"/>
        <v/>
      </c>
      <c r="J22" s="79" t="str">
        <f t="shared" si="10"/>
        <v/>
      </c>
      <c r="K22" s="51"/>
      <c r="L22" s="2"/>
      <c r="M22" s="2"/>
      <c r="N22" s="52"/>
      <c r="O22" s="47" t="str">
        <f t="shared" si="11"/>
        <v/>
      </c>
      <c r="P22" s="188"/>
      <c r="Q22" s="2"/>
      <c r="R22" s="2"/>
      <c r="S22" s="22"/>
      <c r="T22" s="47"/>
      <c r="U22" s="47" t="str">
        <f t="shared" si="12"/>
        <v/>
      </c>
      <c r="X22" s="298"/>
      <c r="AA22" s="2" t="str">
        <f t="shared" si="0"/>
        <v/>
      </c>
      <c r="AB22" s="4" t="str">
        <f t="shared" si="1"/>
        <v/>
      </c>
      <c r="AD22" s="2" t="str">
        <f t="shared" si="2"/>
        <v/>
      </c>
      <c r="AF22" s="2">
        <f t="shared" si="3"/>
        <v>0</v>
      </c>
      <c r="AG22" s="2">
        <f t="shared" si="4"/>
        <v>0</v>
      </c>
      <c r="AH22" s="2" t="str">
        <f>IF(AF22 = 0, "", IF(AF22 = 1, VLOOKUP(I22, gemClasses, 2, FALSE), IF(AF22 = 2, VLOOKUP(I22, nasccClasses, 2, FALSE), IF(AF22 = 2.1, VLOOKUP(I22, nasccClasses, 2, FALSE), IF(AF22 = 2.2, VLOOKUP(I22, nasccClasses, 2, FALSE), IF(AF22 = 3, VLOOKUP(I22, euemClasses, 2, FALSE), IF(AF22 = 4, VLOOKUP(I22, wgtssClasses, 2, FALSE), IF(AF22 = 5, VLOOKUP(I22, wgtmClasses, 2, FALSE), IF(AF22 = 6, VLOOKUP(I22, wpcClasses, 2, FALSE), IF(AF22 = 7, VLOOKUP(I22, asmClasses, 2, FALSE), ""))))))))))</f>
        <v/>
      </c>
      <c r="AI22" s="2" t="str">
        <f t="shared" si="13"/>
        <v/>
      </c>
      <c r="AK22" s="2" t="str">
        <f t="shared" si="5"/>
        <v/>
      </c>
      <c r="AL22" s="2" t="str">
        <f t="shared" si="6"/>
        <v/>
      </c>
      <c r="AN22" s="2" t="str">
        <f>'Lineup Legality - FS'!L69</f>
        <v/>
      </c>
      <c r="AP22" s="2" t="str">
        <f>IF(H22 &lt;&gt; "", CONCATENATE("$", ROUND(SUM('Total Costs'!M21:V21), 3), " Million"), "")</f>
        <v/>
      </c>
    </row>
    <row r="23" spans="2:42" ht="18" customHeight="1" x14ac:dyDescent="0.3">
      <c r="B23" s="47" t="str">
        <f t="shared" si="14"/>
        <v/>
      </c>
      <c r="C23" s="47"/>
      <c r="D23" s="47" t="str">
        <f t="shared" si="7"/>
        <v/>
      </c>
      <c r="E23" s="51"/>
      <c r="F23" s="52"/>
      <c r="G23" s="87" t="str">
        <f t="shared" si="8"/>
        <v/>
      </c>
      <c r="H23" s="47"/>
      <c r="I23" s="47" t="str">
        <f t="shared" si="15"/>
        <v/>
      </c>
      <c r="J23" s="79" t="str">
        <f t="shared" si="10"/>
        <v/>
      </c>
      <c r="K23" s="51"/>
      <c r="L23" s="2"/>
      <c r="M23" s="2"/>
      <c r="N23" s="52"/>
      <c r="O23" s="47" t="str">
        <f t="shared" si="11"/>
        <v/>
      </c>
      <c r="P23" s="188"/>
      <c r="Q23" s="2"/>
      <c r="R23" s="2"/>
      <c r="S23" s="22"/>
      <c r="T23" s="47"/>
      <c r="U23" s="47" t="str">
        <f t="shared" si="12"/>
        <v/>
      </c>
      <c r="AA23" s="2" t="str">
        <f t="shared" si="0"/>
        <v/>
      </c>
      <c r="AB23" s="4" t="str">
        <f t="shared" si="1"/>
        <v/>
      </c>
      <c r="AD23" s="2" t="str">
        <f t="shared" si="2"/>
        <v/>
      </c>
      <c r="AF23" s="2">
        <f t="shared" si="3"/>
        <v>0</v>
      </c>
      <c r="AG23" s="2">
        <f t="shared" si="4"/>
        <v>0</v>
      </c>
      <c r="AH23" s="2" t="str">
        <f>IF(AF23 = 0, "", IF(AF23 = 1, VLOOKUP(I23, gemClasses, 2, FALSE), IF(AF23 = 2, VLOOKUP(I23, nasccClasses, 2, FALSE), IF(AF23 = 2.1, VLOOKUP(I23, nasccClasses, 2, FALSE), IF(AF23 = 2.2, VLOOKUP(I23, nasccClasses, 2, FALSE), IF(AF23 = 3, VLOOKUP(I23, euemClasses, 2, FALSE), IF(AF23 = 4, VLOOKUP(I23, wgtssClasses, 2, FALSE), IF(AF23 = 5, VLOOKUP(I23, wgtmClasses, 2, FALSE), IF(AF23 = 6, VLOOKUP(I23, wpcClasses, 2, FALSE), IF(AF23 = 7, VLOOKUP(I23, asmClasses, 2, FALSE), ""))))))))))</f>
        <v/>
      </c>
      <c r="AI23" s="2" t="str">
        <f t="shared" si="13"/>
        <v/>
      </c>
      <c r="AK23" s="2" t="str">
        <f t="shared" si="5"/>
        <v/>
      </c>
      <c r="AL23" s="2" t="str">
        <f t="shared" si="6"/>
        <v/>
      </c>
      <c r="AN23" s="2" t="str">
        <f>'Lineup Legality - FS'!L73</f>
        <v/>
      </c>
      <c r="AP23" s="2" t="str">
        <f>IF(H23 &lt;&gt; "", CONCATENATE("$", ROUND(SUM('Total Costs'!M22:V22), 3), " Million"), "")</f>
        <v/>
      </c>
    </row>
    <row r="24" spans="2:42" ht="18" customHeight="1" x14ac:dyDescent="0.3">
      <c r="B24" s="47" t="str">
        <f t="shared" si="14"/>
        <v/>
      </c>
      <c r="C24" s="47"/>
      <c r="D24" s="47" t="str">
        <f t="shared" si="7"/>
        <v/>
      </c>
      <c r="E24" s="51"/>
      <c r="F24" s="52"/>
      <c r="G24" s="87" t="str">
        <f t="shared" si="8"/>
        <v/>
      </c>
      <c r="H24" s="47"/>
      <c r="I24" s="47" t="str">
        <f t="shared" si="15"/>
        <v/>
      </c>
      <c r="J24" s="79" t="str">
        <f t="shared" si="10"/>
        <v/>
      </c>
      <c r="K24" s="51"/>
      <c r="L24" s="2"/>
      <c r="M24" s="2"/>
      <c r="N24" s="52"/>
      <c r="O24" s="47" t="str">
        <f t="shared" si="11"/>
        <v/>
      </c>
      <c r="P24" s="188"/>
      <c r="Q24" s="2"/>
      <c r="R24" s="2"/>
      <c r="S24" s="22"/>
      <c r="T24" s="47"/>
      <c r="U24" s="47" t="str">
        <f t="shared" si="12"/>
        <v/>
      </c>
      <c r="AA24" s="2" t="str">
        <f t="shared" si="0"/>
        <v/>
      </c>
      <c r="AB24" s="4" t="str">
        <f t="shared" si="1"/>
        <v/>
      </c>
      <c r="AD24" s="2" t="str">
        <f t="shared" si="2"/>
        <v/>
      </c>
      <c r="AF24" s="2">
        <f t="shared" si="3"/>
        <v>0</v>
      </c>
      <c r="AG24" s="2">
        <f t="shared" si="4"/>
        <v>0</v>
      </c>
      <c r="AH24" s="2" t="str">
        <f>IF(AF24 = 0, "", IF(AF24 = 1, VLOOKUP(I24, gemClasses, 2, FALSE), IF(AF24 = 2, VLOOKUP(I24, nasccClasses, 2, FALSE), IF(AF24 = 2.1, VLOOKUP(I24, nasccClasses, 2, FALSE), IF(AF24 = 2.2, VLOOKUP(I24, nasccClasses, 2, FALSE), IF(AF24 = 3, VLOOKUP(I24, euemClasses, 2, FALSE), IF(AF24 = 4, VLOOKUP(I24, wgtssClasses, 2, FALSE), IF(AF24 = 5, VLOOKUP(I24, wgtmClasses, 2, FALSE), IF(AF24 = 6, VLOOKUP(I24, wpcClasses, 2, FALSE), IF(AF24 = 7, VLOOKUP(I24, asmClasses, 2, FALSE), ""))))))))))</f>
        <v/>
      </c>
      <c r="AI24" s="2" t="str">
        <f t="shared" si="13"/>
        <v/>
      </c>
      <c r="AK24" s="2" t="str">
        <f t="shared" si="5"/>
        <v/>
      </c>
      <c r="AL24" s="2" t="str">
        <f t="shared" si="6"/>
        <v/>
      </c>
      <c r="AN24" s="2" t="str">
        <f>'Lineup Legality - FS'!L77</f>
        <v/>
      </c>
      <c r="AP24" s="2" t="str">
        <f>IF(H24 &lt;&gt; "", CONCATENATE("$", ROUND(SUM('Total Costs'!M23:V23), 3), " Million"), "")</f>
        <v/>
      </c>
    </row>
    <row r="25" spans="2:42" ht="18" customHeight="1" x14ac:dyDescent="0.3">
      <c r="B25" s="47" t="str">
        <f t="shared" si="14"/>
        <v/>
      </c>
      <c r="C25" s="47"/>
      <c r="D25" s="47" t="str">
        <f t="shared" si="7"/>
        <v/>
      </c>
      <c r="E25" s="51"/>
      <c r="F25" s="52"/>
      <c r="G25" s="87" t="str">
        <f t="shared" si="8"/>
        <v/>
      </c>
      <c r="H25" s="47"/>
      <c r="I25" s="47" t="str">
        <f t="shared" si="15"/>
        <v/>
      </c>
      <c r="J25" s="79" t="str">
        <f t="shared" si="10"/>
        <v/>
      </c>
      <c r="K25" s="51"/>
      <c r="L25" s="2"/>
      <c r="M25" s="2"/>
      <c r="N25" s="52"/>
      <c r="O25" s="47" t="str">
        <f t="shared" si="11"/>
        <v/>
      </c>
      <c r="P25" s="188"/>
      <c r="Q25" s="2"/>
      <c r="R25" s="2"/>
      <c r="S25" s="22"/>
      <c r="T25" s="47"/>
      <c r="U25" s="47" t="str">
        <f t="shared" si="12"/>
        <v/>
      </c>
      <c r="AA25" s="2" t="str">
        <f t="shared" si="0"/>
        <v/>
      </c>
      <c r="AB25" s="4" t="str">
        <f t="shared" si="1"/>
        <v/>
      </c>
      <c r="AD25" s="2" t="str">
        <f t="shared" si="2"/>
        <v/>
      </c>
      <c r="AF25" s="2">
        <f t="shared" si="3"/>
        <v>0</v>
      </c>
      <c r="AG25" s="2">
        <f t="shared" si="4"/>
        <v>0</v>
      </c>
      <c r="AH25" s="2" t="str">
        <f>IF(AF25 = 0, "", IF(AF25 = 1, VLOOKUP(I25, gemClasses, 2, FALSE), IF(AF25 = 2, VLOOKUP(I25, nasccClasses, 2, FALSE), IF(AF25 = 2.1, VLOOKUP(I25, nasccClasses, 2, FALSE), IF(AF25 = 2.2, VLOOKUP(I25, nasccClasses, 2, FALSE), IF(AF25 = 3, VLOOKUP(I25, euemClasses, 2, FALSE), IF(AF25 = 4, VLOOKUP(I25, wgtssClasses, 2, FALSE), IF(AF25 = 5, VLOOKUP(I25, wgtmClasses, 2, FALSE), IF(AF25 = 6, VLOOKUP(I25, wpcClasses, 2, FALSE), IF(AF25 = 7, VLOOKUP(I25, asmClasses, 2, FALSE), ""))))))))))</f>
        <v/>
      </c>
      <c r="AI25" s="2" t="str">
        <f t="shared" si="13"/>
        <v/>
      </c>
      <c r="AK25" s="2" t="str">
        <f t="shared" si="5"/>
        <v/>
      </c>
      <c r="AL25" s="2" t="str">
        <f t="shared" si="6"/>
        <v/>
      </c>
      <c r="AN25" s="2" t="str">
        <f>'Lineup Legality - FS'!L81</f>
        <v/>
      </c>
      <c r="AP25" s="2" t="str">
        <f>IF(H25 &lt;&gt; "", CONCATENATE("$", ROUND(SUM('Total Costs'!M24:V24), 3), " Million"), "")</f>
        <v/>
      </c>
    </row>
    <row r="26" spans="2:42" ht="18" customHeight="1" x14ac:dyDescent="0.3">
      <c r="B26" s="47" t="str">
        <f t="shared" si="14"/>
        <v/>
      </c>
      <c r="C26" s="47"/>
      <c r="D26" s="47" t="str">
        <f t="shared" si="7"/>
        <v/>
      </c>
      <c r="E26" s="51"/>
      <c r="F26" s="52"/>
      <c r="G26" s="87" t="str">
        <f t="shared" si="8"/>
        <v/>
      </c>
      <c r="H26" s="47"/>
      <c r="I26" s="47" t="str">
        <f t="shared" si="15"/>
        <v/>
      </c>
      <c r="J26" s="79" t="str">
        <f t="shared" si="10"/>
        <v/>
      </c>
      <c r="K26" s="51"/>
      <c r="L26" s="2"/>
      <c r="M26" s="2"/>
      <c r="N26" s="52"/>
      <c r="O26" s="47" t="str">
        <f t="shared" si="11"/>
        <v/>
      </c>
      <c r="P26" s="188"/>
      <c r="Q26" s="2"/>
      <c r="R26" s="2"/>
      <c r="S26" s="22"/>
      <c r="T26" s="47"/>
      <c r="U26" s="47" t="str">
        <f t="shared" si="12"/>
        <v/>
      </c>
      <c r="AA26" s="2" t="str">
        <f t="shared" si="0"/>
        <v/>
      </c>
      <c r="AB26" s="4" t="str">
        <f t="shared" si="1"/>
        <v/>
      </c>
      <c r="AD26" s="2" t="str">
        <f t="shared" si="2"/>
        <v/>
      </c>
      <c r="AF26" s="2">
        <f t="shared" si="3"/>
        <v>0</v>
      </c>
      <c r="AG26" s="2">
        <f t="shared" si="4"/>
        <v>0</v>
      </c>
      <c r="AH26" s="2" t="str">
        <f>IF(AF26 = 0, "", IF(AF26 = 1, VLOOKUP(I26, gemClasses, 2, FALSE), IF(AF26 = 2, VLOOKUP(I26, nasccClasses, 2, FALSE), IF(AF26 = 2.1, VLOOKUP(I26, nasccClasses, 2, FALSE), IF(AF26 = 2.2, VLOOKUP(I26, nasccClasses, 2, FALSE), IF(AF26 = 3, VLOOKUP(I26, euemClasses, 2, FALSE), IF(AF26 = 4, VLOOKUP(I26, wgtssClasses, 2, FALSE), IF(AF26 = 5, VLOOKUP(I26, wgtmClasses, 2, FALSE), IF(AF26 = 6, VLOOKUP(I26, wpcClasses, 2, FALSE), IF(AF26 = 7, VLOOKUP(I26, asmClasses, 2, FALSE), ""))))))))))</f>
        <v/>
      </c>
      <c r="AI26" s="2" t="str">
        <f t="shared" si="13"/>
        <v/>
      </c>
      <c r="AK26" s="2" t="str">
        <f t="shared" si="5"/>
        <v/>
      </c>
      <c r="AL26" s="2" t="str">
        <f t="shared" si="6"/>
        <v/>
      </c>
      <c r="AN26" s="2" t="str">
        <f>'Lineup Legality - FS'!L85</f>
        <v/>
      </c>
      <c r="AP26" s="2" t="str">
        <f>IF(H26 &lt;&gt; "", CONCATENATE("$", ROUND(SUM('Total Costs'!M25:V25), 3), " Million"), "")</f>
        <v/>
      </c>
    </row>
    <row r="27" spans="2:42" ht="18" customHeight="1" x14ac:dyDescent="0.3">
      <c r="B27" s="47" t="str">
        <f t="shared" si="14"/>
        <v/>
      </c>
      <c r="C27" s="47"/>
      <c r="D27" s="47" t="str">
        <f t="shared" si="7"/>
        <v/>
      </c>
      <c r="E27" s="51"/>
      <c r="F27" s="52"/>
      <c r="G27" s="87" t="str">
        <f t="shared" si="8"/>
        <v/>
      </c>
      <c r="H27" s="47"/>
      <c r="I27" s="47" t="str">
        <f t="shared" si="15"/>
        <v/>
      </c>
      <c r="J27" s="79" t="str">
        <f t="shared" si="10"/>
        <v/>
      </c>
      <c r="K27" s="51"/>
      <c r="L27" s="2"/>
      <c r="M27" s="2"/>
      <c r="N27" s="52"/>
      <c r="O27" s="47" t="str">
        <f t="shared" si="11"/>
        <v/>
      </c>
      <c r="P27" s="188"/>
      <c r="Q27" s="2"/>
      <c r="R27" s="2"/>
      <c r="S27" s="22"/>
      <c r="T27" s="47"/>
      <c r="U27" s="47" t="str">
        <f t="shared" si="12"/>
        <v/>
      </c>
      <c r="AA27" s="2" t="str">
        <f t="shared" si="0"/>
        <v/>
      </c>
      <c r="AB27" s="4" t="str">
        <f t="shared" si="1"/>
        <v/>
      </c>
      <c r="AD27" s="2" t="str">
        <f t="shared" si="2"/>
        <v/>
      </c>
      <c r="AF27" s="2">
        <f t="shared" si="3"/>
        <v>0</v>
      </c>
      <c r="AG27" s="2">
        <f t="shared" si="4"/>
        <v>0</v>
      </c>
      <c r="AH27" s="2" t="str">
        <f>IF(AF27 = 0, "", IF(AF27 = 1, VLOOKUP(I27, gemClasses, 2, FALSE), IF(AF27 = 2, VLOOKUP(I27, nasccClasses, 2, FALSE), IF(AF27 = 2.1, VLOOKUP(I27, nasccClasses, 2, FALSE), IF(AF27 = 2.2, VLOOKUP(I27, nasccClasses, 2, FALSE), IF(AF27 = 3, VLOOKUP(I27, euemClasses, 2, FALSE), IF(AF27 = 4, VLOOKUP(I27, wgtssClasses, 2, FALSE), IF(AF27 = 5, VLOOKUP(I27, wgtmClasses, 2, FALSE), IF(AF27 = 6, VLOOKUP(I27, wpcClasses, 2, FALSE), IF(AF27 = 7, VLOOKUP(I27, asmClasses, 2, FALSE), ""))))))))))</f>
        <v/>
      </c>
      <c r="AI27" s="2" t="str">
        <f t="shared" si="13"/>
        <v/>
      </c>
      <c r="AK27" s="2" t="str">
        <f t="shared" si="5"/>
        <v/>
      </c>
      <c r="AL27" s="2" t="str">
        <f t="shared" si="6"/>
        <v/>
      </c>
      <c r="AN27" s="2" t="str">
        <f>'Lineup Legality - FS'!L89</f>
        <v/>
      </c>
      <c r="AP27" s="2" t="str">
        <f>IF(H27 &lt;&gt; "", CONCATENATE("$", ROUND(SUM('Total Costs'!M26:V26), 3), " Million"), "")</f>
        <v/>
      </c>
    </row>
    <row r="28" spans="2:42" ht="18" customHeight="1" x14ac:dyDescent="0.3">
      <c r="B28" s="47" t="str">
        <f t="shared" si="14"/>
        <v/>
      </c>
      <c r="C28" s="47"/>
      <c r="D28" s="47" t="str">
        <f t="shared" si="7"/>
        <v/>
      </c>
      <c r="E28" s="51"/>
      <c r="F28" s="52"/>
      <c r="G28" s="87" t="str">
        <f t="shared" si="8"/>
        <v/>
      </c>
      <c r="H28" s="47"/>
      <c r="I28" s="47" t="str">
        <f t="shared" si="15"/>
        <v/>
      </c>
      <c r="J28" s="79" t="str">
        <f t="shared" si="10"/>
        <v/>
      </c>
      <c r="K28" s="51"/>
      <c r="L28" s="2"/>
      <c r="M28" s="2"/>
      <c r="N28" s="52"/>
      <c r="O28" s="47" t="str">
        <f t="shared" si="11"/>
        <v/>
      </c>
      <c r="P28" s="188"/>
      <c r="Q28" s="2"/>
      <c r="R28" s="2"/>
      <c r="S28" s="22"/>
      <c r="T28" s="47"/>
      <c r="U28" s="47" t="str">
        <f t="shared" si="12"/>
        <v/>
      </c>
      <c r="AA28" s="2" t="str">
        <f t="shared" si="0"/>
        <v/>
      </c>
      <c r="AB28" s="4" t="str">
        <f t="shared" si="1"/>
        <v/>
      </c>
      <c r="AD28" s="2" t="str">
        <f t="shared" si="2"/>
        <v/>
      </c>
      <c r="AF28" s="2">
        <f t="shared" si="3"/>
        <v>0</v>
      </c>
      <c r="AG28" s="2">
        <f t="shared" si="4"/>
        <v>0</v>
      </c>
      <c r="AH28" s="2" t="str">
        <f>IF(AF28 = 0, "", IF(AF28 = 1, VLOOKUP(I28, gemClasses, 2, FALSE), IF(AF28 = 2, VLOOKUP(I28, nasccClasses, 2, FALSE), IF(AF28 = 2.1, VLOOKUP(I28, nasccClasses, 2, FALSE), IF(AF28 = 2.2, VLOOKUP(I28, nasccClasses, 2, FALSE), IF(AF28 = 3, VLOOKUP(I28, euemClasses, 2, FALSE), IF(AF28 = 4, VLOOKUP(I28, wgtssClasses, 2, FALSE), IF(AF28 = 5, VLOOKUP(I28, wgtmClasses, 2, FALSE), IF(AF28 = 6, VLOOKUP(I28, wpcClasses, 2, FALSE), IF(AF28 = 7, VLOOKUP(I28, asmClasses, 2, FALSE), ""))))))))))</f>
        <v/>
      </c>
      <c r="AI28" s="2" t="str">
        <f t="shared" si="13"/>
        <v/>
      </c>
      <c r="AK28" s="2" t="str">
        <f t="shared" si="5"/>
        <v/>
      </c>
      <c r="AL28" s="2" t="str">
        <f t="shared" si="6"/>
        <v/>
      </c>
      <c r="AN28" s="2" t="str">
        <f>'Lineup Legality - FS'!L93</f>
        <v/>
      </c>
      <c r="AP28" s="2" t="str">
        <f>IF(H28 &lt;&gt; "", CONCATENATE("$", ROUND(SUM('Total Costs'!M27:V27), 3), " Million"), "")</f>
        <v/>
      </c>
    </row>
    <row r="29" spans="2:42" ht="18" customHeight="1" x14ac:dyDescent="0.3">
      <c r="B29" s="47" t="str">
        <f t="shared" si="14"/>
        <v/>
      </c>
      <c r="C29" s="47"/>
      <c r="D29" s="47" t="str">
        <f t="shared" si="7"/>
        <v/>
      </c>
      <c r="E29" s="51"/>
      <c r="F29" s="52"/>
      <c r="G29" s="87" t="str">
        <f t="shared" si="8"/>
        <v/>
      </c>
      <c r="H29" s="47"/>
      <c r="I29" s="47" t="str">
        <f t="shared" si="15"/>
        <v/>
      </c>
      <c r="J29" s="79" t="str">
        <f t="shared" si="10"/>
        <v/>
      </c>
      <c r="K29" s="51"/>
      <c r="L29" s="2"/>
      <c r="M29" s="2"/>
      <c r="N29" s="52"/>
      <c r="O29" s="47" t="str">
        <f t="shared" si="11"/>
        <v/>
      </c>
      <c r="P29" s="188"/>
      <c r="Q29" s="2"/>
      <c r="R29" s="2"/>
      <c r="S29" s="22"/>
      <c r="T29" s="47"/>
      <c r="U29" s="47" t="str">
        <f t="shared" si="12"/>
        <v/>
      </c>
      <c r="AA29" s="2" t="str">
        <f t="shared" si="0"/>
        <v/>
      </c>
      <c r="AB29" s="4" t="str">
        <f t="shared" si="1"/>
        <v/>
      </c>
      <c r="AD29" s="2" t="str">
        <f t="shared" si="2"/>
        <v/>
      </c>
      <c r="AF29" s="2">
        <f t="shared" si="3"/>
        <v>0</v>
      </c>
      <c r="AG29" s="2">
        <f t="shared" si="4"/>
        <v>0</v>
      </c>
      <c r="AH29" s="2" t="str">
        <f>IF(AF29 = 0, "", IF(AF29 = 1, VLOOKUP(I29, gemClasses, 2, FALSE), IF(AF29 = 2, VLOOKUP(I29, nasccClasses, 2, FALSE), IF(AF29 = 2.1, VLOOKUP(I29, nasccClasses, 2, FALSE), IF(AF29 = 2.2, VLOOKUP(I29, nasccClasses, 2, FALSE), IF(AF29 = 3, VLOOKUP(I29, euemClasses, 2, FALSE), IF(AF29 = 4, VLOOKUP(I29, wgtssClasses, 2, FALSE), IF(AF29 = 5, VLOOKUP(I29, wgtmClasses, 2, FALSE), IF(AF29 = 6, VLOOKUP(I29, wpcClasses, 2, FALSE), IF(AF29 = 7, VLOOKUP(I29, asmClasses, 2, FALSE), ""))))))))))</f>
        <v/>
      </c>
      <c r="AI29" s="2" t="str">
        <f t="shared" si="13"/>
        <v/>
      </c>
      <c r="AK29" s="2" t="str">
        <f t="shared" si="5"/>
        <v/>
      </c>
      <c r="AL29" s="2" t="str">
        <f t="shared" si="6"/>
        <v/>
      </c>
      <c r="AN29" s="2" t="str">
        <f>'Lineup Legality - FS'!L97</f>
        <v/>
      </c>
      <c r="AP29" s="2" t="str">
        <f>IF(H29 &lt;&gt; "", CONCATENATE("$", ROUND(SUM('Total Costs'!M28:V28), 3), " Million"), "")</f>
        <v/>
      </c>
    </row>
    <row r="30" spans="2:42" ht="18" customHeight="1" x14ac:dyDescent="0.3">
      <c r="B30" s="47" t="str">
        <f t="shared" si="14"/>
        <v/>
      </c>
      <c r="C30" s="47"/>
      <c r="D30" s="47" t="str">
        <f t="shared" si="7"/>
        <v/>
      </c>
      <c r="E30" s="51"/>
      <c r="F30" s="52"/>
      <c r="G30" s="87" t="str">
        <f t="shared" si="8"/>
        <v/>
      </c>
      <c r="H30" s="47"/>
      <c r="I30" s="47" t="str">
        <f t="shared" si="15"/>
        <v/>
      </c>
      <c r="J30" s="79" t="str">
        <f t="shared" si="10"/>
        <v/>
      </c>
      <c r="K30" s="51"/>
      <c r="L30" s="2"/>
      <c r="M30" s="2"/>
      <c r="N30" s="52"/>
      <c r="O30" s="47" t="str">
        <f t="shared" si="11"/>
        <v/>
      </c>
      <c r="P30" s="188"/>
      <c r="Q30" s="2"/>
      <c r="R30" s="2"/>
      <c r="S30" s="22"/>
      <c r="T30" s="47"/>
      <c r="U30" s="47" t="str">
        <f t="shared" si="12"/>
        <v/>
      </c>
      <c r="AA30" s="2" t="str">
        <f t="shared" si="0"/>
        <v/>
      </c>
      <c r="AB30" s="4" t="str">
        <f t="shared" si="1"/>
        <v/>
      </c>
      <c r="AD30" s="2" t="str">
        <f t="shared" si="2"/>
        <v/>
      </c>
      <c r="AF30" s="2">
        <f t="shared" si="3"/>
        <v>0</v>
      </c>
      <c r="AG30" s="2">
        <f t="shared" si="4"/>
        <v>0</v>
      </c>
      <c r="AH30" s="2" t="str">
        <f>IF(AF30 = 0, "", IF(AF30 = 1, VLOOKUP(I30, gemClasses, 2, FALSE), IF(AF30 = 2, VLOOKUP(I30, nasccClasses, 2, FALSE), IF(AF30 = 2.1, VLOOKUP(I30, nasccClasses, 2, FALSE), IF(AF30 = 2.2, VLOOKUP(I30, nasccClasses, 2, FALSE), IF(AF30 = 3, VLOOKUP(I30, euemClasses, 2, FALSE), IF(AF30 = 4, VLOOKUP(I30, wgtssClasses, 2, FALSE), IF(AF30 = 5, VLOOKUP(I30, wgtmClasses, 2, FALSE), IF(AF30 = 6, VLOOKUP(I30, wpcClasses, 2, FALSE), IF(AF30 = 7, VLOOKUP(I30, asmClasses, 2, FALSE), ""))))))))))</f>
        <v/>
      </c>
      <c r="AI30" s="2" t="str">
        <f t="shared" si="13"/>
        <v/>
      </c>
      <c r="AK30" s="2" t="str">
        <f t="shared" si="5"/>
        <v/>
      </c>
      <c r="AL30" s="2" t="str">
        <f t="shared" si="6"/>
        <v/>
      </c>
      <c r="AN30" s="2" t="str">
        <f>'Lineup Legality - FS'!L101</f>
        <v/>
      </c>
      <c r="AP30" s="2" t="str">
        <f>IF(H30 &lt;&gt; "", CONCATENATE("$", ROUND(SUM('Total Costs'!M29:V29), 3), " Million"), "")</f>
        <v/>
      </c>
    </row>
    <row r="31" spans="2:42" ht="18" customHeight="1" x14ac:dyDescent="0.3">
      <c r="B31" s="47" t="str">
        <f t="shared" si="14"/>
        <v/>
      </c>
      <c r="C31" s="47"/>
      <c r="D31" s="47" t="str">
        <f t="shared" si="7"/>
        <v/>
      </c>
      <c r="E31" s="51"/>
      <c r="F31" s="52"/>
      <c r="G31" s="87" t="str">
        <f t="shared" si="8"/>
        <v/>
      </c>
      <c r="H31" s="47"/>
      <c r="I31" s="47" t="str">
        <f t="shared" si="15"/>
        <v/>
      </c>
      <c r="J31" s="79" t="str">
        <f t="shared" si="10"/>
        <v/>
      </c>
      <c r="K31" s="51"/>
      <c r="L31" s="2"/>
      <c r="M31" s="2"/>
      <c r="N31" s="52"/>
      <c r="O31" s="47" t="str">
        <f t="shared" si="11"/>
        <v/>
      </c>
      <c r="P31" s="188"/>
      <c r="Q31" s="2"/>
      <c r="R31" s="2"/>
      <c r="S31" s="22"/>
      <c r="T31" s="47"/>
      <c r="U31" s="47" t="str">
        <f t="shared" si="12"/>
        <v/>
      </c>
      <c r="AA31" s="2" t="str">
        <f t="shared" si="0"/>
        <v/>
      </c>
      <c r="AB31" s="4" t="str">
        <f t="shared" si="1"/>
        <v/>
      </c>
      <c r="AD31" s="2" t="str">
        <f t="shared" si="2"/>
        <v/>
      </c>
      <c r="AF31" s="2">
        <f t="shared" si="3"/>
        <v>0</v>
      </c>
      <c r="AG31" s="2">
        <f t="shared" si="4"/>
        <v>0</v>
      </c>
      <c r="AH31" s="2" t="str">
        <f>IF(AF31 = 0, "", IF(AF31 = 1, VLOOKUP(I31, gemClasses, 2, FALSE), IF(AF31 = 2, VLOOKUP(I31, nasccClasses, 2, FALSE), IF(AF31 = 2.1, VLOOKUP(I31, nasccClasses, 2, FALSE), IF(AF31 = 2.2, VLOOKUP(I31, nasccClasses, 2, FALSE), IF(AF31 = 3, VLOOKUP(I31, euemClasses, 2, FALSE), IF(AF31 = 4, VLOOKUP(I31, wgtssClasses, 2, FALSE), IF(AF31 = 5, VLOOKUP(I31, wgtmClasses, 2, FALSE), IF(AF31 = 6, VLOOKUP(I31, wpcClasses, 2, FALSE), IF(AF31 = 7, VLOOKUP(I31, asmClasses, 2, FALSE), ""))))))))))</f>
        <v/>
      </c>
      <c r="AI31" s="2" t="str">
        <f t="shared" si="13"/>
        <v/>
      </c>
      <c r="AK31" s="2" t="str">
        <f t="shared" si="5"/>
        <v/>
      </c>
      <c r="AL31" s="2" t="str">
        <f t="shared" si="6"/>
        <v/>
      </c>
      <c r="AN31" s="2" t="str">
        <f>'Lineup Legality - FS'!L105</f>
        <v/>
      </c>
      <c r="AP31" s="2" t="str">
        <f>IF(H31 &lt;&gt; "", CONCATENATE("$", ROUND(SUM('Total Costs'!M30:V30), 3), " Million"), "")</f>
        <v/>
      </c>
    </row>
    <row r="32" spans="2:42" ht="18" customHeight="1" x14ac:dyDescent="0.3">
      <c r="B32" s="47" t="str">
        <f t="shared" si="14"/>
        <v/>
      </c>
      <c r="C32" s="47"/>
      <c r="D32" s="47" t="str">
        <f t="shared" si="7"/>
        <v/>
      </c>
      <c r="E32" s="51"/>
      <c r="F32" s="52"/>
      <c r="G32" s="87" t="str">
        <f t="shared" si="8"/>
        <v/>
      </c>
      <c r="H32" s="47"/>
      <c r="I32" s="47" t="str">
        <f t="shared" si="15"/>
        <v/>
      </c>
      <c r="J32" s="79" t="str">
        <f t="shared" si="10"/>
        <v/>
      </c>
      <c r="K32" s="51"/>
      <c r="L32" s="2"/>
      <c r="M32" s="2"/>
      <c r="N32" s="52"/>
      <c r="O32" s="47" t="str">
        <f t="shared" si="11"/>
        <v/>
      </c>
      <c r="P32" s="188"/>
      <c r="Q32" s="2"/>
      <c r="R32" s="2"/>
      <c r="S32" s="22"/>
      <c r="T32" s="47"/>
      <c r="U32" s="47" t="str">
        <f t="shared" si="12"/>
        <v/>
      </c>
      <c r="AA32" s="2" t="str">
        <f t="shared" si="0"/>
        <v/>
      </c>
      <c r="AB32" s="4" t="str">
        <f t="shared" si="1"/>
        <v/>
      </c>
      <c r="AD32" s="2" t="str">
        <f t="shared" si="2"/>
        <v/>
      </c>
      <c r="AF32" s="2">
        <f t="shared" si="3"/>
        <v>0</v>
      </c>
      <c r="AG32" s="2">
        <f t="shared" si="4"/>
        <v>0</v>
      </c>
      <c r="AH32" s="2" t="str">
        <f>IF(AF32 = 0, "", IF(AF32 = 1, VLOOKUP(I32, gemClasses, 2, FALSE), IF(AF32 = 2, VLOOKUP(I32, nasccClasses, 2, FALSE), IF(AF32 = 2.1, VLOOKUP(I32, nasccClasses, 2, FALSE), IF(AF32 = 2.2, VLOOKUP(I32, nasccClasses, 2, FALSE), IF(AF32 = 3, VLOOKUP(I32, euemClasses, 2, FALSE), IF(AF32 = 4, VLOOKUP(I32, wgtssClasses, 2, FALSE), IF(AF32 = 5, VLOOKUP(I32, wgtmClasses, 2, FALSE), IF(AF32 = 6, VLOOKUP(I32, wpcClasses, 2, FALSE), IF(AF32 = 7, VLOOKUP(I32, asmClasses, 2, FALSE), ""))))))))))</f>
        <v/>
      </c>
      <c r="AI32" s="2" t="str">
        <f t="shared" si="13"/>
        <v/>
      </c>
      <c r="AK32" s="2" t="str">
        <f t="shared" si="5"/>
        <v/>
      </c>
      <c r="AL32" s="2" t="str">
        <f t="shared" si="6"/>
        <v/>
      </c>
      <c r="AN32" s="2" t="str">
        <f>'Lineup Legality - FS'!L109</f>
        <v/>
      </c>
      <c r="AP32" s="2" t="str">
        <f>IF(H32 &lt;&gt; "", CONCATENATE("$", ROUND(SUM('Total Costs'!M31:V31), 3), " Million"), "")</f>
        <v/>
      </c>
    </row>
    <row r="33" spans="2:42" ht="18" customHeight="1" x14ac:dyDescent="0.3">
      <c r="B33" s="47" t="str">
        <f t="shared" si="14"/>
        <v/>
      </c>
      <c r="C33" s="47"/>
      <c r="D33" s="47" t="str">
        <f t="shared" si="7"/>
        <v/>
      </c>
      <c r="E33" s="51"/>
      <c r="F33" s="52"/>
      <c r="G33" s="87" t="str">
        <f t="shared" si="8"/>
        <v/>
      </c>
      <c r="H33" s="47"/>
      <c r="I33" s="47" t="str">
        <f t="shared" si="15"/>
        <v/>
      </c>
      <c r="J33" s="79" t="str">
        <f t="shared" si="10"/>
        <v/>
      </c>
      <c r="K33" s="51"/>
      <c r="L33" s="2"/>
      <c r="M33" s="2"/>
      <c r="N33" s="52"/>
      <c r="O33" s="47" t="str">
        <f t="shared" si="11"/>
        <v/>
      </c>
      <c r="P33" s="188"/>
      <c r="Q33" s="2"/>
      <c r="R33" s="2"/>
      <c r="S33" s="22"/>
      <c r="T33" s="47"/>
      <c r="U33" s="47" t="str">
        <f t="shared" si="12"/>
        <v/>
      </c>
      <c r="AA33" s="2" t="str">
        <f t="shared" si="0"/>
        <v/>
      </c>
      <c r="AB33" s="4" t="str">
        <f t="shared" si="1"/>
        <v/>
      </c>
      <c r="AD33" s="2" t="str">
        <f t="shared" si="2"/>
        <v/>
      </c>
      <c r="AF33" s="2">
        <f t="shared" si="3"/>
        <v>0</v>
      </c>
      <c r="AG33" s="2">
        <f t="shared" si="4"/>
        <v>0</v>
      </c>
      <c r="AH33" s="2" t="str">
        <f>IF(AF33 = 0, "", IF(AF33 = 1, VLOOKUP(I33, gemClasses, 2, FALSE), IF(AF33 = 2, VLOOKUP(I33, nasccClasses, 2, FALSE), IF(AF33 = 2.1, VLOOKUP(I33, nasccClasses, 2, FALSE), IF(AF33 = 2.2, VLOOKUP(I33, nasccClasses, 2, FALSE), IF(AF33 = 3, VLOOKUP(I33, euemClasses, 2, FALSE), IF(AF33 = 4, VLOOKUP(I33, wgtssClasses, 2, FALSE), IF(AF33 = 5, VLOOKUP(I33, wgtmClasses, 2, FALSE), IF(AF33 = 6, VLOOKUP(I33, wpcClasses, 2, FALSE), IF(AF33 = 7, VLOOKUP(I33, asmClasses, 2, FALSE), ""))))))))))</f>
        <v/>
      </c>
      <c r="AI33" s="2" t="str">
        <f t="shared" si="13"/>
        <v/>
      </c>
      <c r="AK33" s="2" t="str">
        <f t="shared" si="5"/>
        <v/>
      </c>
      <c r="AL33" s="2" t="str">
        <f t="shared" si="6"/>
        <v/>
      </c>
      <c r="AN33" s="2" t="str">
        <f>'Lineup Legality - FS'!L113</f>
        <v/>
      </c>
      <c r="AP33" s="2" t="str">
        <f>IF(H33 &lt;&gt; "", CONCATENATE("$", ROUND(SUM('Total Costs'!M32:V32), 3), " Million"), "")</f>
        <v/>
      </c>
    </row>
    <row r="34" spans="2:42" ht="18" customHeight="1" x14ac:dyDescent="0.3">
      <c r="B34" s="47" t="str">
        <f t="shared" si="14"/>
        <v/>
      </c>
      <c r="C34" s="47"/>
      <c r="D34" s="47" t="str">
        <f t="shared" si="7"/>
        <v/>
      </c>
      <c r="E34" s="51"/>
      <c r="F34" s="52"/>
      <c r="G34" s="87" t="str">
        <f t="shared" si="8"/>
        <v/>
      </c>
      <c r="H34" s="47"/>
      <c r="I34" s="47" t="str">
        <f t="shared" si="15"/>
        <v/>
      </c>
      <c r="J34" s="79" t="str">
        <f t="shared" si="10"/>
        <v/>
      </c>
      <c r="K34" s="51"/>
      <c r="L34" s="2"/>
      <c r="M34" s="2"/>
      <c r="N34" s="52"/>
      <c r="O34" s="47" t="str">
        <f t="shared" si="11"/>
        <v/>
      </c>
      <c r="P34" s="188"/>
      <c r="Q34" s="2"/>
      <c r="R34" s="2"/>
      <c r="S34" s="22"/>
      <c r="T34" s="47"/>
      <c r="U34" s="47" t="str">
        <f t="shared" si="12"/>
        <v/>
      </c>
      <c r="AA34" s="2" t="str">
        <f t="shared" si="0"/>
        <v/>
      </c>
      <c r="AB34" s="4" t="str">
        <f t="shared" si="1"/>
        <v/>
      </c>
      <c r="AD34" s="2" t="str">
        <f t="shared" si="2"/>
        <v/>
      </c>
      <c r="AF34" s="2">
        <f t="shared" si="3"/>
        <v>0</v>
      </c>
      <c r="AG34" s="2">
        <f t="shared" si="4"/>
        <v>0</v>
      </c>
      <c r="AH34" s="2" t="str">
        <f>IF(AF34 = 0, "", IF(AF34 = 1, VLOOKUP(I34, gemClasses, 2, FALSE), IF(AF34 = 2, VLOOKUP(I34, nasccClasses, 2, FALSE), IF(AF34 = 2.1, VLOOKUP(I34, nasccClasses, 2, FALSE), IF(AF34 = 2.2, VLOOKUP(I34, nasccClasses, 2, FALSE), IF(AF34 = 3, VLOOKUP(I34, euemClasses, 2, FALSE), IF(AF34 = 4, VLOOKUP(I34, wgtssClasses, 2, FALSE), IF(AF34 = 5, VLOOKUP(I34, wgtmClasses, 2, FALSE), IF(AF34 = 6, VLOOKUP(I34, wpcClasses, 2, FALSE), IF(AF34 = 7, VLOOKUP(I34, asmClasses, 2, FALSE), ""))))))))))</f>
        <v/>
      </c>
      <c r="AI34" s="2" t="str">
        <f t="shared" si="13"/>
        <v/>
      </c>
      <c r="AK34" s="2" t="str">
        <f t="shared" si="5"/>
        <v/>
      </c>
      <c r="AL34" s="2" t="str">
        <f t="shared" si="6"/>
        <v/>
      </c>
      <c r="AN34" s="2" t="str">
        <f>'Lineup Legality - FS'!L117</f>
        <v/>
      </c>
      <c r="AP34" s="2" t="str">
        <f>IF(H34 &lt;&gt; "", CONCATENATE("$", ROUND(SUM('Total Costs'!M33:V33), 3), " Million"), "")</f>
        <v/>
      </c>
    </row>
    <row r="35" spans="2:42" ht="18" customHeight="1" x14ac:dyDescent="0.3">
      <c r="B35" s="47" t="str">
        <f t="shared" si="14"/>
        <v/>
      </c>
      <c r="C35" s="47"/>
      <c r="D35" s="47" t="str">
        <f t="shared" si="7"/>
        <v/>
      </c>
      <c r="E35" s="51"/>
      <c r="F35" s="52"/>
      <c r="G35" s="87" t="str">
        <f t="shared" si="8"/>
        <v/>
      </c>
      <c r="H35" s="47"/>
      <c r="I35" s="47" t="str">
        <f t="shared" si="15"/>
        <v/>
      </c>
      <c r="J35" s="79" t="str">
        <f t="shared" si="10"/>
        <v/>
      </c>
      <c r="K35" s="51"/>
      <c r="L35" s="2"/>
      <c r="M35" s="2"/>
      <c r="N35" s="52"/>
      <c r="O35" s="47" t="str">
        <f t="shared" si="11"/>
        <v/>
      </c>
      <c r="P35" s="188"/>
      <c r="Q35" s="2"/>
      <c r="R35" s="2"/>
      <c r="S35" s="22"/>
      <c r="T35" s="47"/>
      <c r="U35" s="47" t="str">
        <f t="shared" si="12"/>
        <v/>
      </c>
      <c r="AA35" s="2" t="str">
        <f t="shared" si="0"/>
        <v/>
      </c>
      <c r="AB35" s="4" t="str">
        <f t="shared" si="1"/>
        <v/>
      </c>
      <c r="AD35" s="2" t="str">
        <f t="shared" si="2"/>
        <v/>
      </c>
      <c r="AF35" s="2">
        <f t="shared" si="3"/>
        <v>0</v>
      </c>
      <c r="AG35" s="2">
        <f t="shared" si="4"/>
        <v>0</v>
      </c>
      <c r="AH35" s="2" t="str">
        <f>IF(AF35 = 0, "", IF(AF35 = 1, VLOOKUP(I35, gemClasses, 2, FALSE), IF(AF35 = 2, VLOOKUP(I35, nasccClasses, 2, FALSE), IF(AF35 = 2.1, VLOOKUP(I35, nasccClasses, 2, FALSE), IF(AF35 = 2.2, VLOOKUP(I35, nasccClasses, 2, FALSE), IF(AF35 = 3, VLOOKUP(I35, euemClasses, 2, FALSE), IF(AF35 = 4, VLOOKUP(I35, wgtssClasses, 2, FALSE), IF(AF35 = 5, VLOOKUP(I35, wgtmClasses, 2, FALSE), IF(AF35 = 6, VLOOKUP(I35, wpcClasses, 2, FALSE), IF(AF35 = 7, VLOOKUP(I35, asmClasses, 2, FALSE), ""))))))))))</f>
        <v/>
      </c>
      <c r="AI35" s="2" t="str">
        <f t="shared" si="13"/>
        <v/>
      </c>
      <c r="AK35" s="2" t="str">
        <f t="shared" si="5"/>
        <v/>
      </c>
      <c r="AL35" s="2" t="str">
        <f t="shared" si="6"/>
        <v/>
      </c>
      <c r="AN35" s="2" t="str">
        <f>'Lineup Legality - FS'!L121</f>
        <v/>
      </c>
      <c r="AP35" s="2" t="str">
        <f>IF(H35 &lt;&gt; "", CONCATENATE("$", ROUND(SUM('Total Costs'!M34:V34), 3), " Million"), "")</f>
        <v/>
      </c>
    </row>
    <row r="36" spans="2:42" ht="18" customHeight="1" x14ac:dyDescent="0.3">
      <c r="B36" s="47" t="str">
        <f t="shared" si="14"/>
        <v/>
      </c>
      <c r="C36" s="47"/>
      <c r="D36" s="47" t="str">
        <f t="shared" si="7"/>
        <v/>
      </c>
      <c r="E36" s="51"/>
      <c r="F36" s="52"/>
      <c r="G36" s="87" t="str">
        <f t="shared" si="8"/>
        <v/>
      </c>
      <c r="H36" s="47"/>
      <c r="I36" s="47" t="str">
        <f t="shared" si="15"/>
        <v/>
      </c>
      <c r="J36" s="79" t="str">
        <f t="shared" si="10"/>
        <v/>
      </c>
      <c r="K36" s="51"/>
      <c r="L36" s="2"/>
      <c r="M36" s="2"/>
      <c r="N36" s="52"/>
      <c r="O36" s="47" t="str">
        <f t="shared" si="11"/>
        <v/>
      </c>
      <c r="P36" s="188"/>
      <c r="Q36" s="2"/>
      <c r="R36" s="2"/>
      <c r="S36" s="22"/>
      <c r="T36" s="47"/>
      <c r="U36" s="47" t="str">
        <f t="shared" si="12"/>
        <v/>
      </c>
      <c r="AA36" s="2" t="str">
        <f t="shared" si="0"/>
        <v/>
      </c>
      <c r="AB36" s="4" t="str">
        <f t="shared" si="1"/>
        <v/>
      </c>
      <c r="AD36" s="2" t="str">
        <f t="shared" si="2"/>
        <v/>
      </c>
      <c r="AF36" s="2">
        <f t="shared" si="3"/>
        <v>0</v>
      </c>
      <c r="AG36" s="2">
        <f t="shared" si="4"/>
        <v>0</v>
      </c>
      <c r="AH36" s="2" t="str">
        <f>IF(AF36 = 0, "", IF(AF36 = 1, VLOOKUP(I36, gemClasses, 2, FALSE), IF(AF36 = 2, VLOOKUP(I36, nasccClasses, 2, FALSE), IF(AF36 = 2.1, VLOOKUP(I36, nasccClasses, 2, FALSE), IF(AF36 = 2.2, VLOOKUP(I36, nasccClasses, 2, FALSE), IF(AF36 = 3, VLOOKUP(I36, euemClasses, 2, FALSE), IF(AF36 = 4, VLOOKUP(I36, wgtssClasses, 2, FALSE), IF(AF36 = 5, VLOOKUP(I36, wgtmClasses, 2, FALSE), IF(AF36 = 6, VLOOKUP(I36, wpcClasses, 2, FALSE), IF(AF36 = 7, VLOOKUP(I36, asmClasses, 2, FALSE), ""))))))))))</f>
        <v/>
      </c>
      <c r="AI36" s="2" t="str">
        <f t="shared" si="13"/>
        <v/>
      </c>
      <c r="AK36" s="2" t="str">
        <f t="shared" si="5"/>
        <v/>
      </c>
      <c r="AL36" s="2" t="str">
        <f t="shared" si="6"/>
        <v/>
      </c>
      <c r="AN36" s="2" t="str">
        <f>'Lineup Legality - FS'!L125</f>
        <v/>
      </c>
      <c r="AP36" s="2" t="str">
        <f>IF(H36 &lt;&gt; "", CONCATENATE("$", ROUND(SUM('Total Costs'!M35:V35), 3), " Million"), "")</f>
        <v/>
      </c>
    </row>
    <row r="37" spans="2:42" ht="18" customHeight="1" x14ac:dyDescent="0.3">
      <c r="B37" s="47" t="str">
        <f t="shared" si="14"/>
        <v/>
      </c>
      <c r="C37" s="47"/>
      <c r="D37" s="47" t="str">
        <f t="shared" si="7"/>
        <v/>
      </c>
      <c r="E37" s="51"/>
      <c r="F37" s="52"/>
      <c r="G37" s="87" t="str">
        <f t="shared" si="8"/>
        <v/>
      </c>
      <c r="H37" s="47"/>
      <c r="I37" s="47" t="str">
        <f t="shared" si="15"/>
        <v/>
      </c>
      <c r="J37" s="79" t="str">
        <f t="shared" si="10"/>
        <v/>
      </c>
      <c r="K37" s="51"/>
      <c r="L37" s="2"/>
      <c r="M37" s="2"/>
      <c r="N37" s="52"/>
      <c r="O37" s="47" t="str">
        <f t="shared" si="11"/>
        <v/>
      </c>
      <c r="P37" s="188"/>
      <c r="Q37" s="2"/>
      <c r="R37" s="2"/>
      <c r="S37" s="22"/>
      <c r="T37" s="47"/>
      <c r="U37" s="47" t="str">
        <f t="shared" si="12"/>
        <v/>
      </c>
      <c r="AA37" s="2" t="str">
        <f t="shared" si="0"/>
        <v/>
      </c>
      <c r="AB37" s="4" t="str">
        <f t="shared" si="1"/>
        <v/>
      </c>
      <c r="AD37" s="2" t="str">
        <f t="shared" si="2"/>
        <v/>
      </c>
      <c r="AF37" s="2">
        <f t="shared" si="3"/>
        <v>0</v>
      </c>
      <c r="AG37" s="2">
        <f t="shared" si="4"/>
        <v>0</v>
      </c>
      <c r="AH37" s="2" t="str">
        <f>IF(AF37 = 0, "", IF(AF37 = 1, VLOOKUP(I37, gemClasses, 2, FALSE), IF(AF37 = 2, VLOOKUP(I37, nasccClasses, 2, FALSE), IF(AF37 = 2.1, VLOOKUP(I37, nasccClasses, 2, FALSE), IF(AF37 = 2.2, VLOOKUP(I37, nasccClasses, 2, FALSE), IF(AF37 = 3, VLOOKUP(I37, euemClasses, 2, FALSE), IF(AF37 = 4, VLOOKUP(I37, wgtssClasses, 2, FALSE), IF(AF37 = 5, VLOOKUP(I37, wgtmClasses, 2, FALSE), IF(AF37 = 6, VLOOKUP(I37, wpcClasses, 2, FALSE), IF(AF37 = 7, VLOOKUP(I37, asmClasses, 2, FALSE), ""))))))))))</f>
        <v/>
      </c>
      <c r="AI37" s="2" t="str">
        <f t="shared" si="13"/>
        <v/>
      </c>
      <c r="AK37" s="2" t="str">
        <f t="shared" si="5"/>
        <v/>
      </c>
      <c r="AL37" s="2" t="str">
        <f t="shared" si="6"/>
        <v/>
      </c>
      <c r="AN37" s="2" t="str">
        <f>'Lineup Legality - FS'!L129</f>
        <v/>
      </c>
      <c r="AP37" s="2" t="str">
        <f>IF(H37 &lt;&gt; "", CONCATENATE("$", ROUND(SUM('Total Costs'!M36:V36), 3), " Million"), "")</f>
        <v/>
      </c>
    </row>
    <row r="38" spans="2:42" ht="18" customHeight="1" x14ac:dyDescent="0.3">
      <c r="B38" s="47" t="str">
        <f t="shared" si="14"/>
        <v/>
      </c>
      <c r="C38" s="47"/>
      <c r="D38" s="47" t="str">
        <f t="shared" si="7"/>
        <v/>
      </c>
      <c r="E38" s="51"/>
      <c r="F38" s="52"/>
      <c r="G38" s="87" t="str">
        <f t="shared" si="8"/>
        <v/>
      </c>
      <c r="H38" s="47"/>
      <c r="I38" s="47" t="str">
        <f t="shared" si="15"/>
        <v/>
      </c>
      <c r="J38" s="79" t="str">
        <f t="shared" si="10"/>
        <v/>
      </c>
      <c r="K38" s="51"/>
      <c r="L38" s="2"/>
      <c r="M38" s="2"/>
      <c r="N38" s="52"/>
      <c r="O38" s="47" t="str">
        <f t="shared" si="11"/>
        <v/>
      </c>
      <c r="P38" s="188"/>
      <c r="Q38" s="2"/>
      <c r="R38" s="2"/>
      <c r="S38" s="22"/>
      <c r="T38" s="47"/>
      <c r="U38" s="47" t="str">
        <f t="shared" si="12"/>
        <v/>
      </c>
      <c r="AA38" s="2" t="str">
        <f t="shared" si="0"/>
        <v/>
      </c>
      <c r="AB38" s="4" t="str">
        <f t="shared" si="1"/>
        <v/>
      </c>
      <c r="AD38" s="2" t="str">
        <f t="shared" si="2"/>
        <v/>
      </c>
      <c r="AF38" s="2">
        <f t="shared" si="3"/>
        <v>0</v>
      </c>
      <c r="AG38" s="2">
        <f t="shared" si="4"/>
        <v>0</v>
      </c>
      <c r="AH38" s="2" t="str">
        <f>IF(AF38 = 0, "", IF(AF38 = 1, VLOOKUP(I38, gemClasses, 2, FALSE), IF(AF38 = 2, VLOOKUP(I38, nasccClasses, 2, FALSE), IF(AF38 = 2.1, VLOOKUP(I38, nasccClasses, 2, FALSE), IF(AF38 = 2.2, VLOOKUP(I38, nasccClasses, 2, FALSE), IF(AF38 = 3, VLOOKUP(I38, euemClasses, 2, FALSE), IF(AF38 = 4, VLOOKUP(I38, wgtssClasses, 2, FALSE), IF(AF38 = 5, VLOOKUP(I38, wgtmClasses, 2, FALSE), IF(AF38 = 6, VLOOKUP(I38, wpcClasses, 2, FALSE), IF(AF38 = 7, VLOOKUP(I38, asmClasses, 2, FALSE), ""))))))))))</f>
        <v/>
      </c>
      <c r="AI38" s="2" t="str">
        <f t="shared" si="13"/>
        <v/>
      </c>
      <c r="AK38" s="2" t="str">
        <f t="shared" si="5"/>
        <v/>
      </c>
      <c r="AL38" s="2" t="str">
        <f t="shared" si="6"/>
        <v/>
      </c>
      <c r="AN38" s="2" t="str">
        <f>'Lineup Legality - FS'!L133</f>
        <v/>
      </c>
      <c r="AP38" s="2" t="str">
        <f>IF(H38 &lt;&gt; "", CONCATENATE("$", ROUND(SUM('Total Costs'!M37:V37), 3), " Million"), "")</f>
        <v/>
      </c>
    </row>
    <row r="39" spans="2:42" ht="18" customHeight="1" x14ac:dyDescent="0.3">
      <c r="B39" s="47" t="str">
        <f t="shared" si="14"/>
        <v/>
      </c>
      <c r="C39" s="47"/>
      <c r="D39" s="47" t="str">
        <f t="shared" si="7"/>
        <v/>
      </c>
      <c r="E39" s="51"/>
      <c r="F39" s="52"/>
      <c r="G39" s="87" t="str">
        <f t="shared" si="8"/>
        <v/>
      </c>
      <c r="H39" s="47"/>
      <c r="I39" s="47" t="str">
        <f t="shared" si="15"/>
        <v/>
      </c>
      <c r="J39" s="79" t="str">
        <f t="shared" si="10"/>
        <v/>
      </c>
      <c r="K39" s="51"/>
      <c r="L39" s="2"/>
      <c r="M39" s="2"/>
      <c r="N39" s="52"/>
      <c r="O39" s="47" t="str">
        <f t="shared" si="11"/>
        <v/>
      </c>
      <c r="P39" s="188"/>
      <c r="Q39" s="2"/>
      <c r="R39" s="2"/>
      <c r="S39" s="22"/>
      <c r="T39" s="47"/>
      <c r="U39" s="47" t="str">
        <f t="shared" si="12"/>
        <v/>
      </c>
      <c r="AA39" s="2" t="str">
        <f t="shared" si="0"/>
        <v/>
      </c>
      <c r="AB39" s="4" t="str">
        <f t="shared" si="1"/>
        <v/>
      </c>
      <c r="AD39" s="2" t="str">
        <f t="shared" si="2"/>
        <v/>
      </c>
      <c r="AF39" s="2">
        <f t="shared" si="3"/>
        <v>0</v>
      </c>
      <c r="AG39" s="2">
        <f t="shared" si="4"/>
        <v>0</v>
      </c>
      <c r="AH39" s="2" t="str">
        <f>IF(AF39 = 0, "", IF(AF39 = 1, VLOOKUP(I39, gemClasses, 2, FALSE), IF(AF39 = 2, VLOOKUP(I39, nasccClasses, 2, FALSE), IF(AF39 = 2.1, VLOOKUP(I39, nasccClasses, 2, FALSE), IF(AF39 = 2.2, VLOOKUP(I39, nasccClasses, 2, FALSE), IF(AF39 = 3, VLOOKUP(I39, euemClasses, 2, FALSE), IF(AF39 = 4, VLOOKUP(I39, wgtssClasses, 2, FALSE), IF(AF39 = 5, VLOOKUP(I39, wgtmClasses, 2, FALSE), IF(AF39 = 6, VLOOKUP(I39, wpcClasses, 2, FALSE), IF(AF39 = 7, VLOOKUP(I39, asmClasses, 2, FALSE), ""))))))))))</f>
        <v/>
      </c>
      <c r="AI39" s="2" t="str">
        <f t="shared" si="13"/>
        <v/>
      </c>
      <c r="AK39" s="2" t="str">
        <f t="shared" si="5"/>
        <v/>
      </c>
      <c r="AL39" s="2" t="str">
        <f t="shared" si="6"/>
        <v/>
      </c>
      <c r="AN39" s="2" t="str">
        <f>'Lineup Legality - FS'!L137</f>
        <v/>
      </c>
      <c r="AP39" s="2" t="str">
        <f>IF(H39 &lt;&gt; "", CONCATENATE("$", ROUND(SUM('Total Costs'!M38:V38), 3), " Million"), "")</f>
        <v/>
      </c>
    </row>
    <row r="40" spans="2:42" ht="18" customHeight="1" thickBot="1" x14ac:dyDescent="0.35">
      <c r="B40" s="47" t="str">
        <f t="shared" si="14"/>
        <v/>
      </c>
      <c r="C40" s="47"/>
      <c r="D40" s="47" t="str">
        <f t="shared" si="7"/>
        <v/>
      </c>
      <c r="E40" s="51"/>
      <c r="F40" s="52"/>
      <c r="G40" s="87" t="str">
        <f t="shared" si="8"/>
        <v/>
      </c>
      <c r="H40" s="47"/>
      <c r="I40" s="47" t="str">
        <f t="shared" si="15"/>
        <v/>
      </c>
      <c r="J40" s="79" t="str">
        <f t="shared" si="10"/>
        <v/>
      </c>
      <c r="K40" s="51"/>
      <c r="L40" s="2"/>
      <c r="M40" s="2"/>
      <c r="N40" s="52"/>
      <c r="O40" s="47" t="str">
        <f t="shared" si="11"/>
        <v/>
      </c>
      <c r="P40" s="188"/>
      <c r="Q40" s="2"/>
      <c r="R40" s="2"/>
      <c r="S40" s="22"/>
      <c r="T40" s="47"/>
      <c r="U40" s="47" t="str">
        <f t="shared" si="12"/>
        <v/>
      </c>
      <c r="AA40" s="2" t="str">
        <f t="shared" si="0"/>
        <v/>
      </c>
      <c r="AB40" s="4" t="str">
        <f t="shared" si="1"/>
        <v/>
      </c>
      <c r="AD40" s="2" t="str">
        <f t="shared" si="2"/>
        <v/>
      </c>
      <c r="AF40" s="2">
        <f t="shared" si="3"/>
        <v>0</v>
      </c>
      <c r="AG40" s="2">
        <f t="shared" si="4"/>
        <v>0</v>
      </c>
      <c r="AH40" s="2" t="str">
        <f>IF(AF40 = 0, "", IF(AF40 = 1, VLOOKUP(I40, gemClasses, 2, FALSE), IF(AF40 = 2, VLOOKUP(I40, nasccClasses, 2, FALSE), IF(AF40 = 2.1, VLOOKUP(I40, nasccClasses, 2, FALSE), IF(AF40 = 2.2, VLOOKUP(I40, nasccClasses, 2, FALSE), IF(AF40 = 3, VLOOKUP(I40, euemClasses, 2, FALSE), IF(AF40 = 4, VLOOKUP(I40, wgtssClasses, 2, FALSE), IF(AF40 = 5, VLOOKUP(I40, wgtmClasses, 2, FALSE), IF(AF40 = 6, VLOOKUP(I40, wpcClasses, 2, FALSE), IF(AF40 = 7, VLOOKUP(I40, asmClasses, 2, FALSE), ""))))))))))</f>
        <v/>
      </c>
      <c r="AI40" s="2" t="str">
        <f t="shared" si="13"/>
        <v/>
      </c>
      <c r="AK40" s="2" t="str">
        <f t="shared" si="5"/>
        <v/>
      </c>
      <c r="AL40" s="2" t="str">
        <f t="shared" si="6"/>
        <v/>
      </c>
      <c r="AN40" s="2" t="str">
        <f>'Lineup Legality - FS'!L141</f>
        <v/>
      </c>
      <c r="AP40" s="2" t="str">
        <f>IF(H40 &lt;&gt; "", CONCATENATE("$", ROUND(SUM('Total Costs'!M39:V39), 3), " Million"), "")</f>
        <v/>
      </c>
    </row>
    <row r="41" spans="2:42" ht="18" customHeight="1" x14ac:dyDescent="0.3"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</row>
  </sheetData>
  <sheetProtection formatCells="0"/>
  <protectedRanges>
    <protectedRange sqref="C6:C40 E6:F40 H6:H40 K6:N40 P6:T40" name="Editable FSE"/>
  </protectedRanges>
  <mergeCells count="20">
    <mergeCell ref="AF4:AI4"/>
    <mergeCell ref="AF5:AG5"/>
    <mergeCell ref="B4:B5"/>
    <mergeCell ref="C4:D4"/>
    <mergeCell ref="H4:J4"/>
    <mergeCell ref="K4:O4"/>
    <mergeCell ref="U4:U5"/>
    <mergeCell ref="E4:G4"/>
    <mergeCell ref="P4:T4"/>
    <mergeCell ref="P5:S5"/>
    <mergeCell ref="B2:U2"/>
    <mergeCell ref="B3:U3"/>
    <mergeCell ref="X15:X16"/>
    <mergeCell ref="X17:X18"/>
    <mergeCell ref="AA4:AB4"/>
    <mergeCell ref="X21:X22"/>
    <mergeCell ref="X19:X20"/>
    <mergeCell ref="X6:X8"/>
    <mergeCell ref="X9:X11"/>
    <mergeCell ref="X12:X14"/>
  </mergeCells>
  <conditionalFormatting sqref="C6:C40">
    <cfRule type="cellIs" dxfId="307" priority="165" operator="equal">
      <formula>"Global Endurance Masters"</formula>
    </cfRule>
    <cfRule type="cellIs" dxfId="306" priority="166" operator="equal">
      <formula>"North American Sportscar Championship"</formula>
    </cfRule>
    <cfRule type="cellIs" dxfId="305" priority="189" operator="equal">
      <formula>"North American Sportscar Championship - SC"</formula>
    </cfRule>
    <cfRule type="cellIs" dxfId="304" priority="190" operator="equal">
      <formula>"North American Sportscar Championship - EC"</formula>
    </cfRule>
    <cfRule type="cellIs" dxfId="303" priority="191" operator="equal">
      <formula>"Eurasian Endurance Masters"</formula>
    </cfRule>
    <cfRule type="cellIs" dxfId="302" priority="192" operator="equal">
      <formula>"World GT Sprint Series"</formula>
    </cfRule>
    <cfRule type="cellIs" dxfId="301" priority="193" operator="equal">
      <formula>"World GT Masters"</formula>
    </cfRule>
    <cfRule type="cellIs" dxfId="300" priority="194" operator="equal">
      <formula>"World Prototype Challenge"</formula>
    </cfRule>
    <cfRule type="cellIs" dxfId="299" priority="196" operator="equal">
      <formula>"American Sportscar Masters"</formula>
    </cfRule>
  </conditionalFormatting>
  <conditionalFormatting sqref="D6:D40">
    <cfRule type="cellIs" dxfId="298" priority="50" operator="equal">
      <formula>"LMP1"</formula>
    </cfRule>
    <cfRule type="cellIs" dxfId="297" priority="110" operator="equal">
      <formula>"LMP2"</formula>
    </cfRule>
    <cfRule type="cellIs" dxfId="296" priority="111" operator="equal">
      <formula>"LMGTE PRO"</formula>
    </cfRule>
    <cfRule type="cellIs" dxfId="295" priority="163" operator="equal">
      <formula>"LMGTE AM"</formula>
    </cfRule>
    <cfRule type="cellIs" dxfId="294" priority="164" operator="equal">
      <formula>"DPi"</formula>
    </cfRule>
    <cfRule type="cellIs" dxfId="293" priority="168" operator="equal">
      <formula>" LMP2 "</formula>
    </cfRule>
    <cfRule type="cellIs" dxfId="292" priority="171" operator="equal">
      <formula>"GTLM"</formula>
    </cfRule>
    <cfRule type="cellIs" dxfId="291" priority="172" operator="equal">
      <formula>"GTD"</formula>
    </cfRule>
    <cfRule type="cellIs" dxfId="290" priority="173" operator="equal">
      <formula>"  LMP2  "</formula>
    </cfRule>
    <cfRule type="cellIs" dxfId="289" priority="174" operator="equal">
      <formula>"LMP3"</formula>
    </cfRule>
    <cfRule type="cellIs" dxfId="288" priority="175" operator="equal">
      <formula>"LMGTE"</formula>
    </cfRule>
    <cfRule type="cellIs" dxfId="287" priority="176" operator="equal">
      <formula>"GT3"</formula>
    </cfRule>
    <cfRule type="cellIs" dxfId="286" priority="178" operator="equal">
      <formula>"GT4"</formula>
    </cfRule>
    <cfRule type="cellIs" dxfId="285" priority="179" operator="equal">
      <formula>"GT3-P"</formula>
    </cfRule>
    <cfRule type="cellIs" dxfId="284" priority="180" operator="equal">
      <formula>"GT3-A"</formula>
    </cfRule>
    <cfRule type="cellIs" dxfId="283" priority="182" operator="equal">
      <formula>" GT4 "</formula>
    </cfRule>
    <cfRule type="cellIs" dxfId="282" priority="186" operator="equal">
      <formula>" LMP3 "</formula>
    </cfRule>
    <cfRule type="cellIs" dxfId="281" priority="187" operator="equal">
      <formula>" GT3 "</formula>
    </cfRule>
    <cfRule type="cellIs" dxfId="280" priority="188" operator="equal">
      <formula>"  GT4  "</formula>
    </cfRule>
  </conditionalFormatting>
  <conditionalFormatting sqref="G6:G40">
    <cfRule type="cellIs" dxfId="279" priority="54" operator="equal">
      <formula>"Continental"</formula>
    </cfRule>
    <cfRule type="cellIs" dxfId="278" priority="55" operator="equal">
      <formula>"Dunlop"</formula>
    </cfRule>
    <cfRule type="cellIs" dxfId="277" priority="56" operator="equal">
      <formula>"Michelin"</formula>
    </cfRule>
  </conditionalFormatting>
  <conditionalFormatting sqref="I6:I40">
    <cfRule type="cellIs" dxfId="276" priority="58" operator="equal">
      <formula>"LMP1-H"</formula>
    </cfRule>
    <cfRule type="cellIs" dxfId="275" priority="118" operator="equal">
      <formula>"LMP1-L"</formula>
    </cfRule>
    <cfRule type="cellIs" dxfId="274" priority="157" operator="equal">
      <formula>"DPi"</formula>
    </cfRule>
    <cfRule type="cellIs" dxfId="273" priority="158" operator="equal">
      <formula>"LMP2"</formula>
    </cfRule>
    <cfRule type="cellIs" dxfId="272" priority="159" operator="equal">
      <formula>"LMP3"</formula>
    </cfRule>
    <cfRule type="cellIs" dxfId="271" priority="160" operator="equal">
      <formula>"LMGTE"</formula>
    </cfRule>
    <cfRule type="cellIs" dxfId="270" priority="161" operator="equal">
      <formula>"GT3"</formula>
    </cfRule>
    <cfRule type="cellIs" dxfId="269" priority="162" operator="equal">
      <formula>"GT4"</formula>
    </cfRule>
  </conditionalFormatting>
  <conditionalFormatting sqref="J6:J40">
    <cfRule type="cellIs" dxfId="268" priority="3" operator="equal">
      <formula>"BR Engineering BR1"</formula>
    </cfRule>
    <cfRule type="cellIs" dxfId="267" priority="4" operator="equal">
      <formula>"ENSO CLM P1/01"</formula>
    </cfRule>
    <cfRule type="cellIs" dxfId="266" priority="5" operator="equal">
      <formula>"Ginetta G60-LT-P1"</formula>
    </cfRule>
    <cfRule type="cellIs" dxfId="265" priority="6" operator="equal">
      <formula>"Rebellion R13"</formula>
    </cfRule>
    <cfRule type="cellIs" dxfId="264" priority="7" operator="equal">
      <formula>"Porsche 919 Hybrid"</formula>
    </cfRule>
    <cfRule type="cellIs" dxfId="263" priority="8" operator="equal">
      <formula>"Toyota TS050 - Hybrid"</formula>
    </cfRule>
    <cfRule type="cellIs" dxfId="262" priority="9" operator="equal">
      <formula>"Acura ARX-05"</formula>
    </cfRule>
    <cfRule type="cellIs" dxfId="261" priority="10" operator="equal">
      <formula>"Cadillac DPi-V.R"</formula>
    </cfRule>
    <cfRule type="cellIs" dxfId="260" priority="11" operator="equal">
      <formula>"Mazda RT24-P"</formula>
    </cfRule>
    <cfRule type="cellIs" dxfId="259" priority="12" operator="equal">
      <formula>"Nissan Onroak DPi"</formula>
    </cfRule>
    <cfRule type="cellIs" dxfId="258" priority="13" operator="equal">
      <formula>"Dallara P217"</formula>
    </cfRule>
    <cfRule type="cellIs" dxfId="257" priority="14" operator="equal">
      <formula>"Ligier JS P217"</formula>
    </cfRule>
    <cfRule type="cellIs" dxfId="256" priority="15" operator="equal">
      <formula>"Oreca 07"</formula>
    </cfRule>
    <cfRule type="cellIs" dxfId="255" priority="16" operator="equal">
      <formula>"Riley-Multimatic Mk. 30"</formula>
    </cfRule>
    <cfRule type="cellIs" dxfId="254" priority="17" operator="equal">
      <formula>"ADESS-03"</formula>
    </cfRule>
    <cfRule type="cellIs" dxfId="253" priority="18" operator="equal">
      <formula>"Ginetta-Juno P3"</formula>
    </cfRule>
    <cfRule type="cellIs" dxfId="252" priority="19" operator="equal">
      <formula>"Ligier JS P3"</formula>
    </cfRule>
    <cfRule type="cellIs" dxfId="251" priority="20" operator="equal">
      <formula>"Norma M30"</formula>
    </cfRule>
    <cfRule type="cellIs" dxfId="250" priority="21" operator="equal">
      <formula>"Aston Martin Vantage GTE"</formula>
    </cfRule>
    <cfRule type="cellIs" dxfId="249" priority="22" operator="equal">
      <formula>"BMW M8 GTE"</formula>
    </cfRule>
    <cfRule type="cellIs" dxfId="248" priority="23" operator="equal">
      <formula>"Chevrolet Corvette C7.R"</formula>
    </cfRule>
    <cfRule type="cellIs" dxfId="247" priority="24" operator="equal">
      <formula>"Ferrari 488 GTE Evo"</formula>
    </cfRule>
    <cfRule type="cellIs" dxfId="246" priority="25" operator="equal">
      <formula>"Ford GT"</formula>
    </cfRule>
    <cfRule type="cellIs" dxfId="245" priority="26" operator="equal">
      <formula>"Porsche 911 RSR"</formula>
    </cfRule>
    <cfRule type="cellIs" dxfId="244" priority="27" operator="equal">
      <formula>"Acura NSX GT3"</formula>
    </cfRule>
    <cfRule type="cellIs" dxfId="243" priority="28" operator="equal">
      <formula>"Aston Martin Vantage GT3"</formula>
    </cfRule>
    <cfRule type="cellIs" dxfId="242" priority="29" operator="equal">
      <formula>"Audi R8 LMS"</formula>
    </cfRule>
    <cfRule type="cellIs" dxfId="241" priority="30" operator="equal">
      <formula>"Bentley Continental GT3"</formula>
    </cfRule>
    <cfRule type="cellIs" dxfId="240" priority="31" operator="equal">
      <formula>"BMW M6 GT3"</formula>
    </cfRule>
    <cfRule type="cellIs" dxfId="239" priority="32" operator="equal">
      <formula>"Callaway Corvette C7 GT3-R"</formula>
    </cfRule>
    <cfRule type="cellIs" dxfId="238" priority="33" operator="equal">
      <formula>"Ferrari 488 GT3"</formula>
    </cfRule>
    <cfRule type="cellIs" dxfId="237" priority="34" operator="equal">
      <formula>"Lamborghini Huracán GT3"</formula>
    </cfRule>
    <cfRule type="cellIs" dxfId="236" priority="35" operator="equal">
      <formula>"Lexus RC F GT3"</formula>
    </cfRule>
    <cfRule type="cellIs" dxfId="235" priority="36" operator="equal">
      <formula>"McLaren 650S GT3"</formula>
    </cfRule>
    <cfRule type="cellIs" dxfId="234" priority="37" operator="equal">
      <formula>"Mercedes-AMG GT3"</formula>
    </cfRule>
    <cfRule type="cellIs" dxfId="233" priority="38" operator="equal">
      <formula>"Nissan GT-R Nismo GT3"</formula>
    </cfRule>
    <cfRule type="cellIs" dxfId="232" priority="39" operator="equal">
      <formula>"Porsche 911 GT3 R"</formula>
    </cfRule>
    <cfRule type="cellIs" dxfId="231" priority="40" operator="equal">
      <formula>"Aston Martin V8 Vantage GT4"</formula>
    </cfRule>
    <cfRule type="cellIs" dxfId="230" priority="41" operator="equal">
      <formula>"Audi R8 LMS GT4"</formula>
    </cfRule>
    <cfRule type="cellIs" dxfId="229" priority="42" operator="equal">
      <formula>"Ekris M4 GT4"</formula>
    </cfRule>
    <cfRule type="cellIs" dxfId="228" priority="43" operator="equal">
      <formula>"Ford Mustang GT4"</formula>
    </cfRule>
    <cfRule type="cellIs" dxfId="227" priority="44" operator="equal">
      <formula>"Ginetta G55 GT4"</formula>
    </cfRule>
    <cfRule type="cellIs" dxfId="226" priority="45" operator="equal">
      <formula>"KTM X-Bow GT4"</formula>
    </cfRule>
    <cfRule type="cellIs" dxfId="225" priority="46" operator="equal">
      <formula>"Maserati GranTurismo MC GT4"</formula>
    </cfRule>
    <cfRule type="cellIs" dxfId="224" priority="47" operator="equal">
      <formula>"Nissan 370Z GT4"</formula>
    </cfRule>
    <cfRule type="cellIs" dxfId="223" priority="48" operator="equal">
      <formula>"McLaren 570S GT4"</formula>
    </cfRule>
    <cfRule type="cellIs" dxfId="222" priority="49" operator="equal">
      <formula>"Porsche Cayman GT4 Clubsport MR"</formula>
    </cfRule>
  </conditionalFormatting>
  <conditionalFormatting sqref="K6:N40">
    <cfRule type="cellIs" dxfId="221" priority="197" operator="equal">
      <formula>"Platinum"</formula>
    </cfRule>
    <cfRule type="cellIs" dxfId="220" priority="198" operator="equal">
      <formula>"Gold"</formula>
    </cfRule>
    <cfRule type="cellIs" dxfId="219" priority="199" operator="equal">
      <formula>"Silver"</formula>
    </cfRule>
    <cfRule type="cellIs" dxfId="218" priority="200" operator="equal">
      <formula>"Bronze"</formula>
    </cfRule>
  </conditionalFormatting>
  <conditionalFormatting sqref="O6:O40">
    <cfRule type="cellIs" dxfId="217" priority="1" operator="equal">
      <formula>TRUE</formula>
    </cfRule>
    <cfRule type="cellIs" dxfId="216" priority="2" operator="equal">
      <formula>FALSE</formula>
    </cfRule>
  </conditionalFormatting>
  <conditionalFormatting sqref="AA6:AA40">
    <cfRule type="cellIs" dxfId="215" priority="57" operator="equal">
      <formula>"LMP1-H"</formula>
    </cfRule>
    <cfRule type="cellIs" dxfId="214" priority="65" operator="equal">
      <formula>"LMP1-L"</formula>
    </cfRule>
    <cfRule type="cellIs" dxfId="213" priority="104" operator="equal">
      <formula>"DPi"</formula>
    </cfRule>
    <cfRule type="cellIs" dxfId="212" priority="105" operator="equal">
      <formula>"LMP2"</formula>
    </cfRule>
    <cfRule type="cellIs" dxfId="211" priority="106" operator="equal">
      <formula>"LMP3"</formula>
    </cfRule>
    <cfRule type="cellIs" dxfId="210" priority="107" operator="equal">
      <formula>"GTE"</formula>
    </cfRule>
    <cfRule type="cellIs" dxfId="209" priority="108" operator="equal">
      <formula>"GT3"</formula>
    </cfRule>
    <cfRule type="cellIs" dxfId="208" priority="109" operator="equal">
      <formula>"GT4"</formula>
    </cfRule>
  </conditionalFormatting>
  <conditionalFormatting sqref="AB6:AB40">
    <cfRule type="cellIs" dxfId="207" priority="59" operator="equal">
      <formula>"Audi R18"</formula>
    </cfRule>
    <cfRule type="cellIs" dxfId="206" priority="60" operator="equal">
      <formula>"Porsche 919 Hybrid"</formula>
    </cfRule>
    <cfRule type="cellIs" dxfId="205" priority="61" operator="equal">
      <formula>"Toyota TS050 Hybrid"</formula>
    </cfRule>
    <cfRule type="cellIs" dxfId="204" priority="62" operator="equal">
      <formula>"ENSO CLM P1/01"</formula>
    </cfRule>
    <cfRule type="cellIs" dxfId="203" priority="63" operator="equal">
      <formula>"Cadillac DPi-V.R"</formula>
    </cfRule>
    <cfRule type="cellIs" dxfId="202" priority="64" operator="equal">
      <formula>"Mazda RT24-P"</formula>
    </cfRule>
    <cfRule type="cellIs" dxfId="201" priority="66" operator="equal">
      <formula>"Nissan Onroak DPi"</formula>
    </cfRule>
    <cfRule type="cellIs" dxfId="200" priority="67" operator="equal">
      <formula>"Dallara P217"</formula>
    </cfRule>
    <cfRule type="cellIs" dxfId="199" priority="68" operator="equal">
      <formula>"Ligier JS P217"</formula>
    </cfRule>
    <cfRule type="cellIs" dxfId="198" priority="69" operator="equal">
      <formula>"Oreca 07"</formula>
    </cfRule>
    <cfRule type="cellIs" dxfId="197" priority="70" operator="equal">
      <formula>"Riley-Multimatic Mk. 30"</formula>
    </cfRule>
    <cfRule type="cellIs" dxfId="196" priority="71" operator="equal">
      <formula>"ADESS-03"</formula>
    </cfRule>
    <cfRule type="cellIs" dxfId="195" priority="72" operator="equal">
      <formula>"Ginetta-Juno P3"</formula>
    </cfRule>
    <cfRule type="cellIs" dxfId="194" priority="73" operator="equal">
      <formula>"Ligier JS P3"</formula>
    </cfRule>
    <cfRule type="cellIs" dxfId="193" priority="74" operator="equal">
      <formula>"Norma M30"</formula>
    </cfRule>
    <cfRule type="cellIs" dxfId="192" priority="75" operator="equal">
      <formula>"Aston Martin Vantage GTE"</formula>
    </cfRule>
    <cfRule type="cellIs" dxfId="191" priority="76" operator="equal">
      <formula>"BMW M6 GTLM"</formula>
    </cfRule>
    <cfRule type="cellIs" dxfId="190" priority="77" operator="equal">
      <formula>"Chevrolet Corvette C7.R"</formula>
    </cfRule>
    <cfRule type="cellIs" dxfId="189" priority="78" operator="equal">
      <formula>"Ferrari 488 GTE"</formula>
    </cfRule>
    <cfRule type="cellIs" dxfId="188" priority="79" operator="equal">
      <formula>"Ford GT"</formula>
    </cfRule>
    <cfRule type="cellIs" dxfId="187" priority="80" operator="equal">
      <formula>"Porsche 911 RSR"</formula>
    </cfRule>
    <cfRule type="cellIs" dxfId="186" priority="81" operator="equal">
      <formula>"Acura NSX GT3"</formula>
    </cfRule>
    <cfRule type="cellIs" dxfId="185" priority="82" operator="equal">
      <formula>"Aston Martin V12 Vantage GT3"</formula>
    </cfRule>
    <cfRule type="cellIs" dxfId="184" priority="83" operator="equal">
      <formula>"Audi R8 LMS"</formula>
    </cfRule>
    <cfRule type="cellIs" dxfId="183" priority="84" operator="equal">
      <formula>"Bentley Continental GT3"</formula>
    </cfRule>
    <cfRule type="cellIs" dxfId="182" priority="85" operator="equal">
      <formula>"BMW M6 GT3"</formula>
    </cfRule>
    <cfRule type="cellIs" dxfId="181" priority="86" operator="equal">
      <formula>"Callaway Corvette C7 GT3-R"</formula>
    </cfRule>
    <cfRule type="cellIs" dxfId="180" priority="87" operator="equal">
      <formula>"Ferrari 488 GT3"</formula>
    </cfRule>
    <cfRule type="cellIs" dxfId="179" priority="88" operator="equal">
      <formula>"Lamborghini Huracan GT3"</formula>
    </cfRule>
    <cfRule type="cellIs" dxfId="178" priority="89" operator="equal">
      <formula>"Lexus RC F GT3"</formula>
    </cfRule>
    <cfRule type="cellIs" dxfId="177" priority="90" operator="equal">
      <formula>"McLaren 650S GT3"</formula>
    </cfRule>
    <cfRule type="cellIs" dxfId="176" priority="91" operator="equal">
      <formula>"Mercedes-AMG GT3"</formula>
    </cfRule>
    <cfRule type="cellIs" dxfId="175" priority="92" operator="equal">
      <formula>"Nissan GT-R Nismo GT3"</formula>
    </cfRule>
    <cfRule type="cellIs" dxfId="174" priority="93" operator="equal">
      <formula>"Porsche 911 GT3 R"</formula>
    </cfRule>
    <cfRule type="cellIs" dxfId="173" priority="94" operator="equal">
      <formula>"Aston Martin V8 Vantage GT4"</formula>
    </cfRule>
    <cfRule type="cellIs" dxfId="172" priority="95" operator="equal">
      <formula>"Audi R8 LMS GT4"</formula>
    </cfRule>
    <cfRule type="cellIs" dxfId="171" priority="96" operator="equal">
      <formula>"Ekris M4 GT4"</formula>
    </cfRule>
    <cfRule type="cellIs" dxfId="170" priority="97" operator="equal">
      <formula>"Ford Mustang GT4"</formula>
    </cfRule>
    <cfRule type="cellIs" dxfId="169" priority="98" operator="equal">
      <formula>"Ginetta G55 GT4"</formula>
    </cfRule>
    <cfRule type="cellIs" dxfId="168" priority="99" operator="equal">
      <formula>"KTM X-Bow GT4"</formula>
    </cfRule>
    <cfRule type="cellIs" dxfId="167" priority="100" operator="equal">
      <formula>"Maserati GranTurismo MC GT4"</formula>
    </cfRule>
    <cfRule type="cellIs" dxfId="166" priority="101" operator="equal">
      <formula>"Nissan 370Z GT4"</formula>
    </cfRule>
    <cfRule type="cellIs" dxfId="165" priority="102" operator="equal">
      <formula>"McLaren 570S GT4"</formula>
    </cfRule>
    <cfRule type="cellIs" dxfId="164" priority="103" operator="equal">
      <formula>"Porsche Cayman GT4 Clubsport MR"</formula>
    </cfRule>
  </conditionalFormatting>
  <conditionalFormatting sqref="AD6:AD40">
    <cfRule type="cellIs" dxfId="163" priority="51" operator="equal">
      <formula>"Continental"</formula>
    </cfRule>
    <cfRule type="cellIs" dxfId="162" priority="52" operator="equal">
      <formula>"Dunlop"</formula>
    </cfRule>
    <cfRule type="cellIs" dxfId="161" priority="53" operator="equal">
      <formula>"Michelin"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EEEA-16BD-47A6-BFF1-C10151C7961D}">
  <dimension ref="B1:AT41"/>
  <sheetViews>
    <sheetView workbookViewId="0">
      <selection activeCell="J6" sqref="J6"/>
    </sheetView>
  </sheetViews>
  <sheetFormatPr defaultColWidth="8.88671875" defaultRowHeight="18" customHeight="1" x14ac:dyDescent="0.3"/>
  <cols>
    <col min="1" max="1" width="3.33203125" style="1" customWidth="1"/>
    <col min="2" max="2" width="8.88671875" style="1"/>
    <col min="3" max="3" width="28.88671875" style="1" customWidth="1"/>
    <col min="4" max="4" width="14.44140625" style="1" customWidth="1"/>
    <col min="5" max="5" width="11.109375" style="1" customWidth="1"/>
    <col min="6" max="6" width="8.88671875" style="1"/>
    <col min="7" max="7" width="35.5546875" style="1" customWidth="1"/>
    <col min="8" max="8" width="13.33203125" style="1" customWidth="1"/>
    <col min="9" max="9" width="10" style="1" customWidth="1"/>
    <col min="10" max="10" width="11.109375" style="1" customWidth="1"/>
    <col min="11" max="11" width="8.88671875" style="1"/>
    <col min="12" max="12" width="34.44140625" style="1" customWidth="1"/>
    <col min="13" max="18" width="11.109375" style="1" customWidth="1"/>
    <col min="19" max="19" width="6.6640625" style="1" customWidth="1"/>
    <col min="20" max="20" width="11.109375" style="1" customWidth="1"/>
    <col min="21" max="21" width="6.6640625" style="1" customWidth="1"/>
    <col min="22" max="22" width="11.109375" style="1" customWidth="1"/>
    <col min="23" max="23" width="14.44140625" style="1" customWidth="1"/>
    <col min="24" max="25" width="3.33203125" style="1" customWidth="1"/>
    <col min="26" max="26" width="32.21875" style="1" customWidth="1"/>
    <col min="27" max="27" width="3.33203125" style="1" customWidth="1"/>
    <col min="28" max="28" width="3.33203125" style="1" hidden="1" customWidth="1"/>
    <col min="29" max="29" width="8.88671875" style="1" hidden="1" customWidth="1"/>
    <col min="30" max="30" width="34.44140625" style="1" hidden="1" customWidth="1"/>
    <col min="31" max="31" width="3.33203125" style="1" hidden="1" customWidth="1"/>
    <col min="32" max="32" width="13.33203125" style="1" hidden="1" customWidth="1"/>
    <col min="33" max="33" width="3.33203125" style="1" hidden="1" customWidth="1"/>
    <col min="34" max="34" width="11.109375" style="1" hidden="1" customWidth="1"/>
    <col min="35" max="36" width="8.88671875" style="1" hidden="1" customWidth="1"/>
    <col min="37" max="38" width="11.109375" style="1" hidden="1" customWidth="1"/>
    <col min="39" max="39" width="3.33203125" style="1" hidden="1" customWidth="1"/>
    <col min="40" max="41" width="11.109375" style="1" hidden="1" customWidth="1"/>
    <col min="42" max="42" width="3.33203125" style="1" hidden="1" customWidth="1"/>
    <col min="43" max="43" width="13.33203125" style="1" hidden="1" customWidth="1"/>
    <col min="44" max="44" width="3.33203125" style="1" hidden="1" customWidth="1"/>
    <col min="45" max="45" width="11.109375" style="1" hidden="1" customWidth="1"/>
    <col min="46" max="46" width="3.33203125" style="1" hidden="1" customWidth="1"/>
    <col min="47" max="16384" width="8.88671875" style="1"/>
  </cols>
  <sheetData>
    <row r="1" spans="2:45" ht="18" customHeight="1" thickBot="1" x14ac:dyDescent="0.35"/>
    <row r="2" spans="2:45" ht="18" customHeight="1" thickBot="1" x14ac:dyDescent="0.35">
      <c r="B2" s="252" t="s">
        <v>401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4"/>
    </row>
    <row r="3" spans="2:45" ht="18" customHeight="1" thickBot="1" x14ac:dyDescent="0.35">
      <c r="B3" s="237" t="s">
        <v>444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9"/>
      <c r="Z3" s="46" t="s">
        <v>443</v>
      </c>
    </row>
    <row r="4" spans="2:45" ht="18" customHeight="1" thickBot="1" x14ac:dyDescent="0.35">
      <c r="B4" s="279" t="s">
        <v>204</v>
      </c>
      <c r="C4" s="269" t="s">
        <v>205</v>
      </c>
      <c r="D4" s="270"/>
      <c r="E4" s="271"/>
      <c r="F4" s="269" t="s">
        <v>208</v>
      </c>
      <c r="G4" s="270"/>
      <c r="H4" s="270"/>
      <c r="I4" s="271"/>
      <c r="J4" s="272" t="s">
        <v>209</v>
      </c>
      <c r="K4" s="273"/>
      <c r="L4" s="274"/>
      <c r="M4" s="272" t="s">
        <v>216</v>
      </c>
      <c r="N4" s="273"/>
      <c r="O4" s="273"/>
      <c r="P4" s="273"/>
      <c r="Q4" s="274"/>
      <c r="R4" s="272" t="s">
        <v>400</v>
      </c>
      <c r="S4" s="411"/>
      <c r="T4" s="411"/>
      <c r="U4" s="411"/>
      <c r="V4" s="273"/>
      <c r="W4" s="279" t="s">
        <v>217</v>
      </c>
      <c r="Z4" s="48" t="s">
        <v>218</v>
      </c>
      <c r="AC4" s="332" t="s">
        <v>219</v>
      </c>
      <c r="AD4" s="332"/>
      <c r="AH4" s="332" t="s">
        <v>220</v>
      </c>
      <c r="AI4" s="332"/>
      <c r="AJ4" s="332"/>
      <c r="AK4" s="332"/>
      <c r="AL4" s="332"/>
    </row>
    <row r="5" spans="2:45" ht="18" customHeight="1" thickBot="1" x14ac:dyDescent="0.35">
      <c r="B5" s="290"/>
      <c r="C5" s="49" t="s">
        <v>265</v>
      </c>
      <c r="D5" s="49" t="s">
        <v>260</v>
      </c>
      <c r="E5" s="49" t="s">
        <v>32</v>
      </c>
      <c r="F5" s="43" t="s">
        <v>206</v>
      </c>
      <c r="G5" s="45" t="s">
        <v>207</v>
      </c>
      <c r="H5" s="50" t="s">
        <v>369</v>
      </c>
      <c r="I5" s="49" t="s">
        <v>266</v>
      </c>
      <c r="J5" s="49" t="s">
        <v>210</v>
      </c>
      <c r="K5" s="49" t="s">
        <v>8</v>
      </c>
      <c r="L5" s="49" t="s">
        <v>0</v>
      </c>
      <c r="M5" s="43" t="s">
        <v>211</v>
      </c>
      <c r="N5" s="44" t="s">
        <v>212</v>
      </c>
      <c r="O5" s="44" t="s">
        <v>213</v>
      </c>
      <c r="P5" s="45" t="s">
        <v>214</v>
      </c>
      <c r="Q5" s="49" t="s">
        <v>215</v>
      </c>
      <c r="R5" s="269" t="s">
        <v>394</v>
      </c>
      <c r="S5" s="270"/>
      <c r="T5" s="270"/>
      <c r="U5" s="270"/>
      <c r="V5" s="187" t="s">
        <v>393</v>
      </c>
      <c r="W5" s="239"/>
      <c r="Z5" s="49" t="s">
        <v>277</v>
      </c>
      <c r="AC5" s="2" t="s">
        <v>8</v>
      </c>
      <c r="AD5" s="2" t="s">
        <v>0</v>
      </c>
      <c r="AF5" s="2" t="s">
        <v>369</v>
      </c>
      <c r="AH5" s="2" t="s">
        <v>267</v>
      </c>
      <c r="AI5" s="412" t="s">
        <v>229</v>
      </c>
      <c r="AJ5" s="412"/>
      <c r="AK5" s="33" t="s">
        <v>221</v>
      </c>
      <c r="AL5" s="33" t="s">
        <v>222</v>
      </c>
      <c r="AQ5" s="2" t="s">
        <v>441</v>
      </c>
      <c r="AS5" s="2" t="s">
        <v>442</v>
      </c>
    </row>
    <row r="6" spans="2:45" ht="18" customHeight="1" x14ac:dyDescent="0.3">
      <c r="B6" s="46" t="str">
        <f>IF(D6 &lt;&gt; "", 1, "")</f>
        <v/>
      </c>
      <c r="C6" s="85"/>
      <c r="D6" s="85" t="str">
        <f>IF(ISERROR(AH6), "", AH6)</f>
        <v/>
      </c>
      <c r="E6" s="46" t="str">
        <f>IF(ISERROR(AL6), "", AL6)</f>
        <v/>
      </c>
      <c r="F6" s="99"/>
      <c r="G6" s="100"/>
      <c r="H6" s="156" t="str">
        <f>IF(ISERROR(AF6), "", IF(AF6 = 0, "", AF6))</f>
        <v/>
      </c>
      <c r="I6" s="85"/>
      <c r="J6" s="85"/>
      <c r="K6" s="46" t="str">
        <f>IF(ISERROR(AC6), "", AC6)</f>
        <v/>
      </c>
      <c r="L6" s="79" t="str">
        <f>IF(ISERROR(AD6), "", AD6)</f>
        <v/>
      </c>
      <c r="M6" s="99"/>
      <c r="N6" s="33"/>
      <c r="O6" s="33"/>
      <c r="P6" s="100"/>
      <c r="Q6" s="85" t="str">
        <f>IF(ISERROR(AQ6), "", AQ6)</f>
        <v/>
      </c>
      <c r="R6" s="189"/>
      <c r="S6" s="33"/>
      <c r="T6" s="33"/>
      <c r="U6" s="190"/>
      <c r="V6" s="46"/>
      <c r="W6" s="46" t="str">
        <f>IF(ISERROR(AS6), "", AS6)</f>
        <v/>
      </c>
      <c r="Z6" s="277" t="s">
        <v>273</v>
      </c>
      <c r="AC6" s="2" t="str">
        <f t="shared" ref="AC6:AC40" si="0">IF(J6 &lt;&gt; "", IF(VLOOKUP(J6, purchasedCars, 2, FALSE) = "", "", VLOOKUP(J6, purchasedCars, 2, FALSE)),"")</f>
        <v/>
      </c>
      <c r="AD6" s="4" t="str">
        <f t="shared" ref="AD6:AD40" si="1">IF(J6 &lt;&gt; "", IF(VLOOKUP(J6, purchasedCars, 3, FALSE) = "", "", VLOOKUP(J6, purchasedCars, 3, FALSE)),"")</f>
        <v/>
      </c>
      <c r="AF6" s="2" t="str">
        <f t="shared" ref="AF6:AF40" si="2">IF(AI6 = 1, VLOOKUP(TRIM(AL6), gemSupplier, 2, FALSE), IF(AI6 = 2, VLOOKUP(TRIM(AL6), nasccSupplier, 2, FALSE), IF(AI6 = 2.1, VLOOKUP(TRIM(AL6), nasccSupplier, 2, FALSE), IF(AI6 = 2.2, VLOOKUP(TRIM(AL6), nasccSupplier, 2, FALSE), IF(AI6 = 3, VLOOKUP(TRIM(AL6), euemSupplier, 2, FALSE), IF(AI6 = 4, VLOOKUP(TRIM(AL6), wgtssSupplier, 2, FALSE), IF(AI6 = 5, VLOOKUP(TRIM(AL6), wgtmSupplier, 2, FALSE), IF(AI6 = 7, VLOOKUP(TRIM(AL6), asmSupplier, 2, FALSE), ""))))))))</f>
        <v/>
      </c>
      <c r="AH6" s="2" t="str">
        <f t="shared" ref="AH6:AH40" si="3">IF(C6 &lt;&gt; "", VLOOKUP(C6, oneOffs, 2, FALSE), "")</f>
        <v/>
      </c>
      <c r="AI6" s="2">
        <f t="shared" ref="AI6:AI40" si="4">IF(D6 &lt;&gt; "", VLOOKUP(D6, seriesCodeClasses, 2, FALSE), 0)</f>
        <v>0</v>
      </c>
      <c r="AJ6" s="2">
        <f t="shared" ref="AJ6:AJ40" si="5">IF(AL6 &lt;&gt; "", VLOOKUP(AL6, classIndexes, 2, FALSE), 0)</f>
        <v>0</v>
      </c>
      <c r="AK6" s="2" t="str">
        <f>IF(AI6 = 0, "", IF(AI6 = 1, VLOOKUP(K6, gemClasses, 2, FALSE), IF(AI6 = 2, VLOOKUP(K6, nasccClasses, 2, FALSE), IF(AI6 = 2.1, VLOOKUP(K6, nasccClasses, 2, FALSE), IF(AI6 = 2.2, VLOOKUP(K6, nasccClasses, 2, FALSE), IF(AI6 = 3, VLOOKUP(K6, euemClasses, 2, FALSE), IF(AI6 = 4, VLOOKUP(K6, wgtssClasses, 2, FALSE), IF(AI6 = 5, VLOOKUP(K6, wgtmClasses, 2, FALSE), IF(AI6 = 6, VLOOKUP(K6, wpcClasses, 2, FALSE), IF(AI6 = 7, VLOOKUP(K6, asmClasses, 2, FALSE), ""))))))))))</f>
        <v/>
      </c>
      <c r="AL6" s="2" t="str">
        <f>IF(AI6 = 1, AN6, IF(AI6 = 5, AO6, AK6))</f>
        <v/>
      </c>
      <c r="AN6" s="2" t="str">
        <f t="shared" ref="AN6:AN40" si="6">IF(AND(IF(AK6 = "LMGTE PRO", TRUE, FALSE), IF(O6 = "Bronze", TRUE, FALSE)), "LMGTE AM", AK6)</f>
        <v/>
      </c>
      <c r="AO6" s="2" t="str">
        <f t="shared" ref="AO6:AO40" si="7">IF(AND(IF(AK6 = "GT3-P", TRUE, FALSE), IF(O6 = "Bronze", TRUE, FALSE)), "GT3-A", AK6)</f>
        <v/>
      </c>
      <c r="AQ6" s="2" t="str">
        <f>'Lineup Legality - OOE'!L5</f>
        <v/>
      </c>
      <c r="AS6" s="2" t="str">
        <f>IF(J6 &lt;&gt; "", CONCATENATE("$", ROUND(SUM('Total Costs'!AZ5:BI5), 3), " Million"), "")</f>
        <v/>
      </c>
    </row>
    <row r="7" spans="2:45" ht="18" customHeight="1" x14ac:dyDescent="0.3">
      <c r="B7" s="47" t="str">
        <f>IF(D7 &lt;&gt; "", B6 + 1, "")</f>
        <v/>
      </c>
      <c r="C7" s="47"/>
      <c r="D7" s="47" t="str">
        <f t="shared" ref="D7:D40" si="8">IF(ISERROR(AH7), "", AH7)</f>
        <v/>
      </c>
      <c r="E7" s="47" t="str">
        <f t="shared" ref="E7:E40" si="9">IF(ISERROR(AL7), "", AL7)</f>
        <v/>
      </c>
      <c r="F7" s="51"/>
      <c r="G7" s="52"/>
      <c r="H7" s="87" t="str">
        <f t="shared" ref="H7:H40" si="10">IF(ISERROR(AF7), "", IF(AF7 = 0, "", AF7))</f>
        <v/>
      </c>
      <c r="I7" s="47"/>
      <c r="J7" s="47"/>
      <c r="K7" s="47" t="str">
        <f t="shared" ref="K7:L40" si="11">IF(ISERROR(AC7), "", AC7)</f>
        <v/>
      </c>
      <c r="L7" s="79" t="str">
        <f t="shared" si="11"/>
        <v/>
      </c>
      <c r="M7" s="51"/>
      <c r="N7" s="2"/>
      <c r="O7" s="2"/>
      <c r="P7" s="52"/>
      <c r="Q7" s="47" t="str">
        <f>'Lineup Legality - OOE'!L9</f>
        <v/>
      </c>
      <c r="R7" s="188"/>
      <c r="S7" s="2"/>
      <c r="T7" s="2"/>
      <c r="U7" s="22"/>
      <c r="V7" s="47"/>
      <c r="W7" s="47" t="str">
        <f t="shared" ref="W7:W40" si="12">IF(ISERROR(AS7), "", AS7)</f>
        <v/>
      </c>
      <c r="Z7" s="380"/>
      <c r="AC7" s="2" t="str">
        <f t="shared" si="0"/>
        <v/>
      </c>
      <c r="AD7" s="4" t="str">
        <f t="shared" si="1"/>
        <v/>
      </c>
      <c r="AF7" s="2" t="str">
        <f t="shared" si="2"/>
        <v/>
      </c>
      <c r="AH7" s="2" t="str">
        <f t="shared" si="3"/>
        <v/>
      </c>
      <c r="AI7" s="2">
        <f t="shared" si="4"/>
        <v>0</v>
      </c>
      <c r="AJ7" s="2">
        <f t="shared" si="5"/>
        <v>0</v>
      </c>
      <c r="AK7" s="2" t="str">
        <f>IF(AI7 = 0, "", IF(AI7 = 1, VLOOKUP(K7, gemClasses, 2, FALSE), IF(AI7 = 2, VLOOKUP(K7, nasccClasses, 2, FALSE), IF(AI7 = 2.1, VLOOKUP(K7, nasccClasses, 2, FALSE), IF(AI7 = 2.2, VLOOKUP(K7, nasccClasses, 2, FALSE), IF(AI7 = 3, VLOOKUP(K7, euemClasses, 2, FALSE), IF(AI7 = 4, VLOOKUP(K7, wgtssClasses, 2, FALSE), IF(AI7 = 5, VLOOKUP(K7, wgtmClasses, 2, FALSE), IF(AI7 = 6, VLOOKUP(K7, wpcClasses, 2, FALSE), IF(AI7 = 7, VLOOKUP(K7, asmClasses, 2, FALSE), ""))))))))))</f>
        <v/>
      </c>
      <c r="AL7" s="2" t="str">
        <f t="shared" ref="AL7:AL40" si="13">IF(AI7 = 1, AN7, IF(AI7 = 5, AO7, AK7))</f>
        <v/>
      </c>
      <c r="AN7" s="2" t="str">
        <f t="shared" si="6"/>
        <v/>
      </c>
      <c r="AO7" s="2" t="str">
        <f t="shared" si="7"/>
        <v/>
      </c>
      <c r="AQ7" s="2" t="str">
        <f>'Lineup Legality - OOE'!L9</f>
        <v/>
      </c>
      <c r="AS7" s="2" t="str">
        <f>IF(J7 &lt;&gt; "", CONCATENATE("$", ROUND(SUM('Total Costs'!AZ6:BI6), 3), " Million"), "")</f>
        <v/>
      </c>
    </row>
    <row r="8" spans="2:45" ht="18" customHeight="1" x14ac:dyDescent="0.3">
      <c r="B8" s="47" t="str">
        <f t="shared" ref="B8:B40" si="14">IF(D8 &lt;&gt; "", B7 + 1, "")</f>
        <v/>
      </c>
      <c r="C8" s="47"/>
      <c r="D8" s="47" t="str">
        <f t="shared" si="8"/>
        <v/>
      </c>
      <c r="E8" s="47" t="str">
        <f t="shared" si="9"/>
        <v/>
      </c>
      <c r="F8" s="51"/>
      <c r="G8" s="52"/>
      <c r="H8" s="87" t="str">
        <f t="shared" si="10"/>
        <v/>
      </c>
      <c r="I8" s="47"/>
      <c r="J8" s="47"/>
      <c r="K8" s="47" t="str">
        <f t="shared" si="11"/>
        <v/>
      </c>
      <c r="L8" s="79" t="str">
        <f t="shared" si="11"/>
        <v/>
      </c>
      <c r="M8" s="51"/>
      <c r="N8" s="2"/>
      <c r="O8" s="2"/>
      <c r="P8" s="52"/>
      <c r="Q8" s="47" t="str">
        <f>'Lineup Legality - OOE'!L13</f>
        <v/>
      </c>
      <c r="R8" s="188"/>
      <c r="S8" s="2"/>
      <c r="T8" s="2"/>
      <c r="U8" s="22"/>
      <c r="V8" s="47"/>
      <c r="W8" s="47" t="str">
        <f t="shared" si="12"/>
        <v/>
      </c>
      <c r="Z8" s="380"/>
      <c r="AC8" s="2" t="str">
        <f t="shared" si="0"/>
        <v/>
      </c>
      <c r="AD8" s="4" t="str">
        <f t="shared" si="1"/>
        <v/>
      </c>
      <c r="AF8" s="2" t="str">
        <f t="shared" si="2"/>
        <v/>
      </c>
      <c r="AH8" s="2" t="str">
        <f t="shared" si="3"/>
        <v/>
      </c>
      <c r="AI8" s="2">
        <f t="shared" si="4"/>
        <v>0</v>
      </c>
      <c r="AJ8" s="2">
        <f t="shared" si="5"/>
        <v>0</v>
      </c>
      <c r="AK8" s="2" t="str">
        <f>IF(AI8 = 0, "", IF(AI8 = 1, VLOOKUP(K8, gemClasses, 2, FALSE), IF(AI8 = 2, VLOOKUP(K8, nasccClasses, 2, FALSE), IF(AI8 = 2.1, VLOOKUP(K8, nasccClasses, 2, FALSE), IF(AI8 = 2.2, VLOOKUP(K8, nasccClasses, 2, FALSE), IF(AI8 = 3, VLOOKUP(K8, euemClasses, 2, FALSE), IF(AI8 = 4, VLOOKUP(K8, wgtssClasses, 2, FALSE), IF(AI8 = 5, VLOOKUP(K8, wgtmClasses, 2, FALSE), IF(AI8 = 6, VLOOKUP(K8, wpcClasses, 2, FALSE), IF(AI8 = 7, VLOOKUP(K8, asmClasses, 2, FALSE), ""))))))))))</f>
        <v/>
      </c>
      <c r="AL8" s="2" t="str">
        <f t="shared" si="13"/>
        <v/>
      </c>
      <c r="AN8" s="2" t="str">
        <f t="shared" si="6"/>
        <v/>
      </c>
      <c r="AO8" s="2" t="str">
        <f t="shared" si="7"/>
        <v/>
      </c>
      <c r="AQ8" s="2" t="str">
        <f>'Lineup Legality - OOE'!L13</f>
        <v/>
      </c>
      <c r="AS8" s="2" t="str">
        <f>IF(J8 &lt;&gt; "", CONCATENATE("$", ROUND(SUM('Total Costs'!AZ7:BI7), 3), " Million"), "")</f>
        <v/>
      </c>
    </row>
    <row r="9" spans="2:45" ht="18" customHeight="1" x14ac:dyDescent="0.3">
      <c r="B9" s="47" t="str">
        <f t="shared" si="14"/>
        <v/>
      </c>
      <c r="C9" s="47"/>
      <c r="D9" s="47" t="str">
        <f t="shared" si="8"/>
        <v/>
      </c>
      <c r="E9" s="47" t="str">
        <f t="shared" si="9"/>
        <v/>
      </c>
      <c r="F9" s="51"/>
      <c r="G9" s="52"/>
      <c r="H9" s="87" t="str">
        <f t="shared" si="10"/>
        <v/>
      </c>
      <c r="I9" s="47"/>
      <c r="J9" s="47"/>
      <c r="K9" s="47" t="str">
        <f t="shared" si="11"/>
        <v/>
      </c>
      <c r="L9" s="79" t="str">
        <f t="shared" si="11"/>
        <v/>
      </c>
      <c r="M9" s="51"/>
      <c r="N9" s="2"/>
      <c r="O9" s="2"/>
      <c r="P9" s="52"/>
      <c r="Q9" s="47" t="str">
        <f>'Lineup Legality - OOE'!L17</f>
        <v/>
      </c>
      <c r="R9" s="188"/>
      <c r="S9" s="2"/>
      <c r="T9" s="2"/>
      <c r="U9" s="22"/>
      <c r="V9" s="47"/>
      <c r="W9" s="47" t="str">
        <f t="shared" si="12"/>
        <v/>
      </c>
      <c r="Z9" s="380" t="s">
        <v>274</v>
      </c>
      <c r="AC9" s="2" t="str">
        <f t="shared" si="0"/>
        <v/>
      </c>
      <c r="AD9" s="4" t="str">
        <f t="shared" si="1"/>
        <v/>
      </c>
      <c r="AF9" s="2" t="str">
        <f t="shared" si="2"/>
        <v/>
      </c>
      <c r="AH9" s="2" t="str">
        <f t="shared" si="3"/>
        <v/>
      </c>
      <c r="AI9" s="2">
        <f t="shared" si="4"/>
        <v>0</v>
      </c>
      <c r="AJ9" s="2">
        <f t="shared" si="5"/>
        <v>0</v>
      </c>
      <c r="AK9" s="2" t="str">
        <f>IF(AI9 = 0, "", IF(AI9 = 1, VLOOKUP(K9, gemClasses, 2, FALSE), IF(AI9 = 2, VLOOKUP(K9, nasccClasses, 2, FALSE), IF(AI9 = 2.1, VLOOKUP(K9, nasccClasses, 2, FALSE), IF(AI9 = 2.2, VLOOKUP(K9, nasccClasses, 2, FALSE), IF(AI9 = 3, VLOOKUP(K9, euemClasses, 2, FALSE), IF(AI9 = 4, VLOOKUP(K9, wgtssClasses, 2, FALSE), IF(AI9 = 5, VLOOKUP(K9, wgtmClasses, 2, FALSE), IF(AI9 = 6, VLOOKUP(K9, wpcClasses, 2, FALSE), IF(AI9 = 7, VLOOKUP(K9, asmClasses, 2, FALSE), ""))))))))))</f>
        <v/>
      </c>
      <c r="AL9" s="2" t="str">
        <f t="shared" si="13"/>
        <v/>
      </c>
      <c r="AN9" s="2" t="str">
        <f t="shared" si="6"/>
        <v/>
      </c>
      <c r="AO9" s="2" t="str">
        <f t="shared" si="7"/>
        <v/>
      </c>
      <c r="AQ9" s="2" t="str">
        <f>'Lineup Legality - OOE'!L17</f>
        <v/>
      </c>
      <c r="AS9" s="2" t="str">
        <f>IF(J9 &lt;&gt; "", CONCATENATE("$", ROUND(SUM('Total Costs'!AZ8:BI8), 3), " Million"), "")</f>
        <v/>
      </c>
    </row>
    <row r="10" spans="2:45" ht="18" customHeight="1" x14ac:dyDescent="0.3">
      <c r="B10" s="47" t="str">
        <f t="shared" si="14"/>
        <v/>
      </c>
      <c r="C10" s="47"/>
      <c r="D10" s="47" t="str">
        <f t="shared" si="8"/>
        <v/>
      </c>
      <c r="E10" s="47" t="str">
        <f t="shared" si="9"/>
        <v/>
      </c>
      <c r="F10" s="51"/>
      <c r="G10" s="52"/>
      <c r="H10" s="87" t="str">
        <f t="shared" si="10"/>
        <v/>
      </c>
      <c r="I10" s="47"/>
      <c r="J10" s="47"/>
      <c r="K10" s="47" t="str">
        <f t="shared" si="11"/>
        <v/>
      </c>
      <c r="L10" s="79" t="str">
        <f t="shared" si="11"/>
        <v/>
      </c>
      <c r="M10" s="51"/>
      <c r="N10" s="2"/>
      <c r="O10" s="2"/>
      <c r="P10" s="52"/>
      <c r="Q10" s="47" t="str">
        <f>'Lineup Legality - OOE'!L21</f>
        <v/>
      </c>
      <c r="R10" s="188"/>
      <c r="S10" s="2"/>
      <c r="T10" s="2"/>
      <c r="U10" s="22"/>
      <c r="V10" s="47"/>
      <c r="W10" s="47" t="str">
        <f t="shared" si="12"/>
        <v/>
      </c>
      <c r="Z10" s="380"/>
      <c r="AC10" s="2" t="str">
        <f t="shared" si="0"/>
        <v/>
      </c>
      <c r="AD10" s="4" t="str">
        <f t="shared" si="1"/>
        <v/>
      </c>
      <c r="AF10" s="2" t="str">
        <f t="shared" si="2"/>
        <v/>
      </c>
      <c r="AH10" s="2" t="str">
        <f t="shared" si="3"/>
        <v/>
      </c>
      <c r="AI10" s="2">
        <f t="shared" si="4"/>
        <v>0</v>
      </c>
      <c r="AJ10" s="2">
        <f t="shared" si="5"/>
        <v>0</v>
      </c>
      <c r="AK10" s="2" t="str">
        <f>IF(AI10 = 0, "", IF(AI10 = 1, VLOOKUP(K10, gemClasses, 2, FALSE), IF(AI10 = 2, VLOOKUP(K10, nasccClasses, 2, FALSE), IF(AI10 = 2.1, VLOOKUP(K10, nasccClasses, 2, FALSE), IF(AI10 = 2.2, VLOOKUP(K10, nasccClasses, 2, FALSE), IF(AI10 = 3, VLOOKUP(K10, euemClasses, 2, FALSE), IF(AI10 = 4, VLOOKUP(K10, wgtssClasses, 2, FALSE), IF(AI10 = 5, VLOOKUP(K10, wgtmClasses, 2, FALSE), IF(AI10 = 6, VLOOKUP(K10, wpcClasses, 2, FALSE), IF(AI10 = 7, VLOOKUP(K10, asmClasses, 2, FALSE), ""))))))))))</f>
        <v/>
      </c>
      <c r="AL10" s="2" t="str">
        <f t="shared" si="13"/>
        <v/>
      </c>
      <c r="AN10" s="2" t="str">
        <f t="shared" si="6"/>
        <v/>
      </c>
      <c r="AO10" s="2" t="str">
        <f t="shared" si="7"/>
        <v/>
      </c>
      <c r="AQ10" s="2" t="str">
        <f>'Lineup Legality - OOE'!L21</f>
        <v/>
      </c>
      <c r="AS10" s="2" t="str">
        <f>IF(J10 &lt;&gt; "", CONCATENATE("$", ROUND(SUM('Total Costs'!AZ9:BI9), 3), " Million"), "")</f>
        <v/>
      </c>
    </row>
    <row r="11" spans="2:45" ht="18" customHeight="1" x14ac:dyDescent="0.3">
      <c r="B11" s="47" t="str">
        <f t="shared" si="14"/>
        <v/>
      </c>
      <c r="C11" s="47"/>
      <c r="D11" s="47" t="str">
        <f t="shared" si="8"/>
        <v/>
      </c>
      <c r="E11" s="47" t="str">
        <f t="shared" si="9"/>
        <v/>
      </c>
      <c r="F11" s="51"/>
      <c r="G11" s="52"/>
      <c r="H11" s="87" t="str">
        <f t="shared" si="10"/>
        <v/>
      </c>
      <c r="I11" s="47"/>
      <c r="J11" s="47"/>
      <c r="K11" s="47" t="str">
        <f t="shared" si="11"/>
        <v/>
      </c>
      <c r="L11" s="79" t="str">
        <f t="shared" si="11"/>
        <v/>
      </c>
      <c r="M11" s="51"/>
      <c r="N11" s="2"/>
      <c r="O11" s="2"/>
      <c r="P11" s="52"/>
      <c r="Q11" s="47" t="str">
        <f>'Lineup Legality - OOE'!L25</f>
        <v/>
      </c>
      <c r="R11" s="188"/>
      <c r="S11" s="2"/>
      <c r="T11" s="2"/>
      <c r="U11" s="22"/>
      <c r="V11" s="47"/>
      <c r="W11" s="47" t="str">
        <f t="shared" si="12"/>
        <v/>
      </c>
      <c r="Z11" s="380"/>
      <c r="AC11" s="2" t="str">
        <f t="shared" si="0"/>
        <v/>
      </c>
      <c r="AD11" s="4" t="str">
        <f t="shared" si="1"/>
        <v/>
      </c>
      <c r="AF11" s="2" t="str">
        <f t="shared" si="2"/>
        <v/>
      </c>
      <c r="AH11" s="2" t="str">
        <f t="shared" si="3"/>
        <v/>
      </c>
      <c r="AI11" s="2">
        <f t="shared" si="4"/>
        <v>0</v>
      </c>
      <c r="AJ11" s="2">
        <f t="shared" si="5"/>
        <v>0</v>
      </c>
      <c r="AK11" s="2" t="str">
        <f>IF(AI11 = 0, "", IF(AI11 = 1, VLOOKUP(K11, gemClasses, 2, FALSE), IF(AI11 = 2, VLOOKUP(K11, nasccClasses, 2, FALSE), IF(AI11 = 2.1, VLOOKUP(K11, nasccClasses, 2, FALSE), IF(AI11 = 2.2, VLOOKUP(K11, nasccClasses, 2, FALSE), IF(AI11 = 3, VLOOKUP(K11, euemClasses, 2, FALSE), IF(AI11 = 4, VLOOKUP(K11, wgtssClasses, 2, FALSE), IF(AI11 = 5, VLOOKUP(K11, wgtmClasses, 2, FALSE), IF(AI11 = 6, VLOOKUP(K11, wpcClasses, 2, FALSE), IF(AI11 = 7, VLOOKUP(K11, asmClasses, 2, FALSE), ""))))))))))</f>
        <v/>
      </c>
      <c r="AL11" s="2" t="str">
        <f t="shared" si="13"/>
        <v/>
      </c>
      <c r="AN11" s="2" t="str">
        <f t="shared" si="6"/>
        <v/>
      </c>
      <c r="AO11" s="2" t="str">
        <f t="shared" si="7"/>
        <v/>
      </c>
      <c r="AQ11" s="2" t="str">
        <f>'Lineup Legality - OOE'!L25</f>
        <v/>
      </c>
      <c r="AS11" s="2" t="str">
        <f>IF(J11 &lt;&gt; "", CONCATENATE("$", ROUND(SUM('Total Costs'!AZ10:BI10), 3), " Million"), "")</f>
        <v/>
      </c>
    </row>
    <row r="12" spans="2:45" ht="18" customHeight="1" x14ac:dyDescent="0.3">
      <c r="B12" s="47" t="str">
        <f t="shared" si="14"/>
        <v/>
      </c>
      <c r="C12" s="47"/>
      <c r="D12" s="47" t="str">
        <f t="shared" si="8"/>
        <v/>
      </c>
      <c r="E12" s="47" t="str">
        <f t="shared" si="9"/>
        <v/>
      </c>
      <c r="F12" s="51"/>
      <c r="G12" s="52"/>
      <c r="H12" s="87" t="str">
        <f t="shared" si="10"/>
        <v/>
      </c>
      <c r="I12" s="47"/>
      <c r="J12" s="47"/>
      <c r="K12" s="47" t="str">
        <f t="shared" si="11"/>
        <v/>
      </c>
      <c r="L12" s="79" t="str">
        <f t="shared" si="11"/>
        <v/>
      </c>
      <c r="M12" s="51"/>
      <c r="N12" s="2"/>
      <c r="O12" s="2"/>
      <c r="P12" s="52"/>
      <c r="Q12" s="47" t="str">
        <f>'Lineup Legality - OOE'!L29</f>
        <v/>
      </c>
      <c r="R12" s="188"/>
      <c r="S12" s="2"/>
      <c r="T12" s="2"/>
      <c r="U12" s="22"/>
      <c r="V12" s="47"/>
      <c r="W12" s="47" t="str">
        <f t="shared" si="12"/>
        <v/>
      </c>
      <c r="Z12" s="380" t="s">
        <v>275</v>
      </c>
      <c r="AC12" s="2" t="str">
        <f t="shared" si="0"/>
        <v/>
      </c>
      <c r="AD12" s="4" t="str">
        <f t="shared" si="1"/>
        <v/>
      </c>
      <c r="AF12" s="2" t="str">
        <f t="shared" si="2"/>
        <v/>
      </c>
      <c r="AH12" s="2" t="str">
        <f t="shared" si="3"/>
        <v/>
      </c>
      <c r="AI12" s="2">
        <f t="shared" si="4"/>
        <v>0</v>
      </c>
      <c r="AJ12" s="2">
        <f t="shared" si="5"/>
        <v>0</v>
      </c>
      <c r="AK12" s="2" t="str">
        <f>IF(AI12 = 0, "", IF(AI12 = 1, VLOOKUP(K12, gemClasses, 2, FALSE), IF(AI12 = 2, VLOOKUP(K12, nasccClasses, 2, FALSE), IF(AI12 = 2.1, VLOOKUP(K12, nasccClasses, 2, FALSE), IF(AI12 = 2.2, VLOOKUP(K12, nasccClasses, 2, FALSE), IF(AI12 = 3, VLOOKUP(K12, euemClasses, 2, FALSE), IF(AI12 = 4, VLOOKUP(K12, wgtssClasses, 2, FALSE), IF(AI12 = 5, VLOOKUP(K12, wgtmClasses, 2, FALSE), IF(AI12 = 6, VLOOKUP(K12, wpcClasses, 2, FALSE), IF(AI12 = 7, VLOOKUP(K12, asmClasses, 2, FALSE), ""))))))))))</f>
        <v/>
      </c>
      <c r="AL12" s="2" t="str">
        <f t="shared" si="13"/>
        <v/>
      </c>
      <c r="AN12" s="2" t="str">
        <f t="shared" si="6"/>
        <v/>
      </c>
      <c r="AO12" s="2" t="str">
        <f t="shared" si="7"/>
        <v/>
      </c>
      <c r="AQ12" s="2" t="str">
        <f>'Lineup Legality - OOE'!L29</f>
        <v/>
      </c>
      <c r="AS12" s="2" t="str">
        <f>IF(J12 &lt;&gt; "", CONCATENATE("$", ROUND(SUM('Total Costs'!AZ11:BI11), 3), " Million"), "")</f>
        <v/>
      </c>
    </row>
    <row r="13" spans="2:45" ht="18" customHeight="1" x14ac:dyDescent="0.3">
      <c r="B13" s="47" t="str">
        <f t="shared" si="14"/>
        <v/>
      </c>
      <c r="C13" s="47"/>
      <c r="D13" s="47" t="str">
        <f t="shared" si="8"/>
        <v/>
      </c>
      <c r="E13" s="47" t="str">
        <f t="shared" si="9"/>
        <v/>
      </c>
      <c r="F13" s="51"/>
      <c r="G13" s="52"/>
      <c r="H13" s="87" t="str">
        <f t="shared" si="10"/>
        <v/>
      </c>
      <c r="I13" s="47"/>
      <c r="J13" s="47"/>
      <c r="K13" s="47" t="str">
        <f t="shared" si="11"/>
        <v/>
      </c>
      <c r="L13" s="79" t="str">
        <f t="shared" si="11"/>
        <v/>
      </c>
      <c r="M13" s="51"/>
      <c r="N13" s="2"/>
      <c r="O13" s="2"/>
      <c r="P13" s="52"/>
      <c r="Q13" s="47" t="str">
        <f>'Lineup Legality - OOE'!L33</f>
        <v/>
      </c>
      <c r="R13" s="188"/>
      <c r="S13" s="2"/>
      <c r="T13" s="2"/>
      <c r="U13" s="22"/>
      <c r="V13" s="47"/>
      <c r="W13" s="47" t="str">
        <f t="shared" si="12"/>
        <v/>
      </c>
      <c r="Z13" s="380"/>
      <c r="AC13" s="2" t="str">
        <f t="shared" si="0"/>
        <v/>
      </c>
      <c r="AD13" s="4" t="str">
        <f t="shared" si="1"/>
        <v/>
      </c>
      <c r="AF13" s="2" t="str">
        <f t="shared" si="2"/>
        <v/>
      </c>
      <c r="AH13" s="2" t="str">
        <f t="shared" si="3"/>
        <v/>
      </c>
      <c r="AI13" s="2">
        <f t="shared" si="4"/>
        <v>0</v>
      </c>
      <c r="AJ13" s="2">
        <f t="shared" si="5"/>
        <v>0</v>
      </c>
      <c r="AK13" s="2" t="str">
        <f>IF(AI13 = 0, "", IF(AI13 = 1, VLOOKUP(K13, gemClasses, 2, FALSE), IF(AI13 = 2, VLOOKUP(K13, nasccClasses, 2, FALSE), IF(AI13 = 2.1, VLOOKUP(K13, nasccClasses, 2, FALSE), IF(AI13 = 2.2, VLOOKUP(K13, nasccClasses, 2, FALSE), IF(AI13 = 3, VLOOKUP(K13, euemClasses, 2, FALSE), IF(AI13 = 4, VLOOKUP(K13, wgtssClasses, 2, FALSE), IF(AI13 = 5, VLOOKUP(K13, wgtmClasses, 2, FALSE), IF(AI13 = 6, VLOOKUP(K13, wpcClasses, 2, FALSE), IF(AI13 = 7, VLOOKUP(K13, asmClasses, 2, FALSE), ""))))))))))</f>
        <v/>
      </c>
      <c r="AL13" s="2" t="str">
        <f t="shared" si="13"/>
        <v/>
      </c>
      <c r="AN13" s="2" t="str">
        <f t="shared" si="6"/>
        <v/>
      </c>
      <c r="AO13" s="2" t="str">
        <f t="shared" si="7"/>
        <v/>
      </c>
      <c r="AQ13" s="2" t="str">
        <f>'Lineup Legality - OOE'!L33</f>
        <v/>
      </c>
      <c r="AS13" s="2" t="str">
        <f>IF(J13 &lt;&gt; "", CONCATENATE("$", ROUND(SUM('Total Costs'!AZ12:BI12), 3), " Million"), "")</f>
        <v/>
      </c>
    </row>
    <row r="14" spans="2:45" ht="18" customHeight="1" x14ac:dyDescent="0.3">
      <c r="B14" s="47" t="str">
        <f t="shared" si="14"/>
        <v/>
      </c>
      <c r="C14" s="47"/>
      <c r="D14" s="47" t="str">
        <f t="shared" si="8"/>
        <v/>
      </c>
      <c r="E14" s="47" t="str">
        <f t="shared" si="9"/>
        <v/>
      </c>
      <c r="F14" s="51"/>
      <c r="G14" s="52"/>
      <c r="H14" s="87" t="str">
        <f t="shared" si="10"/>
        <v/>
      </c>
      <c r="I14" s="47"/>
      <c r="J14" s="47"/>
      <c r="K14" s="47" t="str">
        <f t="shared" si="11"/>
        <v/>
      </c>
      <c r="L14" s="79" t="str">
        <f t="shared" si="11"/>
        <v/>
      </c>
      <c r="M14" s="51"/>
      <c r="N14" s="2"/>
      <c r="O14" s="2"/>
      <c r="P14" s="52"/>
      <c r="Q14" s="47" t="str">
        <f>'Lineup Legality - OOE'!L37</f>
        <v/>
      </c>
      <c r="R14" s="188"/>
      <c r="S14" s="2"/>
      <c r="T14" s="2"/>
      <c r="U14" s="22"/>
      <c r="V14" s="47"/>
      <c r="W14" s="47" t="str">
        <f t="shared" si="12"/>
        <v/>
      </c>
      <c r="Z14" s="380"/>
      <c r="AC14" s="2" t="str">
        <f t="shared" si="0"/>
        <v/>
      </c>
      <c r="AD14" s="4" t="str">
        <f t="shared" si="1"/>
        <v/>
      </c>
      <c r="AF14" s="2" t="str">
        <f t="shared" si="2"/>
        <v/>
      </c>
      <c r="AH14" s="2" t="str">
        <f t="shared" si="3"/>
        <v/>
      </c>
      <c r="AI14" s="2">
        <f t="shared" si="4"/>
        <v>0</v>
      </c>
      <c r="AJ14" s="2">
        <f t="shared" si="5"/>
        <v>0</v>
      </c>
      <c r="AK14" s="2" t="str">
        <f>IF(AI14 = 0, "", IF(AI14 = 1, VLOOKUP(K14, gemClasses, 2, FALSE), IF(AI14 = 2, VLOOKUP(K14, nasccClasses, 2, FALSE), IF(AI14 = 2.1, VLOOKUP(K14, nasccClasses, 2, FALSE), IF(AI14 = 2.2, VLOOKUP(K14, nasccClasses, 2, FALSE), IF(AI14 = 3, VLOOKUP(K14, euemClasses, 2, FALSE), IF(AI14 = 4, VLOOKUP(K14, wgtssClasses, 2, FALSE), IF(AI14 = 5, VLOOKUP(K14, wgtmClasses, 2, FALSE), IF(AI14 = 6, VLOOKUP(K14, wpcClasses, 2, FALSE), IF(AI14 = 7, VLOOKUP(K14, asmClasses, 2, FALSE), ""))))))))))</f>
        <v/>
      </c>
      <c r="AL14" s="2" t="str">
        <f t="shared" si="13"/>
        <v/>
      </c>
      <c r="AN14" s="2" t="str">
        <f t="shared" si="6"/>
        <v/>
      </c>
      <c r="AO14" s="2" t="str">
        <f t="shared" si="7"/>
        <v/>
      </c>
      <c r="AQ14" s="2" t="str">
        <f>'Lineup Legality - OOE'!L37</f>
        <v/>
      </c>
      <c r="AS14" s="2" t="str">
        <f>IF(J14 &lt;&gt; "", CONCATENATE("$", ROUND(SUM('Total Costs'!AZ13:BI13), 3), " Million"), "")</f>
        <v/>
      </c>
    </row>
    <row r="15" spans="2:45" ht="18" customHeight="1" x14ac:dyDescent="0.3">
      <c r="B15" s="47" t="str">
        <f t="shared" si="14"/>
        <v/>
      </c>
      <c r="C15" s="47"/>
      <c r="D15" s="47" t="str">
        <f t="shared" si="8"/>
        <v/>
      </c>
      <c r="E15" s="47" t="str">
        <f t="shared" si="9"/>
        <v/>
      </c>
      <c r="F15" s="51"/>
      <c r="G15" s="52"/>
      <c r="H15" s="87" t="str">
        <f t="shared" si="10"/>
        <v/>
      </c>
      <c r="I15" s="47"/>
      <c r="J15" s="47"/>
      <c r="K15" s="47" t="str">
        <f t="shared" si="11"/>
        <v/>
      </c>
      <c r="L15" s="79" t="str">
        <f t="shared" si="11"/>
        <v/>
      </c>
      <c r="M15" s="51"/>
      <c r="N15" s="2"/>
      <c r="O15" s="2"/>
      <c r="P15" s="52"/>
      <c r="Q15" s="47" t="str">
        <f>'Lineup Legality - OOE'!L41</f>
        <v/>
      </c>
      <c r="R15" s="188"/>
      <c r="S15" s="2"/>
      <c r="T15" s="2"/>
      <c r="U15" s="22"/>
      <c r="V15" s="47"/>
      <c r="W15" s="47" t="str">
        <f t="shared" si="12"/>
        <v/>
      </c>
      <c r="Z15" s="278" t="s">
        <v>497</v>
      </c>
      <c r="AC15" s="2" t="str">
        <f t="shared" si="0"/>
        <v/>
      </c>
      <c r="AD15" s="4" t="str">
        <f t="shared" si="1"/>
        <v/>
      </c>
      <c r="AF15" s="2" t="str">
        <f t="shared" si="2"/>
        <v/>
      </c>
      <c r="AH15" s="2" t="str">
        <f t="shared" si="3"/>
        <v/>
      </c>
      <c r="AI15" s="2">
        <f t="shared" si="4"/>
        <v>0</v>
      </c>
      <c r="AJ15" s="2">
        <f t="shared" si="5"/>
        <v>0</v>
      </c>
      <c r="AK15" s="2" t="str">
        <f>IF(AI15 = 0, "", IF(AI15 = 1, VLOOKUP(K15, gemClasses, 2, FALSE), IF(AI15 = 2, VLOOKUP(K15, nasccClasses, 2, FALSE), IF(AI15 = 2.1, VLOOKUP(K15, nasccClasses, 2, FALSE), IF(AI15 = 2.2, VLOOKUP(K15, nasccClasses, 2, FALSE), IF(AI15 = 3, VLOOKUP(K15, euemClasses, 2, FALSE), IF(AI15 = 4, VLOOKUP(K15, wgtssClasses, 2, FALSE), IF(AI15 = 5, VLOOKUP(K15, wgtmClasses, 2, FALSE), IF(AI15 = 6, VLOOKUP(K15, wpcClasses, 2, FALSE), IF(AI15 = 7, VLOOKUP(K15, asmClasses, 2, FALSE), ""))))))))))</f>
        <v/>
      </c>
      <c r="AL15" s="2" t="str">
        <f t="shared" si="13"/>
        <v/>
      </c>
      <c r="AN15" s="2" t="str">
        <f t="shared" si="6"/>
        <v/>
      </c>
      <c r="AO15" s="2" t="str">
        <f t="shared" si="7"/>
        <v/>
      </c>
      <c r="AQ15" s="2" t="str">
        <f>'Lineup Legality - OOE'!L41</f>
        <v/>
      </c>
      <c r="AS15" s="2" t="str">
        <f>IF(J15 &lt;&gt; "", CONCATENATE("$", ROUND(SUM('Total Costs'!AZ14:BI14), 3), " Million"), "")</f>
        <v/>
      </c>
    </row>
    <row r="16" spans="2:45" ht="18" customHeight="1" x14ac:dyDescent="0.3">
      <c r="B16" s="47" t="str">
        <f t="shared" si="14"/>
        <v/>
      </c>
      <c r="C16" s="47"/>
      <c r="D16" s="47" t="str">
        <f t="shared" si="8"/>
        <v/>
      </c>
      <c r="E16" s="47" t="str">
        <f t="shared" si="9"/>
        <v/>
      </c>
      <c r="F16" s="51"/>
      <c r="G16" s="52"/>
      <c r="H16" s="87" t="str">
        <f t="shared" si="10"/>
        <v/>
      </c>
      <c r="I16" s="47"/>
      <c r="J16" s="47"/>
      <c r="K16" s="47" t="str">
        <f t="shared" si="11"/>
        <v/>
      </c>
      <c r="L16" s="79" t="str">
        <f t="shared" si="11"/>
        <v/>
      </c>
      <c r="M16" s="51"/>
      <c r="N16" s="2"/>
      <c r="O16" s="2"/>
      <c r="P16" s="52"/>
      <c r="Q16" s="47" t="str">
        <f>'Lineup Legality - OOE'!L45</f>
        <v/>
      </c>
      <c r="R16" s="188"/>
      <c r="S16" s="2"/>
      <c r="T16" s="2"/>
      <c r="U16" s="22"/>
      <c r="V16" s="47"/>
      <c r="W16" s="47" t="str">
        <f t="shared" si="12"/>
        <v/>
      </c>
      <c r="Z16" s="403"/>
      <c r="AC16" s="2" t="str">
        <f t="shared" si="0"/>
        <v/>
      </c>
      <c r="AD16" s="4" t="str">
        <f t="shared" si="1"/>
        <v/>
      </c>
      <c r="AF16" s="2" t="str">
        <f t="shared" si="2"/>
        <v/>
      </c>
      <c r="AH16" s="2" t="str">
        <f t="shared" si="3"/>
        <v/>
      </c>
      <c r="AI16" s="2">
        <f t="shared" si="4"/>
        <v>0</v>
      </c>
      <c r="AJ16" s="2">
        <f t="shared" si="5"/>
        <v>0</v>
      </c>
      <c r="AK16" s="2" t="str">
        <f>IF(AI16 = 0, "", IF(AI16 = 1, VLOOKUP(K16, gemClasses, 2, FALSE), IF(AI16 = 2, VLOOKUP(K16, nasccClasses, 2, FALSE), IF(AI16 = 2.1, VLOOKUP(K16, nasccClasses, 2, FALSE), IF(AI16 = 2.2, VLOOKUP(K16, nasccClasses, 2, FALSE), IF(AI16 = 3, VLOOKUP(K16, euemClasses, 2, FALSE), IF(AI16 = 4, VLOOKUP(K16, wgtssClasses, 2, FALSE), IF(AI16 = 5, VLOOKUP(K16, wgtmClasses, 2, FALSE), IF(AI16 = 6, VLOOKUP(K16, wpcClasses, 2, FALSE), IF(AI16 = 7, VLOOKUP(K16, asmClasses, 2, FALSE), ""))))))))))</f>
        <v/>
      </c>
      <c r="AL16" s="2" t="str">
        <f t="shared" si="13"/>
        <v/>
      </c>
      <c r="AN16" s="2" t="str">
        <f t="shared" si="6"/>
        <v/>
      </c>
      <c r="AO16" s="2" t="str">
        <f t="shared" si="7"/>
        <v/>
      </c>
      <c r="AQ16" s="2" t="str">
        <f>'Lineup Legality - OOE'!L45</f>
        <v/>
      </c>
      <c r="AS16" s="2" t="str">
        <f>IF(J16 &lt;&gt; "", CONCATENATE("$", ROUND(SUM('Total Costs'!AZ15:BI15), 3), " Million"), "")</f>
        <v/>
      </c>
    </row>
    <row r="17" spans="2:45" ht="18" customHeight="1" x14ac:dyDescent="0.3">
      <c r="B17" s="47" t="str">
        <f t="shared" si="14"/>
        <v/>
      </c>
      <c r="C17" s="47"/>
      <c r="D17" s="47" t="str">
        <f t="shared" si="8"/>
        <v/>
      </c>
      <c r="E17" s="47" t="str">
        <f t="shared" si="9"/>
        <v/>
      </c>
      <c r="F17" s="51"/>
      <c r="G17" s="52"/>
      <c r="H17" s="87" t="str">
        <f t="shared" si="10"/>
        <v/>
      </c>
      <c r="I17" s="47"/>
      <c r="J17" s="47"/>
      <c r="K17" s="47" t="str">
        <f t="shared" si="11"/>
        <v/>
      </c>
      <c r="L17" s="79" t="str">
        <f t="shared" si="11"/>
        <v/>
      </c>
      <c r="M17" s="51"/>
      <c r="N17" s="2"/>
      <c r="O17" s="2"/>
      <c r="P17" s="52"/>
      <c r="Q17" s="47" t="str">
        <f>'Lineup Legality - OOE'!L49</f>
        <v/>
      </c>
      <c r="R17" s="188"/>
      <c r="S17" s="2"/>
      <c r="T17" s="2"/>
      <c r="U17" s="22"/>
      <c r="V17" s="47"/>
      <c r="W17" s="47" t="str">
        <f t="shared" si="12"/>
        <v/>
      </c>
      <c r="Z17" s="278" t="s">
        <v>496</v>
      </c>
      <c r="AC17" s="2" t="str">
        <f t="shared" si="0"/>
        <v/>
      </c>
      <c r="AD17" s="4" t="str">
        <f t="shared" si="1"/>
        <v/>
      </c>
      <c r="AF17" s="2" t="str">
        <f t="shared" si="2"/>
        <v/>
      </c>
      <c r="AH17" s="2" t="str">
        <f t="shared" si="3"/>
        <v/>
      </c>
      <c r="AI17" s="2">
        <f t="shared" si="4"/>
        <v>0</v>
      </c>
      <c r="AJ17" s="2">
        <f t="shared" si="5"/>
        <v>0</v>
      </c>
      <c r="AK17" s="2" t="str">
        <f>IF(AI17 = 0, "", IF(AI17 = 1, VLOOKUP(K17, gemClasses, 2, FALSE), IF(AI17 = 2, VLOOKUP(K17, nasccClasses, 2, FALSE), IF(AI17 = 2.1, VLOOKUP(K17, nasccClasses, 2, FALSE), IF(AI17 = 2.2, VLOOKUP(K17, nasccClasses, 2, FALSE), IF(AI17 = 3, VLOOKUP(K17, euemClasses, 2, FALSE), IF(AI17 = 4, VLOOKUP(K17, wgtssClasses, 2, FALSE), IF(AI17 = 5, VLOOKUP(K17, wgtmClasses, 2, FALSE), IF(AI17 = 6, VLOOKUP(K17, wpcClasses, 2, FALSE), IF(AI17 = 7, VLOOKUP(K17, asmClasses, 2, FALSE), ""))))))))))</f>
        <v/>
      </c>
      <c r="AL17" s="2" t="str">
        <f t="shared" si="13"/>
        <v/>
      </c>
      <c r="AN17" s="2" t="str">
        <f t="shared" si="6"/>
        <v/>
      </c>
      <c r="AO17" s="2" t="str">
        <f t="shared" si="7"/>
        <v/>
      </c>
      <c r="AQ17" s="2" t="str">
        <f>'Lineup Legality - OOE'!L49</f>
        <v/>
      </c>
      <c r="AS17" s="2" t="str">
        <f>IF(J17 &lt;&gt; "", CONCATENATE("$", ROUND(SUM('Total Costs'!AZ16:BI16), 3), " Million"), "")</f>
        <v/>
      </c>
    </row>
    <row r="18" spans="2:45" ht="18" customHeight="1" x14ac:dyDescent="0.3">
      <c r="B18" s="47" t="str">
        <f t="shared" si="14"/>
        <v/>
      </c>
      <c r="C18" s="47"/>
      <c r="D18" s="47" t="str">
        <f t="shared" si="8"/>
        <v/>
      </c>
      <c r="E18" s="47" t="str">
        <f t="shared" si="9"/>
        <v/>
      </c>
      <c r="F18" s="51"/>
      <c r="G18" s="52"/>
      <c r="H18" s="87" t="str">
        <f t="shared" si="10"/>
        <v/>
      </c>
      <c r="I18" s="47"/>
      <c r="J18" s="47"/>
      <c r="K18" s="47" t="str">
        <f t="shared" si="11"/>
        <v/>
      </c>
      <c r="L18" s="79" t="str">
        <f t="shared" si="11"/>
        <v/>
      </c>
      <c r="M18" s="51"/>
      <c r="N18" s="2"/>
      <c r="O18" s="2"/>
      <c r="P18" s="52"/>
      <c r="Q18" s="47" t="str">
        <f>'Lineup Legality - OOE'!L53</f>
        <v/>
      </c>
      <c r="R18" s="188"/>
      <c r="S18" s="2"/>
      <c r="T18" s="2"/>
      <c r="U18" s="22"/>
      <c r="V18" s="47"/>
      <c r="W18" s="47" t="str">
        <f t="shared" si="12"/>
        <v/>
      </c>
      <c r="Z18" s="403"/>
      <c r="AC18" s="2" t="str">
        <f t="shared" si="0"/>
        <v/>
      </c>
      <c r="AD18" s="4" t="str">
        <f t="shared" si="1"/>
        <v/>
      </c>
      <c r="AF18" s="2" t="str">
        <f t="shared" si="2"/>
        <v/>
      </c>
      <c r="AH18" s="2" t="str">
        <f t="shared" si="3"/>
        <v/>
      </c>
      <c r="AI18" s="2">
        <f t="shared" si="4"/>
        <v>0</v>
      </c>
      <c r="AJ18" s="2">
        <f t="shared" si="5"/>
        <v>0</v>
      </c>
      <c r="AK18" s="2" t="str">
        <f>IF(AI18 = 0, "", IF(AI18 = 1, VLOOKUP(K18, gemClasses, 2, FALSE), IF(AI18 = 2, VLOOKUP(K18, nasccClasses, 2, FALSE), IF(AI18 = 2.1, VLOOKUP(K18, nasccClasses, 2, FALSE), IF(AI18 = 2.2, VLOOKUP(K18, nasccClasses, 2, FALSE), IF(AI18 = 3, VLOOKUP(K18, euemClasses, 2, FALSE), IF(AI18 = 4, VLOOKUP(K18, wgtssClasses, 2, FALSE), IF(AI18 = 5, VLOOKUP(K18, wgtmClasses, 2, FALSE), IF(AI18 = 6, VLOOKUP(K18, wpcClasses, 2, FALSE), IF(AI18 = 7, VLOOKUP(K18, asmClasses, 2, FALSE), ""))))))))))</f>
        <v/>
      </c>
      <c r="AL18" s="2" t="str">
        <f t="shared" si="13"/>
        <v/>
      </c>
      <c r="AN18" s="2" t="str">
        <f t="shared" si="6"/>
        <v/>
      </c>
      <c r="AO18" s="2" t="str">
        <f t="shared" si="7"/>
        <v/>
      </c>
      <c r="AQ18" s="2" t="str">
        <f>'Lineup Legality - OOE'!L53</f>
        <v/>
      </c>
      <c r="AS18" s="2" t="str">
        <f>IF(J18 &lt;&gt; "", CONCATENATE("$", ROUND(SUM('Total Costs'!AZ17:BI17), 3), " Million"), "")</f>
        <v/>
      </c>
    </row>
    <row r="19" spans="2:45" ht="18" customHeight="1" x14ac:dyDescent="0.3">
      <c r="B19" s="47" t="str">
        <f t="shared" si="14"/>
        <v/>
      </c>
      <c r="C19" s="47"/>
      <c r="D19" s="47" t="str">
        <f t="shared" si="8"/>
        <v/>
      </c>
      <c r="E19" s="47" t="str">
        <f t="shared" si="9"/>
        <v/>
      </c>
      <c r="F19" s="51"/>
      <c r="G19" s="52"/>
      <c r="H19" s="87" t="str">
        <f t="shared" si="10"/>
        <v/>
      </c>
      <c r="I19" s="47"/>
      <c r="J19" s="47"/>
      <c r="K19" s="47" t="str">
        <f t="shared" si="11"/>
        <v/>
      </c>
      <c r="L19" s="79" t="str">
        <f t="shared" si="11"/>
        <v/>
      </c>
      <c r="M19" s="51"/>
      <c r="N19" s="2"/>
      <c r="O19" s="2"/>
      <c r="P19" s="52"/>
      <c r="Q19" s="47" t="str">
        <f>'Lineup Legality - OOE'!L57</f>
        <v/>
      </c>
      <c r="R19" s="188"/>
      <c r="S19" s="2"/>
      <c r="T19" s="2"/>
      <c r="U19" s="22"/>
      <c r="V19" s="47"/>
      <c r="W19" s="47" t="str">
        <f t="shared" si="12"/>
        <v/>
      </c>
      <c r="Z19" s="278" t="s">
        <v>498</v>
      </c>
      <c r="AC19" s="2" t="str">
        <f t="shared" si="0"/>
        <v/>
      </c>
      <c r="AD19" s="4" t="str">
        <f t="shared" si="1"/>
        <v/>
      </c>
      <c r="AF19" s="2" t="str">
        <f t="shared" si="2"/>
        <v/>
      </c>
      <c r="AH19" s="2" t="str">
        <f t="shared" si="3"/>
        <v/>
      </c>
      <c r="AI19" s="2">
        <f t="shared" si="4"/>
        <v>0</v>
      </c>
      <c r="AJ19" s="2">
        <f t="shared" si="5"/>
        <v>0</v>
      </c>
      <c r="AK19" s="2" t="str">
        <f>IF(AI19 = 0, "", IF(AI19 = 1, VLOOKUP(K19, gemClasses, 2, FALSE), IF(AI19 = 2, VLOOKUP(K19, nasccClasses, 2, FALSE), IF(AI19 = 2.1, VLOOKUP(K19, nasccClasses, 2, FALSE), IF(AI19 = 2.2, VLOOKUP(K19, nasccClasses, 2, FALSE), IF(AI19 = 3, VLOOKUP(K19, euemClasses, 2, FALSE), IF(AI19 = 4, VLOOKUP(K19, wgtssClasses, 2, FALSE), IF(AI19 = 5, VLOOKUP(K19, wgtmClasses, 2, FALSE), IF(AI19 = 6, VLOOKUP(K19, wpcClasses, 2, FALSE), IF(AI19 = 7, VLOOKUP(K19, asmClasses, 2, FALSE), ""))))))))))</f>
        <v/>
      </c>
      <c r="AL19" s="2" t="str">
        <f t="shared" si="13"/>
        <v/>
      </c>
      <c r="AN19" s="2" t="str">
        <f t="shared" si="6"/>
        <v/>
      </c>
      <c r="AO19" s="2" t="str">
        <f t="shared" si="7"/>
        <v/>
      </c>
      <c r="AQ19" s="2" t="str">
        <f>'Lineup Legality - OOE'!L57</f>
        <v/>
      </c>
      <c r="AS19" s="2" t="str">
        <f>IF(J19 &lt;&gt; "", CONCATENATE("$", ROUND(SUM('Total Costs'!AZ18:BI18), 3), " Million"), "")</f>
        <v/>
      </c>
    </row>
    <row r="20" spans="2:45" ht="18" customHeight="1" x14ac:dyDescent="0.3">
      <c r="B20" s="47" t="str">
        <f t="shared" si="14"/>
        <v/>
      </c>
      <c r="C20" s="47"/>
      <c r="D20" s="47" t="str">
        <f t="shared" si="8"/>
        <v/>
      </c>
      <c r="E20" s="47" t="str">
        <f t="shared" si="9"/>
        <v/>
      </c>
      <c r="F20" s="51"/>
      <c r="G20" s="52"/>
      <c r="H20" s="87" t="str">
        <f t="shared" si="10"/>
        <v/>
      </c>
      <c r="I20" s="47"/>
      <c r="J20" s="47"/>
      <c r="K20" s="47" t="str">
        <f t="shared" si="11"/>
        <v/>
      </c>
      <c r="L20" s="79" t="str">
        <f t="shared" si="11"/>
        <v/>
      </c>
      <c r="M20" s="51"/>
      <c r="N20" s="2"/>
      <c r="O20" s="2"/>
      <c r="P20" s="52"/>
      <c r="Q20" s="47" t="str">
        <f>'Lineup Legality - OOE'!L61</f>
        <v/>
      </c>
      <c r="R20" s="188"/>
      <c r="S20" s="2"/>
      <c r="T20" s="2"/>
      <c r="U20" s="22"/>
      <c r="V20" s="47"/>
      <c r="W20" s="47" t="str">
        <f t="shared" si="12"/>
        <v/>
      </c>
      <c r="Z20" s="403"/>
      <c r="AC20" s="2" t="str">
        <f t="shared" si="0"/>
        <v/>
      </c>
      <c r="AD20" s="4" t="str">
        <f t="shared" si="1"/>
        <v/>
      </c>
      <c r="AF20" s="2" t="str">
        <f t="shared" si="2"/>
        <v/>
      </c>
      <c r="AH20" s="2" t="str">
        <f t="shared" si="3"/>
        <v/>
      </c>
      <c r="AI20" s="2">
        <f t="shared" si="4"/>
        <v>0</v>
      </c>
      <c r="AJ20" s="2">
        <f t="shared" si="5"/>
        <v>0</v>
      </c>
      <c r="AK20" s="2" t="str">
        <f>IF(AI20 = 0, "", IF(AI20 = 1, VLOOKUP(K20, gemClasses, 2, FALSE), IF(AI20 = 2, VLOOKUP(K20, nasccClasses, 2, FALSE), IF(AI20 = 2.1, VLOOKUP(K20, nasccClasses, 2, FALSE), IF(AI20 = 2.2, VLOOKUP(K20, nasccClasses, 2, FALSE), IF(AI20 = 3, VLOOKUP(K20, euemClasses, 2, FALSE), IF(AI20 = 4, VLOOKUP(K20, wgtssClasses, 2, FALSE), IF(AI20 = 5, VLOOKUP(K20, wgtmClasses, 2, FALSE), IF(AI20 = 6, VLOOKUP(K20, wpcClasses, 2, FALSE), IF(AI20 = 7, VLOOKUP(K20, asmClasses, 2, FALSE), ""))))))))))</f>
        <v/>
      </c>
      <c r="AL20" s="2" t="str">
        <f t="shared" si="13"/>
        <v/>
      </c>
      <c r="AN20" s="2" t="str">
        <f t="shared" si="6"/>
        <v/>
      </c>
      <c r="AO20" s="2" t="str">
        <f t="shared" si="7"/>
        <v/>
      </c>
      <c r="AQ20" s="2" t="str">
        <f>'Lineup Legality - OOE'!L61</f>
        <v/>
      </c>
      <c r="AS20" s="2" t="str">
        <f>IF(J20 &lt;&gt; "", CONCATENATE("$", ROUND(SUM('Total Costs'!AZ19:BI19), 3), " Million"), "")</f>
        <v/>
      </c>
    </row>
    <row r="21" spans="2:45" ht="18" customHeight="1" x14ac:dyDescent="0.3">
      <c r="B21" s="47" t="str">
        <f t="shared" si="14"/>
        <v/>
      </c>
      <c r="C21" s="47"/>
      <c r="D21" s="47" t="str">
        <f t="shared" si="8"/>
        <v/>
      </c>
      <c r="E21" s="47" t="str">
        <f t="shared" si="9"/>
        <v/>
      </c>
      <c r="F21" s="51"/>
      <c r="G21" s="52"/>
      <c r="H21" s="87" t="str">
        <f t="shared" si="10"/>
        <v/>
      </c>
      <c r="I21" s="47"/>
      <c r="J21" s="47"/>
      <c r="K21" s="47" t="str">
        <f t="shared" si="11"/>
        <v/>
      </c>
      <c r="L21" s="79" t="str">
        <f t="shared" si="11"/>
        <v/>
      </c>
      <c r="M21" s="51"/>
      <c r="N21" s="2"/>
      <c r="O21" s="2"/>
      <c r="P21" s="52"/>
      <c r="Q21" s="47" t="str">
        <f>'Lineup Legality - OOE'!L65</f>
        <v/>
      </c>
      <c r="R21" s="188"/>
      <c r="S21" s="2"/>
      <c r="T21" s="2"/>
      <c r="U21" s="22"/>
      <c r="V21" s="47"/>
      <c r="W21" s="47" t="str">
        <f t="shared" si="12"/>
        <v/>
      </c>
      <c r="Z21" s="380" t="s">
        <v>276</v>
      </c>
      <c r="AC21" s="2" t="str">
        <f t="shared" si="0"/>
        <v/>
      </c>
      <c r="AD21" s="4" t="str">
        <f t="shared" si="1"/>
        <v/>
      </c>
      <c r="AF21" s="2" t="str">
        <f t="shared" si="2"/>
        <v/>
      </c>
      <c r="AH21" s="2" t="str">
        <f t="shared" si="3"/>
        <v/>
      </c>
      <c r="AI21" s="2">
        <f t="shared" si="4"/>
        <v>0</v>
      </c>
      <c r="AJ21" s="2">
        <f t="shared" si="5"/>
        <v>0</v>
      </c>
      <c r="AK21" s="2" t="str">
        <f>IF(AI21 = 0, "", IF(AI21 = 1, VLOOKUP(K21, gemClasses, 2, FALSE), IF(AI21 = 2, VLOOKUP(K21, nasccClasses, 2, FALSE), IF(AI21 = 2.1, VLOOKUP(K21, nasccClasses, 2, FALSE), IF(AI21 = 2.2, VLOOKUP(K21, nasccClasses, 2, FALSE), IF(AI21 = 3, VLOOKUP(K21, euemClasses, 2, FALSE), IF(AI21 = 4, VLOOKUP(K21, wgtssClasses, 2, FALSE), IF(AI21 = 5, VLOOKUP(K21, wgtmClasses, 2, FALSE), IF(AI21 = 6, VLOOKUP(K21, wpcClasses, 2, FALSE), IF(AI21 = 7, VLOOKUP(K21, asmClasses, 2, FALSE), ""))))))))))</f>
        <v/>
      </c>
      <c r="AL21" s="2" t="str">
        <f t="shared" si="13"/>
        <v/>
      </c>
      <c r="AN21" s="2" t="str">
        <f t="shared" si="6"/>
        <v/>
      </c>
      <c r="AO21" s="2" t="str">
        <f t="shared" si="7"/>
        <v/>
      </c>
      <c r="AQ21" s="2" t="str">
        <f>'Lineup Legality - OOE'!L65</f>
        <v/>
      </c>
      <c r="AS21" s="2" t="str">
        <f>IF(J21 &lt;&gt; "", CONCATENATE("$", ROUND(SUM('Total Costs'!AZ20:BI20), 3), " Million"), "")</f>
        <v/>
      </c>
    </row>
    <row r="22" spans="2:45" ht="18" customHeight="1" thickBot="1" x14ac:dyDescent="0.35">
      <c r="B22" s="47" t="str">
        <f t="shared" si="14"/>
        <v/>
      </c>
      <c r="C22" s="47"/>
      <c r="D22" s="47" t="str">
        <f t="shared" si="8"/>
        <v/>
      </c>
      <c r="E22" s="47" t="str">
        <f t="shared" si="9"/>
        <v/>
      </c>
      <c r="F22" s="51"/>
      <c r="G22" s="52"/>
      <c r="H22" s="87" t="str">
        <f t="shared" si="10"/>
        <v/>
      </c>
      <c r="I22" s="47"/>
      <c r="J22" s="47"/>
      <c r="K22" s="47" t="str">
        <f t="shared" si="11"/>
        <v/>
      </c>
      <c r="L22" s="79" t="str">
        <f t="shared" si="11"/>
        <v/>
      </c>
      <c r="M22" s="51"/>
      <c r="N22" s="2"/>
      <c r="O22" s="2"/>
      <c r="P22" s="52"/>
      <c r="Q22" s="47" t="str">
        <f>'Lineup Legality - OOE'!L69</f>
        <v/>
      </c>
      <c r="R22" s="188"/>
      <c r="S22" s="2"/>
      <c r="T22" s="2"/>
      <c r="U22" s="22"/>
      <c r="V22" s="47"/>
      <c r="W22" s="47" t="str">
        <f t="shared" si="12"/>
        <v/>
      </c>
      <c r="Z22" s="298"/>
      <c r="AC22" s="2" t="str">
        <f t="shared" si="0"/>
        <v/>
      </c>
      <c r="AD22" s="4" t="str">
        <f t="shared" si="1"/>
        <v/>
      </c>
      <c r="AF22" s="2" t="str">
        <f t="shared" si="2"/>
        <v/>
      </c>
      <c r="AH22" s="2" t="str">
        <f t="shared" si="3"/>
        <v/>
      </c>
      <c r="AI22" s="2">
        <f t="shared" si="4"/>
        <v>0</v>
      </c>
      <c r="AJ22" s="2">
        <f t="shared" si="5"/>
        <v>0</v>
      </c>
      <c r="AK22" s="2" t="str">
        <f>IF(AI22 = 0, "", IF(AI22 = 1, VLOOKUP(K22, gemClasses, 2, FALSE), IF(AI22 = 2, VLOOKUP(K22, nasccClasses, 2, FALSE), IF(AI22 = 2.1, VLOOKUP(K22, nasccClasses, 2, FALSE), IF(AI22 = 2.2, VLOOKUP(K22, nasccClasses, 2, FALSE), IF(AI22 = 3, VLOOKUP(K22, euemClasses, 2, FALSE), IF(AI22 = 4, VLOOKUP(K22, wgtssClasses, 2, FALSE), IF(AI22 = 5, VLOOKUP(K22, wgtmClasses, 2, FALSE), IF(AI22 = 6, VLOOKUP(K22, wpcClasses, 2, FALSE), IF(AI22 = 7, VLOOKUP(K22, asmClasses, 2, FALSE), ""))))))))))</f>
        <v/>
      </c>
      <c r="AL22" s="2" t="str">
        <f t="shared" si="13"/>
        <v/>
      </c>
      <c r="AN22" s="2" t="str">
        <f t="shared" si="6"/>
        <v/>
      </c>
      <c r="AO22" s="2" t="str">
        <f t="shared" si="7"/>
        <v/>
      </c>
      <c r="AQ22" s="2" t="str">
        <f>'Lineup Legality - OOE'!L69</f>
        <v/>
      </c>
      <c r="AS22" s="2" t="str">
        <f>IF(J22 &lt;&gt; "", CONCATENATE("$", ROUND(SUM('Total Costs'!AZ21:BI21), 3), " Million"), "")</f>
        <v/>
      </c>
    </row>
    <row r="23" spans="2:45" ht="18" customHeight="1" x14ac:dyDescent="0.3">
      <c r="B23" s="47" t="str">
        <f t="shared" si="14"/>
        <v/>
      </c>
      <c r="C23" s="47"/>
      <c r="D23" s="47" t="str">
        <f t="shared" si="8"/>
        <v/>
      </c>
      <c r="E23" s="47" t="str">
        <f t="shared" si="9"/>
        <v/>
      </c>
      <c r="F23" s="51"/>
      <c r="G23" s="52"/>
      <c r="H23" s="87" t="str">
        <f t="shared" si="10"/>
        <v/>
      </c>
      <c r="I23" s="47"/>
      <c r="J23" s="47"/>
      <c r="K23" s="47" t="str">
        <f t="shared" si="11"/>
        <v/>
      </c>
      <c r="L23" s="79" t="str">
        <f t="shared" si="11"/>
        <v/>
      </c>
      <c r="M23" s="51"/>
      <c r="N23" s="2"/>
      <c r="O23" s="2"/>
      <c r="P23" s="52"/>
      <c r="Q23" s="47" t="str">
        <f>'Lineup Legality - OOE'!L73</f>
        <v/>
      </c>
      <c r="R23" s="188"/>
      <c r="S23" s="2"/>
      <c r="T23" s="2"/>
      <c r="U23" s="22"/>
      <c r="V23" s="47"/>
      <c r="W23" s="47" t="str">
        <f t="shared" si="12"/>
        <v/>
      </c>
      <c r="AC23" s="2" t="str">
        <f t="shared" si="0"/>
        <v/>
      </c>
      <c r="AD23" s="4" t="str">
        <f t="shared" si="1"/>
        <v/>
      </c>
      <c r="AF23" s="2" t="str">
        <f t="shared" si="2"/>
        <v/>
      </c>
      <c r="AH23" s="2" t="str">
        <f t="shared" si="3"/>
        <v/>
      </c>
      <c r="AI23" s="2">
        <f t="shared" si="4"/>
        <v>0</v>
      </c>
      <c r="AJ23" s="2">
        <f t="shared" si="5"/>
        <v>0</v>
      </c>
      <c r="AK23" s="2" t="str">
        <f>IF(AI23 = 0, "", IF(AI23 = 1, VLOOKUP(K23, gemClasses, 2, FALSE), IF(AI23 = 2, VLOOKUP(K23, nasccClasses, 2, FALSE), IF(AI23 = 2.1, VLOOKUP(K23, nasccClasses, 2, FALSE), IF(AI23 = 2.2, VLOOKUP(K23, nasccClasses, 2, FALSE), IF(AI23 = 3, VLOOKUP(K23, euemClasses, 2, FALSE), IF(AI23 = 4, VLOOKUP(K23, wgtssClasses, 2, FALSE), IF(AI23 = 5, VLOOKUP(K23, wgtmClasses, 2, FALSE), IF(AI23 = 6, VLOOKUP(K23, wpcClasses, 2, FALSE), IF(AI23 = 7, VLOOKUP(K23, asmClasses, 2, FALSE), ""))))))))))</f>
        <v/>
      </c>
      <c r="AL23" s="2" t="str">
        <f t="shared" si="13"/>
        <v/>
      </c>
      <c r="AN23" s="2" t="str">
        <f t="shared" si="6"/>
        <v/>
      </c>
      <c r="AO23" s="2" t="str">
        <f t="shared" si="7"/>
        <v/>
      </c>
      <c r="AQ23" s="2" t="str">
        <f>'Lineup Legality - OOE'!L73</f>
        <v/>
      </c>
      <c r="AS23" s="2" t="str">
        <f>IF(J23 &lt;&gt; "", CONCATENATE("$", ROUND(SUM('Total Costs'!AZ22:BI22), 3), " Million"), "")</f>
        <v/>
      </c>
    </row>
    <row r="24" spans="2:45" ht="18" customHeight="1" x14ac:dyDescent="0.3">
      <c r="B24" s="47" t="str">
        <f t="shared" si="14"/>
        <v/>
      </c>
      <c r="C24" s="47"/>
      <c r="D24" s="47" t="str">
        <f t="shared" si="8"/>
        <v/>
      </c>
      <c r="E24" s="47" t="str">
        <f t="shared" si="9"/>
        <v/>
      </c>
      <c r="F24" s="51"/>
      <c r="G24" s="52"/>
      <c r="H24" s="87" t="str">
        <f t="shared" si="10"/>
        <v/>
      </c>
      <c r="I24" s="47"/>
      <c r="J24" s="47"/>
      <c r="K24" s="47" t="str">
        <f t="shared" si="11"/>
        <v/>
      </c>
      <c r="L24" s="79" t="str">
        <f t="shared" si="11"/>
        <v/>
      </c>
      <c r="M24" s="51"/>
      <c r="N24" s="2"/>
      <c r="O24" s="2"/>
      <c r="P24" s="52"/>
      <c r="Q24" s="47" t="str">
        <f>'Lineup Legality - OOE'!L77</f>
        <v/>
      </c>
      <c r="R24" s="188"/>
      <c r="S24" s="2"/>
      <c r="T24" s="2"/>
      <c r="U24" s="22"/>
      <c r="V24" s="47"/>
      <c r="W24" s="47" t="str">
        <f t="shared" si="12"/>
        <v/>
      </c>
      <c r="AC24" s="2" t="str">
        <f t="shared" si="0"/>
        <v/>
      </c>
      <c r="AD24" s="4" t="str">
        <f t="shared" si="1"/>
        <v/>
      </c>
      <c r="AF24" s="2" t="str">
        <f t="shared" si="2"/>
        <v/>
      </c>
      <c r="AH24" s="2" t="str">
        <f t="shared" si="3"/>
        <v/>
      </c>
      <c r="AI24" s="2">
        <f t="shared" si="4"/>
        <v>0</v>
      </c>
      <c r="AJ24" s="2">
        <f t="shared" si="5"/>
        <v>0</v>
      </c>
      <c r="AK24" s="2" t="str">
        <f>IF(AI24 = 0, "", IF(AI24 = 1, VLOOKUP(K24, gemClasses, 2, FALSE), IF(AI24 = 2, VLOOKUP(K24, nasccClasses, 2, FALSE), IF(AI24 = 2.1, VLOOKUP(K24, nasccClasses, 2, FALSE), IF(AI24 = 2.2, VLOOKUP(K24, nasccClasses, 2, FALSE), IF(AI24 = 3, VLOOKUP(K24, euemClasses, 2, FALSE), IF(AI24 = 4, VLOOKUP(K24, wgtssClasses, 2, FALSE), IF(AI24 = 5, VLOOKUP(K24, wgtmClasses, 2, FALSE), IF(AI24 = 6, VLOOKUP(K24, wpcClasses, 2, FALSE), IF(AI24 = 7, VLOOKUP(K24, asmClasses, 2, FALSE), ""))))))))))</f>
        <v/>
      </c>
      <c r="AL24" s="2" t="str">
        <f t="shared" si="13"/>
        <v/>
      </c>
      <c r="AN24" s="2" t="str">
        <f t="shared" si="6"/>
        <v/>
      </c>
      <c r="AO24" s="2" t="str">
        <f t="shared" si="7"/>
        <v/>
      </c>
      <c r="AQ24" s="2" t="str">
        <f>'Lineup Legality - OOE'!L77</f>
        <v/>
      </c>
      <c r="AS24" s="2" t="str">
        <f>IF(J24 &lt;&gt; "", CONCATENATE("$", ROUND(SUM('Total Costs'!AZ23:BI23), 3), " Million"), "")</f>
        <v/>
      </c>
    </row>
    <row r="25" spans="2:45" ht="18" customHeight="1" x14ac:dyDescent="0.3">
      <c r="B25" s="47" t="str">
        <f t="shared" si="14"/>
        <v/>
      </c>
      <c r="C25" s="47"/>
      <c r="D25" s="47" t="str">
        <f t="shared" si="8"/>
        <v/>
      </c>
      <c r="E25" s="47" t="str">
        <f t="shared" si="9"/>
        <v/>
      </c>
      <c r="F25" s="51"/>
      <c r="G25" s="52"/>
      <c r="H25" s="87" t="str">
        <f t="shared" si="10"/>
        <v/>
      </c>
      <c r="I25" s="47"/>
      <c r="J25" s="47"/>
      <c r="K25" s="47" t="str">
        <f t="shared" si="11"/>
        <v/>
      </c>
      <c r="L25" s="79" t="str">
        <f t="shared" si="11"/>
        <v/>
      </c>
      <c r="M25" s="51"/>
      <c r="N25" s="2"/>
      <c r="O25" s="2"/>
      <c r="P25" s="52"/>
      <c r="Q25" s="47" t="str">
        <f>'Lineup Legality - OOE'!L81</f>
        <v/>
      </c>
      <c r="R25" s="188"/>
      <c r="S25" s="2"/>
      <c r="T25" s="2"/>
      <c r="U25" s="22"/>
      <c r="V25" s="47"/>
      <c r="W25" s="47" t="str">
        <f t="shared" si="12"/>
        <v/>
      </c>
      <c r="AC25" s="2" t="str">
        <f t="shared" si="0"/>
        <v/>
      </c>
      <c r="AD25" s="4" t="str">
        <f t="shared" si="1"/>
        <v/>
      </c>
      <c r="AF25" s="2" t="str">
        <f t="shared" si="2"/>
        <v/>
      </c>
      <c r="AH25" s="2" t="str">
        <f t="shared" si="3"/>
        <v/>
      </c>
      <c r="AI25" s="2">
        <f t="shared" si="4"/>
        <v>0</v>
      </c>
      <c r="AJ25" s="2">
        <f t="shared" si="5"/>
        <v>0</v>
      </c>
      <c r="AK25" s="2" t="str">
        <f>IF(AI25 = 0, "", IF(AI25 = 1, VLOOKUP(K25, gemClasses, 2, FALSE), IF(AI25 = 2, VLOOKUP(K25, nasccClasses, 2, FALSE), IF(AI25 = 2.1, VLOOKUP(K25, nasccClasses, 2, FALSE), IF(AI25 = 2.2, VLOOKUP(K25, nasccClasses, 2, FALSE), IF(AI25 = 3, VLOOKUP(K25, euemClasses, 2, FALSE), IF(AI25 = 4, VLOOKUP(K25, wgtssClasses, 2, FALSE), IF(AI25 = 5, VLOOKUP(K25, wgtmClasses, 2, FALSE), IF(AI25 = 6, VLOOKUP(K25, wpcClasses, 2, FALSE), IF(AI25 = 7, VLOOKUP(K25, asmClasses, 2, FALSE), ""))))))))))</f>
        <v/>
      </c>
      <c r="AL25" s="2" t="str">
        <f t="shared" si="13"/>
        <v/>
      </c>
      <c r="AN25" s="2" t="str">
        <f t="shared" si="6"/>
        <v/>
      </c>
      <c r="AO25" s="2" t="str">
        <f t="shared" si="7"/>
        <v/>
      </c>
      <c r="AQ25" s="2" t="str">
        <f>'Lineup Legality - OOE'!L81</f>
        <v/>
      </c>
      <c r="AS25" s="2" t="str">
        <f>IF(J25 &lt;&gt; "", CONCATENATE("$", ROUND(SUM('Total Costs'!AZ24:BI24), 3), " Million"), "")</f>
        <v/>
      </c>
    </row>
    <row r="26" spans="2:45" ht="18" customHeight="1" x14ac:dyDescent="0.3">
      <c r="B26" s="47" t="str">
        <f t="shared" si="14"/>
        <v/>
      </c>
      <c r="C26" s="47"/>
      <c r="D26" s="47" t="str">
        <f t="shared" si="8"/>
        <v/>
      </c>
      <c r="E26" s="47" t="str">
        <f t="shared" si="9"/>
        <v/>
      </c>
      <c r="F26" s="51"/>
      <c r="G26" s="52"/>
      <c r="H26" s="87" t="str">
        <f t="shared" si="10"/>
        <v/>
      </c>
      <c r="I26" s="47"/>
      <c r="J26" s="47"/>
      <c r="K26" s="47" t="str">
        <f t="shared" si="11"/>
        <v/>
      </c>
      <c r="L26" s="79" t="str">
        <f t="shared" si="11"/>
        <v/>
      </c>
      <c r="M26" s="51"/>
      <c r="N26" s="2"/>
      <c r="O26" s="2"/>
      <c r="P26" s="52"/>
      <c r="Q26" s="47" t="str">
        <f>'Lineup Legality - OOE'!L85</f>
        <v/>
      </c>
      <c r="R26" s="188"/>
      <c r="S26" s="2"/>
      <c r="T26" s="2"/>
      <c r="U26" s="22"/>
      <c r="V26" s="47"/>
      <c r="W26" s="47" t="str">
        <f t="shared" si="12"/>
        <v/>
      </c>
      <c r="AC26" s="2" t="str">
        <f t="shared" si="0"/>
        <v/>
      </c>
      <c r="AD26" s="4" t="str">
        <f t="shared" si="1"/>
        <v/>
      </c>
      <c r="AF26" s="2" t="str">
        <f t="shared" si="2"/>
        <v/>
      </c>
      <c r="AH26" s="2" t="str">
        <f t="shared" si="3"/>
        <v/>
      </c>
      <c r="AI26" s="2">
        <f t="shared" si="4"/>
        <v>0</v>
      </c>
      <c r="AJ26" s="2">
        <f t="shared" si="5"/>
        <v>0</v>
      </c>
      <c r="AK26" s="2" t="str">
        <f>IF(AI26 = 0, "", IF(AI26 = 1, VLOOKUP(K26, gemClasses, 2, FALSE), IF(AI26 = 2, VLOOKUP(K26, nasccClasses, 2, FALSE), IF(AI26 = 2.1, VLOOKUP(K26, nasccClasses, 2, FALSE), IF(AI26 = 2.2, VLOOKUP(K26, nasccClasses, 2, FALSE), IF(AI26 = 3, VLOOKUP(K26, euemClasses, 2, FALSE), IF(AI26 = 4, VLOOKUP(K26, wgtssClasses, 2, FALSE), IF(AI26 = 5, VLOOKUP(K26, wgtmClasses, 2, FALSE), IF(AI26 = 6, VLOOKUP(K26, wpcClasses, 2, FALSE), IF(AI26 = 7, VLOOKUP(K26, asmClasses, 2, FALSE), ""))))))))))</f>
        <v/>
      </c>
      <c r="AL26" s="2" t="str">
        <f t="shared" si="13"/>
        <v/>
      </c>
      <c r="AN26" s="2" t="str">
        <f t="shared" si="6"/>
        <v/>
      </c>
      <c r="AO26" s="2" t="str">
        <f t="shared" si="7"/>
        <v/>
      </c>
      <c r="AQ26" s="2" t="str">
        <f>'Lineup Legality - OOE'!L85</f>
        <v/>
      </c>
      <c r="AS26" s="2" t="str">
        <f>IF(J26 &lt;&gt; "", CONCATENATE("$", ROUND(SUM('Total Costs'!AZ25:BI25), 3), " Million"), "")</f>
        <v/>
      </c>
    </row>
    <row r="27" spans="2:45" ht="18" customHeight="1" x14ac:dyDescent="0.3">
      <c r="B27" s="47" t="str">
        <f t="shared" si="14"/>
        <v/>
      </c>
      <c r="C27" s="47"/>
      <c r="D27" s="47" t="str">
        <f t="shared" si="8"/>
        <v/>
      </c>
      <c r="E27" s="47" t="str">
        <f t="shared" si="9"/>
        <v/>
      </c>
      <c r="F27" s="51"/>
      <c r="G27" s="52"/>
      <c r="H27" s="87" t="str">
        <f t="shared" si="10"/>
        <v/>
      </c>
      <c r="I27" s="47"/>
      <c r="J27" s="47"/>
      <c r="K27" s="47" t="str">
        <f t="shared" si="11"/>
        <v/>
      </c>
      <c r="L27" s="79" t="str">
        <f t="shared" si="11"/>
        <v/>
      </c>
      <c r="M27" s="51"/>
      <c r="N27" s="2"/>
      <c r="O27" s="2"/>
      <c r="P27" s="52"/>
      <c r="Q27" s="47" t="str">
        <f>'Lineup Legality - OOE'!L89</f>
        <v/>
      </c>
      <c r="R27" s="188"/>
      <c r="S27" s="2"/>
      <c r="T27" s="2"/>
      <c r="U27" s="22"/>
      <c r="V27" s="47"/>
      <c r="W27" s="47" t="str">
        <f t="shared" si="12"/>
        <v/>
      </c>
      <c r="AC27" s="2" t="str">
        <f t="shared" si="0"/>
        <v/>
      </c>
      <c r="AD27" s="4" t="str">
        <f t="shared" si="1"/>
        <v/>
      </c>
      <c r="AF27" s="2" t="str">
        <f t="shared" si="2"/>
        <v/>
      </c>
      <c r="AH27" s="2" t="str">
        <f t="shared" si="3"/>
        <v/>
      </c>
      <c r="AI27" s="2">
        <f t="shared" si="4"/>
        <v>0</v>
      </c>
      <c r="AJ27" s="2">
        <f t="shared" si="5"/>
        <v>0</v>
      </c>
      <c r="AK27" s="2" t="str">
        <f>IF(AI27 = 0, "", IF(AI27 = 1, VLOOKUP(K27, gemClasses, 2, FALSE), IF(AI27 = 2, VLOOKUP(K27, nasccClasses, 2, FALSE), IF(AI27 = 2.1, VLOOKUP(K27, nasccClasses, 2, FALSE), IF(AI27 = 2.2, VLOOKUP(K27, nasccClasses, 2, FALSE), IF(AI27 = 3, VLOOKUP(K27, euemClasses, 2, FALSE), IF(AI27 = 4, VLOOKUP(K27, wgtssClasses, 2, FALSE), IF(AI27 = 5, VLOOKUP(K27, wgtmClasses, 2, FALSE), IF(AI27 = 6, VLOOKUP(K27, wpcClasses, 2, FALSE), IF(AI27 = 7, VLOOKUP(K27, asmClasses, 2, FALSE), ""))))))))))</f>
        <v/>
      </c>
      <c r="AL27" s="2" t="str">
        <f t="shared" si="13"/>
        <v/>
      </c>
      <c r="AN27" s="2" t="str">
        <f t="shared" si="6"/>
        <v/>
      </c>
      <c r="AO27" s="2" t="str">
        <f t="shared" si="7"/>
        <v/>
      </c>
      <c r="AQ27" s="2" t="str">
        <f>'Lineup Legality - OOE'!L89</f>
        <v/>
      </c>
      <c r="AS27" s="2" t="str">
        <f>IF(J27 &lt;&gt; "", CONCATENATE("$", ROUND(SUM('Total Costs'!AZ26:BI26), 3), " Million"), "")</f>
        <v/>
      </c>
    </row>
    <row r="28" spans="2:45" ht="18" customHeight="1" x14ac:dyDescent="0.3">
      <c r="B28" s="47" t="str">
        <f t="shared" si="14"/>
        <v/>
      </c>
      <c r="C28" s="47"/>
      <c r="D28" s="47" t="str">
        <f t="shared" si="8"/>
        <v/>
      </c>
      <c r="E28" s="47" t="str">
        <f t="shared" si="9"/>
        <v/>
      </c>
      <c r="F28" s="51"/>
      <c r="G28" s="52"/>
      <c r="H28" s="87" t="str">
        <f t="shared" si="10"/>
        <v/>
      </c>
      <c r="I28" s="47"/>
      <c r="J28" s="47"/>
      <c r="K28" s="47" t="str">
        <f t="shared" si="11"/>
        <v/>
      </c>
      <c r="L28" s="79" t="str">
        <f t="shared" si="11"/>
        <v/>
      </c>
      <c r="M28" s="51"/>
      <c r="N28" s="2"/>
      <c r="O28" s="2"/>
      <c r="P28" s="52"/>
      <c r="Q28" s="47" t="str">
        <f>'Lineup Legality - OOE'!L93</f>
        <v/>
      </c>
      <c r="R28" s="188"/>
      <c r="S28" s="2"/>
      <c r="T28" s="2"/>
      <c r="U28" s="22"/>
      <c r="V28" s="47"/>
      <c r="W28" s="47" t="str">
        <f t="shared" si="12"/>
        <v/>
      </c>
      <c r="AC28" s="2" t="str">
        <f t="shared" si="0"/>
        <v/>
      </c>
      <c r="AD28" s="4" t="str">
        <f t="shared" si="1"/>
        <v/>
      </c>
      <c r="AF28" s="2" t="str">
        <f t="shared" si="2"/>
        <v/>
      </c>
      <c r="AH28" s="2" t="str">
        <f t="shared" si="3"/>
        <v/>
      </c>
      <c r="AI28" s="2">
        <f t="shared" si="4"/>
        <v>0</v>
      </c>
      <c r="AJ28" s="2">
        <f t="shared" si="5"/>
        <v>0</v>
      </c>
      <c r="AK28" s="2" t="str">
        <f>IF(AI28 = 0, "", IF(AI28 = 1, VLOOKUP(K28, gemClasses, 2, FALSE), IF(AI28 = 2, VLOOKUP(K28, nasccClasses, 2, FALSE), IF(AI28 = 2.1, VLOOKUP(K28, nasccClasses, 2, FALSE), IF(AI28 = 2.2, VLOOKUP(K28, nasccClasses, 2, FALSE), IF(AI28 = 3, VLOOKUP(K28, euemClasses, 2, FALSE), IF(AI28 = 4, VLOOKUP(K28, wgtssClasses, 2, FALSE), IF(AI28 = 5, VLOOKUP(K28, wgtmClasses, 2, FALSE), IF(AI28 = 6, VLOOKUP(K28, wpcClasses, 2, FALSE), IF(AI28 = 7, VLOOKUP(K28, asmClasses, 2, FALSE), ""))))))))))</f>
        <v/>
      </c>
      <c r="AL28" s="2" t="str">
        <f t="shared" si="13"/>
        <v/>
      </c>
      <c r="AN28" s="2" t="str">
        <f t="shared" si="6"/>
        <v/>
      </c>
      <c r="AO28" s="2" t="str">
        <f t="shared" si="7"/>
        <v/>
      </c>
      <c r="AQ28" s="2" t="str">
        <f>'Lineup Legality - OOE'!L93</f>
        <v/>
      </c>
      <c r="AS28" s="2" t="str">
        <f>IF(J28 &lt;&gt; "", CONCATENATE("$", ROUND(SUM('Total Costs'!AZ27:BI27), 3), " Million"), "")</f>
        <v/>
      </c>
    </row>
    <row r="29" spans="2:45" ht="18" customHeight="1" x14ac:dyDescent="0.3">
      <c r="B29" s="47" t="str">
        <f t="shared" si="14"/>
        <v/>
      </c>
      <c r="C29" s="47"/>
      <c r="D29" s="47" t="str">
        <f t="shared" si="8"/>
        <v/>
      </c>
      <c r="E29" s="47" t="str">
        <f t="shared" si="9"/>
        <v/>
      </c>
      <c r="F29" s="51"/>
      <c r="G29" s="52"/>
      <c r="H29" s="87" t="str">
        <f t="shared" si="10"/>
        <v/>
      </c>
      <c r="I29" s="47"/>
      <c r="J29" s="47"/>
      <c r="K29" s="47" t="str">
        <f t="shared" si="11"/>
        <v/>
      </c>
      <c r="L29" s="79" t="str">
        <f t="shared" si="11"/>
        <v/>
      </c>
      <c r="M29" s="51"/>
      <c r="N29" s="2"/>
      <c r="O29" s="2"/>
      <c r="P29" s="52"/>
      <c r="Q29" s="47" t="str">
        <f>'Lineup Legality - OOE'!L97</f>
        <v/>
      </c>
      <c r="R29" s="188"/>
      <c r="S29" s="2"/>
      <c r="T29" s="2"/>
      <c r="U29" s="22"/>
      <c r="V29" s="47"/>
      <c r="W29" s="47" t="str">
        <f t="shared" si="12"/>
        <v/>
      </c>
      <c r="AC29" s="2" t="str">
        <f t="shared" si="0"/>
        <v/>
      </c>
      <c r="AD29" s="4" t="str">
        <f t="shared" si="1"/>
        <v/>
      </c>
      <c r="AF29" s="2" t="str">
        <f t="shared" si="2"/>
        <v/>
      </c>
      <c r="AH29" s="2" t="str">
        <f t="shared" si="3"/>
        <v/>
      </c>
      <c r="AI29" s="2">
        <f t="shared" si="4"/>
        <v>0</v>
      </c>
      <c r="AJ29" s="2">
        <f t="shared" si="5"/>
        <v>0</v>
      </c>
      <c r="AK29" s="2" t="str">
        <f>IF(AI29 = 0, "", IF(AI29 = 1, VLOOKUP(K29, gemClasses, 2, FALSE), IF(AI29 = 2, VLOOKUP(K29, nasccClasses, 2, FALSE), IF(AI29 = 2.1, VLOOKUP(K29, nasccClasses, 2, FALSE), IF(AI29 = 2.2, VLOOKUP(K29, nasccClasses, 2, FALSE), IF(AI29 = 3, VLOOKUP(K29, euemClasses, 2, FALSE), IF(AI29 = 4, VLOOKUP(K29, wgtssClasses, 2, FALSE), IF(AI29 = 5, VLOOKUP(K29, wgtmClasses, 2, FALSE), IF(AI29 = 6, VLOOKUP(K29, wpcClasses, 2, FALSE), IF(AI29 = 7, VLOOKUP(K29, asmClasses, 2, FALSE), ""))))))))))</f>
        <v/>
      </c>
      <c r="AL29" s="2" t="str">
        <f t="shared" si="13"/>
        <v/>
      </c>
      <c r="AN29" s="2" t="str">
        <f t="shared" si="6"/>
        <v/>
      </c>
      <c r="AO29" s="2" t="str">
        <f t="shared" si="7"/>
        <v/>
      </c>
      <c r="AQ29" s="2" t="str">
        <f>'Lineup Legality - OOE'!L97</f>
        <v/>
      </c>
      <c r="AS29" s="2" t="str">
        <f>IF(J29 &lt;&gt; "", CONCATENATE("$", ROUND(SUM('Total Costs'!AZ28:BI28), 3), " Million"), "")</f>
        <v/>
      </c>
    </row>
    <row r="30" spans="2:45" ht="18" customHeight="1" x14ac:dyDescent="0.3">
      <c r="B30" s="47" t="str">
        <f t="shared" si="14"/>
        <v/>
      </c>
      <c r="C30" s="47"/>
      <c r="D30" s="47" t="str">
        <f t="shared" si="8"/>
        <v/>
      </c>
      <c r="E30" s="47" t="str">
        <f t="shared" si="9"/>
        <v/>
      </c>
      <c r="F30" s="51"/>
      <c r="G30" s="52"/>
      <c r="H30" s="87" t="str">
        <f t="shared" si="10"/>
        <v/>
      </c>
      <c r="I30" s="47"/>
      <c r="J30" s="47"/>
      <c r="K30" s="47" t="str">
        <f t="shared" si="11"/>
        <v/>
      </c>
      <c r="L30" s="79" t="str">
        <f t="shared" si="11"/>
        <v/>
      </c>
      <c r="M30" s="51"/>
      <c r="N30" s="2"/>
      <c r="O30" s="2"/>
      <c r="P30" s="52"/>
      <c r="Q30" s="47" t="str">
        <f>'Lineup Legality - OOE'!L101</f>
        <v/>
      </c>
      <c r="R30" s="188"/>
      <c r="S30" s="2"/>
      <c r="T30" s="2"/>
      <c r="U30" s="22"/>
      <c r="V30" s="47"/>
      <c r="W30" s="47" t="str">
        <f t="shared" si="12"/>
        <v/>
      </c>
      <c r="AC30" s="2" t="str">
        <f t="shared" si="0"/>
        <v/>
      </c>
      <c r="AD30" s="4" t="str">
        <f t="shared" si="1"/>
        <v/>
      </c>
      <c r="AF30" s="2" t="str">
        <f t="shared" si="2"/>
        <v/>
      </c>
      <c r="AH30" s="2" t="str">
        <f t="shared" si="3"/>
        <v/>
      </c>
      <c r="AI30" s="2">
        <f t="shared" si="4"/>
        <v>0</v>
      </c>
      <c r="AJ30" s="2">
        <f t="shared" si="5"/>
        <v>0</v>
      </c>
      <c r="AK30" s="2" t="str">
        <f>IF(AI30 = 0, "", IF(AI30 = 1, VLOOKUP(K30, gemClasses, 2, FALSE), IF(AI30 = 2, VLOOKUP(K30, nasccClasses, 2, FALSE), IF(AI30 = 2.1, VLOOKUP(K30, nasccClasses, 2, FALSE), IF(AI30 = 2.2, VLOOKUP(K30, nasccClasses, 2, FALSE), IF(AI30 = 3, VLOOKUP(K30, euemClasses, 2, FALSE), IF(AI30 = 4, VLOOKUP(K30, wgtssClasses, 2, FALSE), IF(AI30 = 5, VLOOKUP(K30, wgtmClasses, 2, FALSE), IF(AI30 = 6, VLOOKUP(K30, wpcClasses, 2, FALSE), IF(AI30 = 7, VLOOKUP(K30, asmClasses, 2, FALSE), ""))))))))))</f>
        <v/>
      </c>
      <c r="AL30" s="2" t="str">
        <f t="shared" si="13"/>
        <v/>
      </c>
      <c r="AN30" s="2" t="str">
        <f t="shared" si="6"/>
        <v/>
      </c>
      <c r="AO30" s="2" t="str">
        <f t="shared" si="7"/>
        <v/>
      </c>
      <c r="AQ30" s="2" t="str">
        <f>'Lineup Legality - OOE'!L101</f>
        <v/>
      </c>
      <c r="AS30" s="2" t="str">
        <f>IF(J30 &lt;&gt; "", CONCATENATE("$", ROUND(SUM('Total Costs'!AZ29:BI29), 3), " Million"), "")</f>
        <v/>
      </c>
    </row>
    <row r="31" spans="2:45" ht="18" customHeight="1" x14ac:dyDescent="0.3">
      <c r="B31" s="47" t="str">
        <f t="shared" si="14"/>
        <v/>
      </c>
      <c r="C31" s="47"/>
      <c r="D31" s="47" t="str">
        <f t="shared" si="8"/>
        <v/>
      </c>
      <c r="E31" s="47" t="str">
        <f t="shared" si="9"/>
        <v/>
      </c>
      <c r="F31" s="51"/>
      <c r="G31" s="52"/>
      <c r="H31" s="87" t="str">
        <f t="shared" si="10"/>
        <v/>
      </c>
      <c r="I31" s="47"/>
      <c r="J31" s="47"/>
      <c r="K31" s="47" t="str">
        <f t="shared" si="11"/>
        <v/>
      </c>
      <c r="L31" s="79" t="str">
        <f t="shared" si="11"/>
        <v/>
      </c>
      <c r="M31" s="51"/>
      <c r="N31" s="2"/>
      <c r="O31" s="2"/>
      <c r="P31" s="52"/>
      <c r="Q31" s="47" t="str">
        <f>'Lineup Legality - OOE'!L105</f>
        <v/>
      </c>
      <c r="R31" s="188"/>
      <c r="S31" s="2"/>
      <c r="T31" s="2"/>
      <c r="U31" s="22"/>
      <c r="V31" s="47"/>
      <c r="W31" s="47" t="str">
        <f t="shared" si="12"/>
        <v/>
      </c>
      <c r="AC31" s="2" t="str">
        <f t="shared" si="0"/>
        <v/>
      </c>
      <c r="AD31" s="4" t="str">
        <f t="shared" si="1"/>
        <v/>
      </c>
      <c r="AF31" s="2" t="str">
        <f t="shared" si="2"/>
        <v/>
      </c>
      <c r="AH31" s="2" t="str">
        <f t="shared" si="3"/>
        <v/>
      </c>
      <c r="AI31" s="2">
        <f t="shared" si="4"/>
        <v>0</v>
      </c>
      <c r="AJ31" s="2">
        <f t="shared" si="5"/>
        <v>0</v>
      </c>
      <c r="AK31" s="2" t="str">
        <f>IF(AI31 = 0, "", IF(AI31 = 1, VLOOKUP(K31, gemClasses, 2, FALSE), IF(AI31 = 2, VLOOKUP(K31, nasccClasses, 2, FALSE), IF(AI31 = 2.1, VLOOKUP(K31, nasccClasses, 2, FALSE), IF(AI31 = 2.2, VLOOKUP(K31, nasccClasses, 2, FALSE), IF(AI31 = 3, VLOOKUP(K31, euemClasses, 2, FALSE), IF(AI31 = 4, VLOOKUP(K31, wgtssClasses, 2, FALSE), IF(AI31 = 5, VLOOKUP(K31, wgtmClasses, 2, FALSE), IF(AI31 = 6, VLOOKUP(K31, wpcClasses, 2, FALSE), IF(AI31 = 7, VLOOKUP(K31, asmClasses, 2, FALSE), ""))))))))))</f>
        <v/>
      </c>
      <c r="AL31" s="2" t="str">
        <f t="shared" si="13"/>
        <v/>
      </c>
      <c r="AN31" s="2" t="str">
        <f t="shared" si="6"/>
        <v/>
      </c>
      <c r="AO31" s="2" t="str">
        <f t="shared" si="7"/>
        <v/>
      </c>
      <c r="AQ31" s="2" t="str">
        <f>'Lineup Legality - OOE'!L105</f>
        <v/>
      </c>
      <c r="AS31" s="2" t="str">
        <f>IF(J31 &lt;&gt; "", CONCATENATE("$", ROUND(SUM('Total Costs'!AZ30:BI30), 3), " Million"), "")</f>
        <v/>
      </c>
    </row>
    <row r="32" spans="2:45" ht="18" customHeight="1" x14ac:dyDescent="0.3">
      <c r="B32" s="47" t="str">
        <f t="shared" si="14"/>
        <v/>
      </c>
      <c r="C32" s="47"/>
      <c r="D32" s="47" t="str">
        <f t="shared" si="8"/>
        <v/>
      </c>
      <c r="E32" s="47" t="str">
        <f t="shared" si="9"/>
        <v/>
      </c>
      <c r="F32" s="51"/>
      <c r="G32" s="52"/>
      <c r="H32" s="87" t="str">
        <f t="shared" si="10"/>
        <v/>
      </c>
      <c r="I32" s="47"/>
      <c r="J32" s="47"/>
      <c r="K32" s="47" t="str">
        <f t="shared" si="11"/>
        <v/>
      </c>
      <c r="L32" s="79" t="str">
        <f t="shared" si="11"/>
        <v/>
      </c>
      <c r="M32" s="51"/>
      <c r="N32" s="2"/>
      <c r="O32" s="2"/>
      <c r="P32" s="52"/>
      <c r="Q32" s="47" t="str">
        <f>'Lineup Legality - OOE'!L109</f>
        <v/>
      </c>
      <c r="R32" s="188"/>
      <c r="S32" s="2"/>
      <c r="T32" s="2"/>
      <c r="U32" s="22"/>
      <c r="V32" s="47"/>
      <c r="W32" s="47" t="str">
        <f t="shared" si="12"/>
        <v/>
      </c>
      <c r="AC32" s="2" t="str">
        <f t="shared" si="0"/>
        <v/>
      </c>
      <c r="AD32" s="4" t="str">
        <f t="shared" si="1"/>
        <v/>
      </c>
      <c r="AF32" s="2" t="str">
        <f t="shared" si="2"/>
        <v/>
      </c>
      <c r="AH32" s="2" t="str">
        <f t="shared" si="3"/>
        <v/>
      </c>
      <c r="AI32" s="2">
        <f t="shared" si="4"/>
        <v>0</v>
      </c>
      <c r="AJ32" s="2">
        <f t="shared" si="5"/>
        <v>0</v>
      </c>
      <c r="AK32" s="2" t="str">
        <f>IF(AI32 = 0, "", IF(AI32 = 1, VLOOKUP(K32, gemClasses, 2, FALSE), IF(AI32 = 2, VLOOKUP(K32, nasccClasses, 2, FALSE), IF(AI32 = 2.1, VLOOKUP(K32, nasccClasses, 2, FALSE), IF(AI32 = 2.2, VLOOKUP(K32, nasccClasses, 2, FALSE), IF(AI32 = 3, VLOOKUP(K32, euemClasses, 2, FALSE), IF(AI32 = 4, VLOOKUP(K32, wgtssClasses, 2, FALSE), IF(AI32 = 5, VLOOKUP(K32, wgtmClasses, 2, FALSE), IF(AI32 = 6, VLOOKUP(K32, wpcClasses, 2, FALSE), IF(AI32 = 7, VLOOKUP(K32, asmClasses, 2, FALSE), ""))))))))))</f>
        <v/>
      </c>
      <c r="AL32" s="2" t="str">
        <f t="shared" si="13"/>
        <v/>
      </c>
      <c r="AN32" s="2" t="str">
        <f t="shared" si="6"/>
        <v/>
      </c>
      <c r="AO32" s="2" t="str">
        <f t="shared" si="7"/>
        <v/>
      </c>
      <c r="AQ32" s="2" t="str">
        <f>'Lineup Legality - OOE'!L109</f>
        <v/>
      </c>
      <c r="AS32" s="2" t="str">
        <f>IF(J32 &lt;&gt; "", CONCATENATE("$", ROUND(SUM('Total Costs'!AZ31:BI31), 3), " Million"), "")</f>
        <v/>
      </c>
    </row>
    <row r="33" spans="2:45" ht="18" customHeight="1" x14ac:dyDescent="0.3">
      <c r="B33" s="47" t="str">
        <f t="shared" si="14"/>
        <v/>
      </c>
      <c r="C33" s="47"/>
      <c r="D33" s="47" t="str">
        <f t="shared" si="8"/>
        <v/>
      </c>
      <c r="E33" s="47" t="str">
        <f t="shared" si="9"/>
        <v/>
      </c>
      <c r="F33" s="51"/>
      <c r="G33" s="52"/>
      <c r="H33" s="87" t="str">
        <f t="shared" si="10"/>
        <v/>
      </c>
      <c r="I33" s="47"/>
      <c r="J33" s="47"/>
      <c r="K33" s="47" t="str">
        <f t="shared" si="11"/>
        <v/>
      </c>
      <c r="L33" s="79" t="str">
        <f t="shared" si="11"/>
        <v/>
      </c>
      <c r="M33" s="51"/>
      <c r="N33" s="2"/>
      <c r="O33" s="2"/>
      <c r="P33" s="52"/>
      <c r="Q33" s="47" t="str">
        <f>'Lineup Legality - OOE'!L113</f>
        <v/>
      </c>
      <c r="R33" s="188"/>
      <c r="S33" s="2"/>
      <c r="T33" s="2"/>
      <c r="U33" s="22"/>
      <c r="V33" s="47"/>
      <c r="W33" s="47" t="str">
        <f t="shared" si="12"/>
        <v/>
      </c>
      <c r="AC33" s="2" t="str">
        <f t="shared" si="0"/>
        <v/>
      </c>
      <c r="AD33" s="4" t="str">
        <f t="shared" si="1"/>
        <v/>
      </c>
      <c r="AF33" s="2" t="str">
        <f t="shared" si="2"/>
        <v/>
      </c>
      <c r="AH33" s="2" t="str">
        <f t="shared" si="3"/>
        <v/>
      </c>
      <c r="AI33" s="2">
        <f t="shared" si="4"/>
        <v>0</v>
      </c>
      <c r="AJ33" s="2">
        <f t="shared" si="5"/>
        <v>0</v>
      </c>
      <c r="AK33" s="2" t="str">
        <f>IF(AI33 = 0, "", IF(AI33 = 1, VLOOKUP(K33, gemClasses, 2, FALSE), IF(AI33 = 2, VLOOKUP(K33, nasccClasses, 2, FALSE), IF(AI33 = 2.1, VLOOKUP(K33, nasccClasses, 2, FALSE), IF(AI33 = 2.2, VLOOKUP(K33, nasccClasses, 2, FALSE), IF(AI33 = 3, VLOOKUP(K33, euemClasses, 2, FALSE), IF(AI33 = 4, VLOOKUP(K33, wgtssClasses, 2, FALSE), IF(AI33 = 5, VLOOKUP(K33, wgtmClasses, 2, FALSE), IF(AI33 = 6, VLOOKUP(K33, wpcClasses, 2, FALSE), IF(AI33 = 7, VLOOKUP(K33, asmClasses, 2, FALSE), ""))))))))))</f>
        <v/>
      </c>
      <c r="AL33" s="2" t="str">
        <f t="shared" si="13"/>
        <v/>
      </c>
      <c r="AN33" s="2" t="str">
        <f t="shared" si="6"/>
        <v/>
      </c>
      <c r="AO33" s="2" t="str">
        <f t="shared" si="7"/>
        <v/>
      </c>
      <c r="AQ33" s="2" t="str">
        <f>'Lineup Legality - OOE'!L113</f>
        <v/>
      </c>
      <c r="AS33" s="2" t="str">
        <f>IF(J33 &lt;&gt; "", CONCATENATE("$", ROUND(SUM('Total Costs'!AZ32:BI32), 3), " Million"), "")</f>
        <v/>
      </c>
    </row>
    <row r="34" spans="2:45" ht="18" customHeight="1" x14ac:dyDescent="0.3">
      <c r="B34" s="47" t="str">
        <f t="shared" si="14"/>
        <v/>
      </c>
      <c r="C34" s="47"/>
      <c r="D34" s="47" t="str">
        <f t="shared" si="8"/>
        <v/>
      </c>
      <c r="E34" s="47" t="str">
        <f t="shared" si="9"/>
        <v/>
      </c>
      <c r="F34" s="51"/>
      <c r="G34" s="52"/>
      <c r="H34" s="87" t="str">
        <f t="shared" si="10"/>
        <v/>
      </c>
      <c r="I34" s="47"/>
      <c r="J34" s="47"/>
      <c r="K34" s="47" t="str">
        <f t="shared" si="11"/>
        <v/>
      </c>
      <c r="L34" s="79" t="str">
        <f t="shared" si="11"/>
        <v/>
      </c>
      <c r="M34" s="51"/>
      <c r="N34" s="2"/>
      <c r="O34" s="2"/>
      <c r="P34" s="52"/>
      <c r="Q34" s="47" t="str">
        <f>'Lineup Legality - OOE'!L117</f>
        <v/>
      </c>
      <c r="R34" s="188"/>
      <c r="S34" s="2"/>
      <c r="T34" s="2"/>
      <c r="U34" s="22"/>
      <c r="V34" s="47"/>
      <c r="W34" s="47" t="str">
        <f t="shared" si="12"/>
        <v/>
      </c>
      <c r="AC34" s="2" t="str">
        <f t="shared" si="0"/>
        <v/>
      </c>
      <c r="AD34" s="4" t="str">
        <f t="shared" si="1"/>
        <v/>
      </c>
      <c r="AF34" s="2" t="str">
        <f t="shared" si="2"/>
        <v/>
      </c>
      <c r="AH34" s="2" t="str">
        <f t="shared" si="3"/>
        <v/>
      </c>
      <c r="AI34" s="2">
        <f t="shared" si="4"/>
        <v>0</v>
      </c>
      <c r="AJ34" s="2">
        <f t="shared" si="5"/>
        <v>0</v>
      </c>
      <c r="AK34" s="2" t="str">
        <f>IF(AI34 = 0, "", IF(AI34 = 1, VLOOKUP(K34, gemClasses, 2, FALSE), IF(AI34 = 2, VLOOKUP(K34, nasccClasses, 2, FALSE), IF(AI34 = 2.1, VLOOKUP(K34, nasccClasses, 2, FALSE), IF(AI34 = 2.2, VLOOKUP(K34, nasccClasses, 2, FALSE), IF(AI34 = 3, VLOOKUP(K34, euemClasses, 2, FALSE), IF(AI34 = 4, VLOOKUP(K34, wgtssClasses, 2, FALSE), IF(AI34 = 5, VLOOKUP(K34, wgtmClasses, 2, FALSE), IF(AI34 = 6, VLOOKUP(K34, wpcClasses, 2, FALSE), IF(AI34 = 7, VLOOKUP(K34, asmClasses, 2, FALSE), ""))))))))))</f>
        <v/>
      </c>
      <c r="AL34" s="2" t="str">
        <f t="shared" si="13"/>
        <v/>
      </c>
      <c r="AN34" s="2" t="str">
        <f t="shared" si="6"/>
        <v/>
      </c>
      <c r="AO34" s="2" t="str">
        <f t="shared" si="7"/>
        <v/>
      </c>
      <c r="AQ34" s="2" t="str">
        <f>'Lineup Legality - OOE'!L117</f>
        <v/>
      </c>
      <c r="AS34" s="2" t="str">
        <f>IF(J34 &lt;&gt; "", CONCATENATE("$", ROUND(SUM('Total Costs'!AZ33:BI33), 3), " Million"), "")</f>
        <v/>
      </c>
    </row>
    <row r="35" spans="2:45" ht="18" customHeight="1" x14ac:dyDescent="0.3">
      <c r="B35" s="47" t="str">
        <f t="shared" si="14"/>
        <v/>
      </c>
      <c r="C35" s="47"/>
      <c r="D35" s="47" t="str">
        <f t="shared" si="8"/>
        <v/>
      </c>
      <c r="E35" s="47" t="str">
        <f t="shared" si="9"/>
        <v/>
      </c>
      <c r="F35" s="51"/>
      <c r="G35" s="52"/>
      <c r="H35" s="87" t="str">
        <f t="shared" si="10"/>
        <v/>
      </c>
      <c r="I35" s="47"/>
      <c r="J35" s="47"/>
      <c r="K35" s="47" t="str">
        <f t="shared" si="11"/>
        <v/>
      </c>
      <c r="L35" s="79" t="str">
        <f t="shared" si="11"/>
        <v/>
      </c>
      <c r="M35" s="51"/>
      <c r="N35" s="2"/>
      <c r="O35" s="2"/>
      <c r="P35" s="52"/>
      <c r="Q35" s="47" t="str">
        <f>'Lineup Legality - OOE'!L121</f>
        <v/>
      </c>
      <c r="R35" s="188"/>
      <c r="S35" s="2"/>
      <c r="T35" s="2"/>
      <c r="U35" s="22"/>
      <c r="V35" s="47"/>
      <c r="W35" s="47" t="str">
        <f t="shared" si="12"/>
        <v/>
      </c>
      <c r="AC35" s="2" t="str">
        <f t="shared" si="0"/>
        <v/>
      </c>
      <c r="AD35" s="4" t="str">
        <f t="shared" si="1"/>
        <v/>
      </c>
      <c r="AF35" s="2" t="str">
        <f t="shared" si="2"/>
        <v/>
      </c>
      <c r="AH35" s="2" t="str">
        <f t="shared" si="3"/>
        <v/>
      </c>
      <c r="AI35" s="2">
        <f t="shared" si="4"/>
        <v>0</v>
      </c>
      <c r="AJ35" s="2">
        <f t="shared" si="5"/>
        <v>0</v>
      </c>
      <c r="AK35" s="2" t="str">
        <f>IF(AI35 = 0, "", IF(AI35 = 1, VLOOKUP(K35, gemClasses, 2, FALSE), IF(AI35 = 2, VLOOKUP(K35, nasccClasses, 2, FALSE), IF(AI35 = 2.1, VLOOKUP(K35, nasccClasses, 2, FALSE), IF(AI35 = 2.2, VLOOKUP(K35, nasccClasses, 2, FALSE), IF(AI35 = 3, VLOOKUP(K35, euemClasses, 2, FALSE), IF(AI35 = 4, VLOOKUP(K35, wgtssClasses, 2, FALSE), IF(AI35 = 5, VLOOKUP(K35, wgtmClasses, 2, FALSE), IF(AI35 = 6, VLOOKUP(K35, wpcClasses, 2, FALSE), IF(AI35 = 7, VLOOKUP(K35, asmClasses, 2, FALSE), ""))))))))))</f>
        <v/>
      </c>
      <c r="AL35" s="2" t="str">
        <f t="shared" si="13"/>
        <v/>
      </c>
      <c r="AN35" s="2" t="str">
        <f t="shared" si="6"/>
        <v/>
      </c>
      <c r="AO35" s="2" t="str">
        <f t="shared" si="7"/>
        <v/>
      </c>
      <c r="AQ35" s="2" t="str">
        <f>'Lineup Legality - OOE'!L121</f>
        <v/>
      </c>
      <c r="AS35" s="2" t="str">
        <f>IF(J35 &lt;&gt; "", CONCATENATE("$", ROUND(SUM('Total Costs'!AZ34:BI34), 3), " Million"), "")</f>
        <v/>
      </c>
    </row>
    <row r="36" spans="2:45" ht="18" customHeight="1" x14ac:dyDescent="0.3">
      <c r="B36" s="47" t="str">
        <f t="shared" si="14"/>
        <v/>
      </c>
      <c r="C36" s="47"/>
      <c r="D36" s="47" t="str">
        <f t="shared" si="8"/>
        <v/>
      </c>
      <c r="E36" s="47" t="str">
        <f t="shared" si="9"/>
        <v/>
      </c>
      <c r="F36" s="51"/>
      <c r="G36" s="52"/>
      <c r="H36" s="87" t="str">
        <f t="shared" si="10"/>
        <v/>
      </c>
      <c r="I36" s="47"/>
      <c r="J36" s="47"/>
      <c r="K36" s="47" t="str">
        <f t="shared" si="11"/>
        <v/>
      </c>
      <c r="L36" s="79" t="str">
        <f t="shared" si="11"/>
        <v/>
      </c>
      <c r="M36" s="51"/>
      <c r="N36" s="2"/>
      <c r="O36" s="2"/>
      <c r="P36" s="52"/>
      <c r="Q36" s="47" t="str">
        <f>'Lineup Legality - OOE'!L125</f>
        <v/>
      </c>
      <c r="R36" s="188"/>
      <c r="S36" s="2"/>
      <c r="T36" s="2"/>
      <c r="U36" s="22"/>
      <c r="V36" s="47"/>
      <c r="W36" s="47" t="str">
        <f t="shared" si="12"/>
        <v/>
      </c>
      <c r="AC36" s="2" t="str">
        <f t="shared" si="0"/>
        <v/>
      </c>
      <c r="AD36" s="4" t="str">
        <f t="shared" si="1"/>
        <v/>
      </c>
      <c r="AF36" s="2" t="str">
        <f t="shared" si="2"/>
        <v/>
      </c>
      <c r="AH36" s="2" t="str">
        <f t="shared" si="3"/>
        <v/>
      </c>
      <c r="AI36" s="2">
        <f t="shared" si="4"/>
        <v>0</v>
      </c>
      <c r="AJ36" s="2">
        <f t="shared" si="5"/>
        <v>0</v>
      </c>
      <c r="AK36" s="2" t="str">
        <f>IF(AI36 = 0, "", IF(AI36 = 1, VLOOKUP(K36, gemClasses, 2, FALSE), IF(AI36 = 2, VLOOKUP(K36, nasccClasses, 2, FALSE), IF(AI36 = 2.1, VLOOKUP(K36, nasccClasses, 2, FALSE), IF(AI36 = 2.2, VLOOKUP(K36, nasccClasses, 2, FALSE), IF(AI36 = 3, VLOOKUP(K36, euemClasses, 2, FALSE), IF(AI36 = 4, VLOOKUP(K36, wgtssClasses, 2, FALSE), IF(AI36 = 5, VLOOKUP(K36, wgtmClasses, 2, FALSE), IF(AI36 = 6, VLOOKUP(K36, wpcClasses, 2, FALSE), IF(AI36 = 7, VLOOKUP(K36, asmClasses, 2, FALSE), ""))))))))))</f>
        <v/>
      </c>
      <c r="AL36" s="2" t="str">
        <f t="shared" si="13"/>
        <v/>
      </c>
      <c r="AN36" s="2" t="str">
        <f t="shared" si="6"/>
        <v/>
      </c>
      <c r="AO36" s="2" t="str">
        <f t="shared" si="7"/>
        <v/>
      </c>
      <c r="AQ36" s="2" t="str">
        <f>'Lineup Legality - OOE'!L125</f>
        <v/>
      </c>
      <c r="AS36" s="2" t="str">
        <f>IF(J36 &lt;&gt; "", CONCATENATE("$", ROUND(SUM('Total Costs'!AZ35:BI35), 3), " Million"), "")</f>
        <v/>
      </c>
    </row>
    <row r="37" spans="2:45" ht="18" customHeight="1" x14ac:dyDescent="0.3">
      <c r="B37" s="47" t="str">
        <f t="shared" si="14"/>
        <v/>
      </c>
      <c r="C37" s="47"/>
      <c r="D37" s="47" t="str">
        <f t="shared" si="8"/>
        <v/>
      </c>
      <c r="E37" s="47" t="str">
        <f t="shared" si="9"/>
        <v/>
      </c>
      <c r="F37" s="51"/>
      <c r="G37" s="52"/>
      <c r="H37" s="87" t="str">
        <f t="shared" si="10"/>
        <v/>
      </c>
      <c r="I37" s="47"/>
      <c r="J37" s="47"/>
      <c r="K37" s="47" t="str">
        <f t="shared" si="11"/>
        <v/>
      </c>
      <c r="L37" s="79" t="str">
        <f t="shared" si="11"/>
        <v/>
      </c>
      <c r="M37" s="51"/>
      <c r="N37" s="2"/>
      <c r="O37" s="2"/>
      <c r="P37" s="52"/>
      <c r="Q37" s="47" t="str">
        <f>'Lineup Legality - OOE'!L129</f>
        <v/>
      </c>
      <c r="R37" s="188"/>
      <c r="S37" s="2"/>
      <c r="T37" s="2"/>
      <c r="U37" s="22"/>
      <c r="V37" s="47"/>
      <c r="W37" s="47" t="str">
        <f t="shared" si="12"/>
        <v/>
      </c>
      <c r="AC37" s="2" t="str">
        <f t="shared" si="0"/>
        <v/>
      </c>
      <c r="AD37" s="4" t="str">
        <f t="shared" si="1"/>
        <v/>
      </c>
      <c r="AF37" s="2" t="str">
        <f t="shared" si="2"/>
        <v/>
      </c>
      <c r="AH37" s="2" t="str">
        <f t="shared" si="3"/>
        <v/>
      </c>
      <c r="AI37" s="2">
        <f t="shared" si="4"/>
        <v>0</v>
      </c>
      <c r="AJ37" s="2">
        <f t="shared" si="5"/>
        <v>0</v>
      </c>
      <c r="AK37" s="2" t="str">
        <f>IF(AI37 = 0, "", IF(AI37 = 1, VLOOKUP(K37, gemClasses, 2, FALSE), IF(AI37 = 2, VLOOKUP(K37, nasccClasses, 2, FALSE), IF(AI37 = 2.1, VLOOKUP(K37, nasccClasses, 2, FALSE), IF(AI37 = 2.2, VLOOKUP(K37, nasccClasses, 2, FALSE), IF(AI37 = 3, VLOOKUP(K37, euemClasses, 2, FALSE), IF(AI37 = 4, VLOOKUP(K37, wgtssClasses, 2, FALSE), IF(AI37 = 5, VLOOKUP(K37, wgtmClasses, 2, FALSE), IF(AI37 = 6, VLOOKUP(K37, wpcClasses, 2, FALSE), IF(AI37 = 7, VLOOKUP(K37, asmClasses, 2, FALSE), ""))))))))))</f>
        <v/>
      </c>
      <c r="AL37" s="2" t="str">
        <f t="shared" si="13"/>
        <v/>
      </c>
      <c r="AN37" s="2" t="str">
        <f t="shared" si="6"/>
        <v/>
      </c>
      <c r="AO37" s="2" t="str">
        <f t="shared" si="7"/>
        <v/>
      </c>
      <c r="AQ37" s="2" t="str">
        <f>'Lineup Legality - OOE'!L129</f>
        <v/>
      </c>
      <c r="AS37" s="2" t="str">
        <f>IF(J37 &lt;&gt; "", CONCATENATE("$", ROUND(SUM('Total Costs'!AZ36:BI36), 3), " Million"), "")</f>
        <v/>
      </c>
    </row>
    <row r="38" spans="2:45" ht="18" customHeight="1" x14ac:dyDescent="0.3">
      <c r="B38" s="47" t="str">
        <f t="shared" si="14"/>
        <v/>
      </c>
      <c r="C38" s="47"/>
      <c r="D38" s="47" t="str">
        <f t="shared" si="8"/>
        <v/>
      </c>
      <c r="E38" s="47" t="str">
        <f t="shared" si="9"/>
        <v/>
      </c>
      <c r="F38" s="51"/>
      <c r="G38" s="52"/>
      <c r="H38" s="87" t="str">
        <f t="shared" si="10"/>
        <v/>
      </c>
      <c r="I38" s="47"/>
      <c r="J38" s="47"/>
      <c r="K38" s="47" t="str">
        <f t="shared" si="11"/>
        <v/>
      </c>
      <c r="L38" s="79" t="str">
        <f t="shared" si="11"/>
        <v/>
      </c>
      <c r="M38" s="51"/>
      <c r="N38" s="2"/>
      <c r="O38" s="2"/>
      <c r="P38" s="52"/>
      <c r="Q38" s="47" t="str">
        <f>'Lineup Legality - OOE'!L133</f>
        <v/>
      </c>
      <c r="R38" s="188"/>
      <c r="S38" s="2"/>
      <c r="T38" s="2"/>
      <c r="U38" s="22"/>
      <c r="V38" s="47"/>
      <c r="W38" s="47" t="str">
        <f t="shared" si="12"/>
        <v/>
      </c>
      <c r="AC38" s="2" t="str">
        <f t="shared" si="0"/>
        <v/>
      </c>
      <c r="AD38" s="4" t="str">
        <f t="shared" si="1"/>
        <v/>
      </c>
      <c r="AF38" s="2" t="str">
        <f t="shared" si="2"/>
        <v/>
      </c>
      <c r="AH38" s="2" t="str">
        <f t="shared" si="3"/>
        <v/>
      </c>
      <c r="AI38" s="2">
        <f t="shared" si="4"/>
        <v>0</v>
      </c>
      <c r="AJ38" s="2">
        <f t="shared" si="5"/>
        <v>0</v>
      </c>
      <c r="AK38" s="2" t="str">
        <f>IF(AI38 = 0, "", IF(AI38 = 1, VLOOKUP(K38, gemClasses, 2, FALSE), IF(AI38 = 2, VLOOKUP(K38, nasccClasses, 2, FALSE), IF(AI38 = 2.1, VLOOKUP(K38, nasccClasses, 2, FALSE), IF(AI38 = 2.2, VLOOKUP(K38, nasccClasses, 2, FALSE), IF(AI38 = 3, VLOOKUP(K38, euemClasses, 2, FALSE), IF(AI38 = 4, VLOOKUP(K38, wgtssClasses, 2, FALSE), IF(AI38 = 5, VLOOKUP(K38, wgtmClasses, 2, FALSE), IF(AI38 = 6, VLOOKUP(K38, wpcClasses, 2, FALSE), IF(AI38 = 7, VLOOKUP(K38, asmClasses, 2, FALSE), ""))))))))))</f>
        <v/>
      </c>
      <c r="AL38" s="2" t="str">
        <f t="shared" si="13"/>
        <v/>
      </c>
      <c r="AN38" s="2" t="str">
        <f t="shared" si="6"/>
        <v/>
      </c>
      <c r="AO38" s="2" t="str">
        <f t="shared" si="7"/>
        <v/>
      </c>
      <c r="AQ38" s="2" t="str">
        <f>'Lineup Legality - OOE'!L133</f>
        <v/>
      </c>
      <c r="AS38" s="2" t="str">
        <f>IF(J38 &lt;&gt; "", CONCATENATE("$", ROUND(SUM('Total Costs'!AZ37:BI37), 3), " Million"), "")</f>
        <v/>
      </c>
    </row>
    <row r="39" spans="2:45" ht="18" customHeight="1" x14ac:dyDescent="0.3">
      <c r="B39" s="47" t="str">
        <f t="shared" si="14"/>
        <v/>
      </c>
      <c r="C39" s="47"/>
      <c r="D39" s="47" t="str">
        <f t="shared" si="8"/>
        <v/>
      </c>
      <c r="E39" s="47" t="str">
        <f t="shared" si="9"/>
        <v/>
      </c>
      <c r="F39" s="51"/>
      <c r="G39" s="52"/>
      <c r="H39" s="87" t="str">
        <f t="shared" si="10"/>
        <v/>
      </c>
      <c r="I39" s="47"/>
      <c r="J39" s="47"/>
      <c r="K39" s="47" t="str">
        <f t="shared" si="11"/>
        <v/>
      </c>
      <c r="L39" s="79" t="str">
        <f t="shared" si="11"/>
        <v/>
      </c>
      <c r="M39" s="51"/>
      <c r="N39" s="2"/>
      <c r="O39" s="2"/>
      <c r="P39" s="52"/>
      <c r="Q39" s="47" t="str">
        <f>'Lineup Legality - OOE'!L137</f>
        <v/>
      </c>
      <c r="R39" s="188"/>
      <c r="S39" s="2"/>
      <c r="T39" s="2"/>
      <c r="U39" s="22"/>
      <c r="V39" s="47"/>
      <c r="W39" s="47" t="str">
        <f t="shared" si="12"/>
        <v/>
      </c>
      <c r="AC39" s="2" t="str">
        <f t="shared" si="0"/>
        <v/>
      </c>
      <c r="AD39" s="4" t="str">
        <f t="shared" si="1"/>
        <v/>
      </c>
      <c r="AF39" s="2" t="str">
        <f t="shared" si="2"/>
        <v/>
      </c>
      <c r="AH39" s="2" t="str">
        <f t="shared" si="3"/>
        <v/>
      </c>
      <c r="AI39" s="2">
        <f t="shared" si="4"/>
        <v>0</v>
      </c>
      <c r="AJ39" s="2">
        <f t="shared" si="5"/>
        <v>0</v>
      </c>
      <c r="AK39" s="2" t="str">
        <f>IF(AI39 = 0, "", IF(AI39 = 1, VLOOKUP(K39, gemClasses, 2, FALSE), IF(AI39 = 2, VLOOKUP(K39, nasccClasses, 2, FALSE), IF(AI39 = 2.1, VLOOKUP(K39, nasccClasses, 2, FALSE), IF(AI39 = 2.2, VLOOKUP(K39, nasccClasses, 2, FALSE), IF(AI39 = 3, VLOOKUP(K39, euemClasses, 2, FALSE), IF(AI39 = 4, VLOOKUP(K39, wgtssClasses, 2, FALSE), IF(AI39 = 5, VLOOKUP(K39, wgtmClasses, 2, FALSE), IF(AI39 = 6, VLOOKUP(K39, wpcClasses, 2, FALSE), IF(AI39 = 7, VLOOKUP(K39, asmClasses, 2, FALSE), ""))))))))))</f>
        <v/>
      </c>
      <c r="AL39" s="2" t="str">
        <f t="shared" si="13"/>
        <v/>
      </c>
      <c r="AN39" s="2" t="str">
        <f t="shared" si="6"/>
        <v/>
      </c>
      <c r="AO39" s="2" t="str">
        <f t="shared" si="7"/>
        <v/>
      </c>
      <c r="AQ39" s="2" t="str">
        <f>'Lineup Legality - OOE'!L137</f>
        <v/>
      </c>
      <c r="AS39" s="2" t="str">
        <f>IF(J39 &lt;&gt; "", CONCATENATE("$", ROUND(SUM('Total Costs'!AZ38:BI38), 3), " Million"), "")</f>
        <v/>
      </c>
    </row>
    <row r="40" spans="2:45" ht="18" customHeight="1" thickBot="1" x14ac:dyDescent="0.35">
      <c r="B40" s="47" t="str">
        <f t="shared" si="14"/>
        <v/>
      </c>
      <c r="C40" s="47"/>
      <c r="D40" s="47" t="str">
        <f t="shared" si="8"/>
        <v/>
      </c>
      <c r="E40" s="47" t="str">
        <f t="shared" si="9"/>
        <v/>
      </c>
      <c r="F40" s="51"/>
      <c r="G40" s="52"/>
      <c r="H40" s="87" t="str">
        <f t="shared" si="10"/>
        <v/>
      </c>
      <c r="I40" s="47"/>
      <c r="J40" s="47"/>
      <c r="K40" s="47" t="str">
        <f t="shared" si="11"/>
        <v/>
      </c>
      <c r="L40" s="79" t="str">
        <f t="shared" si="11"/>
        <v/>
      </c>
      <c r="M40" s="51"/>
      <c r="N40" s="2"/>
      <c r="O40" s="2"/>
      <c r="P40" s="52"/>
      <c r="Q40" s="47" t="str">
        <f>'Lineup Legality - OOE'!L141</f>
        <v/>
      </c>
      <c r="R40" s="188"/>
      <c r="S40" s="2"/>
      <c r="T40" s="2"/>
      <c r="U40" s="22"/>
      <c r="V40" s="47"/>
      <c r="W40" s="47" t="str">
        <f t="shared" si="12"/>
        <v/>
      </c>
      <c r="AC40" s="2" t="str">
        <f t="shared" si="0"/>
        <v/>
      </c>
      <c r="AD40" s="4" t="str">
        <f t="shared" si="1"/>
        <v/>
      </c>
      <c r="AF40" s="2" t="str">
        <f t="shared" si="2"/>
        <v/>
      </c>
      <c r="AH40" s="2" t="str">
        <f t="shared" si="3"/>
        <v/>
      </c>
      <c r="AI40" s="2">
        <f t="shared" si="4"/>
        <v>0</v>
      </c>
      <c r="AJ40" s="2">
        <f t="shared" si="5"/>
        <v>0</v>
      </c>
      <c r="AK40" s="2" t="str">
        <f>IF(AI40 = 0, "", IF(AI40 = 1, VLOOKUP(K40, gemClasses, 2, FALSE), IF(AI40 = 2, VLOOKUP(K40, nasccClasses, 2, FALSE), IF(AI40 = 2.1, VLOOKUP(K40, nasccClasses, 2, FALSE), IF(AI40 = 2.2, VLOOKUP(K40, nasccClasses, 2, FALSE), IF(AI40 = 3, VLOOKUP(K40, euemClasses, 2, FALSE), IF(AI40 = 4, VLOOKUP(K40, wgtssClasses, 2, FALSE), IF(AI40 = 5, VLOOKUP(K40, wgtmClasses, 2, FALSE), IF(AI40 = 6, VLOOKUP(K40, wpcClasses, 2, FALSE), IF(AI40 = 7, VLOOKUP(K40, asmClasses, 2, FALSE), ""))))))))))</f>
        <v/>
      </c>
      <c r="AL40" s="2" t="str">
        <f t="shared" si="13"/>
        <v/>
      </c>
      <c r="AN40" s="2" t="str">
        <f t="shared" si="6"/>
        <v/>
      </c>
      <c r="AO40" s="2" t="str">
        <f t="shared" si="7"/>
        <v/>
      </c>
      <c r="AQ40" s="2" t="str">
        <f>'Lineup Legality - OOE'!L141</f>
        <v/>
      </c>
      <c r="AS40" s="2" t="str">
        <f>IF(J40 &lt;&gt; "", CONCATENATE("$", ROUND(SUM('Total Costs'!AZ39:BI39), 3), " Million"), "")</f>
        <v/>
      </c>
    </row>
    <row r="41" spans="2:45" ht="18" customHeight="1" x14ac:dyDescent="0.3"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</row>
  </sheetData>
  <sheetProtection algorithmName="SHA-512" hashValue="Lujz9Xzr+Bc1TMDsq7HhZ/aoT/PSvkfgQAglpXuKNdn+lpXxPB2azIqqDlhr8nXjHDz5CvDd8Urz3+CDFwNdwQ==" saltValue="EwGE6Mfr3nrK7nfIkCY35g==" spinCount="100000" sheet="1"/>
  <protectedRanges>
    <protectedRange sqref="C6:C40 F6:G40 I6:J40 M6:P40 R6:V40" name="Editable OOE"/>
  </protectedRanges>
  <mergeCells count="20">
    <mergeCell ref="AC4:AD4"/>
    <mergeCell ref="AI5:AJ5"/>
    <mergeCell ref="AH4:AL4"/>
    <mergeCell ref="B2:W2"/>
    <mergeCell ref="B3:W3"/>
    <mergeCell ref="B4:B5"/>
    <mergeCell ref="J4:L4"/>
    <mergeCell ref="M4:Q4"/>
    <mergeCell ref="W4:W5"/>
    <mergeCell ref="C4:E4"/>
    <mergeCell ref="F4:I4"/>
    <mergeCell ref="R4:V4"/>
    <mergeCell ref="R5:U5"/>
    <mergeCell ref="Z19:Z20"/>
    <mergeCell ref="Z21:Z22"/>
    <mergeCell ref="Z17:Z18"/>
    <mergeCell ref="Z6:Z8"/>
    <mergeCell ref="Z9:Z11"/>
    <mergeCell ref="Z12:Z14"/>
    <mergeCell ref="Z15:Z16"/>
  </mergeCells>
  <conditionalFormatting sqref="D6:D40">
    <cfRule type="cellIs" dxfId="160" priority="180" operator="equal">
      <formula>"GEM"</formula>
    </cfRule>
    <cfRule type="cellIs" dxfId="159" priority="181" operator="equal">
      <formula>"NASCC"</formula>
    </cfRule>
    <cfRule type="cellIs" dxfId="158" priority="206" operator="equal">
      <formula>"EuEM"</formula>
    </cfRule>
    <cfRule type="cellIs" dxfId="157" priority="207" operator="equal">
      <formula>"WGTSS"</formula>
    </cfRule>
    <cfRule type="cellIs" dxfId="156" priority="208" operator="equal">
      <formula>"WGTM"</formula>
    </cfRule>
    <cfRule type="cellIs" dxfId="155" priority="209" operator="equal">
      <formula>"WPC"</formula>
    </cfRule>
    <cfRule type="cellIs" dxfId="154" priority="210" operator="equal">
      <formula>"ASM"</formula>
    </cfRule>
  </conditionalFormatting>
  <conditionalFormatting sqref="E6:E40">
    <cfRule type="cellIs" dxfId="153" priority="48" operator="equal">
      <formula>"LMP1"</formula>
    </cfRule>
    <cfRule type="cellIs" dxfId="152" priority="108" operator="equal">
      <formula>"LMP2"</formula>
    </cfRule>
    <cfRule type="cellIs" dxfId="151" priority="109" operator="equal">
      <formula>"LMGTE PRO"</formula>
    </cfRule>
    <cfRule type="cellIs" dxfId="150" priority="110" operator="equal">
      <formula>"LMGTE AM"</formula>
    </cfRule>
    <cfRule type="cellIs" dxfId="149" priority="111" operator="equal">
      <formula>"DPi"</formula>
    </cfRule>
    <cfRule type="cellIs" dxfId="148" priority="112" operator="equal">
      <formula>" LMP2 "</formula>
    </cfRule>
    <cfRule type="cellIs" dxfId="147" priority="114" operator="equal">
      <formula>"GTLM"</formula>
    </cfRule>
    <cfRule type="cellIs" dxfId="146" priority="115" operator="equal">
      <formula>"GTD"</formula>
    </cfRule>
    <cfRule type="cellIs" dxfId="145" priority="116" operator="equal">
      <formula>"  LMP2  "</formula>
    </cfRule>
    <cfRule type="cellIs" dxfId="144" priority="117" operator="equal">
      <formula>"LMP3"</formula>
    </cfRule>
    <cfRule type="cellIs" dxfId="143" priority="118" operator="equal">
      <formula>"LMGTE"</formula>
    </cfRule>
    <cfRule type="cellIs" dxfId="142" priority="119" operator="equal">
      <formula>"GT3"</formula>
    </cfRule>
    <cfRule type="cellIs" dxfId="141" priority="120" operator="equal">
      <formula>"GT4"</formula>
    </cfRule>
    <cfRule type="cellIs" dxfId="140" priority="121" operator="equal">
      <formula>"GT3-P"</formula>
    </cfRule>
    <cfRule type="cellIs" dxfId="139" priority="122" operator="equal">
      <formula>"GT3-A"</formula>
    </cfRule>
    <cfRule type="cellIs" dxfId="138" priority="123" operator="equal">
      <formula>" GT4 "</formula>
    </cfRule>
    <cfRule type="cellIs" dxfId="137" priority="124" operator="equal">
      <formula>" LMP3 "</formula>
    </cfRule>
    <cfRule type="cellIs" dxfId="136" priority="125" operator="equal">
      <formula>" GT3 "</formula>
    </cfRule>
    <cfRule type="cellIs" dxfId="135" priority="126" operator="equal">
      <formula>"  GT4  "</formula>
    </cfRule>
  </conditionalFormatting>
  <conditionalFormatting sqref="H6:H40">
    <cfRule type="cellIs" dxfId="134" priority="52" operator="equal">
      <formula>"Continental"</formula>
    </cfRule>
    <cfRule type="cellIs" dxfId="133" priority="53" operator="equal">
      <formula>"Dunlop"</formula>
    </cfRule>
    <cfRule type="cellIs" dxfId="132" priority="54" operator="equal">
      <formula>"Michelin"</formula>
    </cfRule>
  </conditionalFormatting>
  <conditionalFormatting sqref="K6:K40">
    <cfRule type="cellIs" dxfId="131" priority="56" operator="equal">
      <formula>"LMP1-H"</formula>
    </cfRule>
    <cfRule type="cellIs" dxfId="130" priority="133" operator="equal">
      <formula>"LMP1-L"</formula>
    </cfRule>
    <cfRule type="cellIs" dxfId="129" priority="172" operator="equal">
      <formula>"DPi"</formula>
    </cfRule>
    <cfRule type="cellIs" dxfId="128" priority="173" operator="equal">
      <formula>"LMP2"</formula>
    </cfRule>
    <cfRule type="cellIs" dxfId="127" priority="174" operator="equal">
      <formula>"LMP3"</formula>
    </cfRule>
    <cfRule type="cellIs" dxfId="126" priority="175" operator="equal">
      <formula>"LMGTE"</formula>
    </cfRule>
    <cfRule type="cellIs" dxfId="125" priority="176" operator="equal">
      <formula>"GT3"</formula>
    </cfRule>
    <cfRule type="cellIs" dxfId="124" priority="177" operator="equal">
      <formula>"GT4"</formula>
    </cfRule>
  </conditionalFormatting>
  <conditionalFormatting sqref="L6:L40">
    <cfRule type="cellIs" dxfId="123" priority="1" operator="equal">
      <formula>"BR Engineering BR1"</formula>
    </cfRule>
    <cfRule type="cellIs" dxfId="122" priority="2" operator="equal">
      <formula>"ENSO CLM P1/01"</formula>
    </cfRule>
    <cfRule type="cellIs" dxfId="121" priority="3" operator="equal">
      <formula>"Ginetta G60-LT-P1"</formula>
    </cfRule>
    <cfRule type="cellIs" dxfId="120" priority="4" operator="equal">
      <formula>"Rebellion R13"</formula>
    </cfRule>
    <cfRule type="cellIs" dxfId="119" priority="5" operator="equal">
      <formula>"Porsche 919 Hybrid"</formula>
    </cfRule>
    <cfRule type="cellIs" dxfId="118" priority="6" operator="equal">
      <formula>"Toyota TS050 - Hybrid"</formula>
    </cfRule>
    <cfRule type="cellIs" dxfId="117" priority="7" operator="equal">
      <formula>"Acura ARX-05"</formula>
    </cfRule>
    <cfRule type="cellIs" dxfId="116" priority="8" operator="equal">
      <formula>"Cadillac DPi-V.R"</formula>
    </cfRule>
    <cfRule type="cellIs" dxfId="115" priority="9" operator="equal">
      <formula>"Mazda RT24-P"</formula>
    </cfRule>
    <cfRule type="cellIs" dxfId="114" priority="10" operator="equal">
      <formula>"Nissan Onroak DPi"</formula>
    </cfRule>
    <cfRule type="cellIs" dxfId="113" priority="11" operator="equal">
      <formula>"Dallara P217"</formula>
    </cfRule>
    <cfRule type="cellIs" dxfId="112" priority="12" operator="equal">
      <formula>"Ligier JS P217"</formula>
    </cfRule>
    <cfRule type="cellIs" dxfId="111" priority="13" operator="equal">
      <formula>"Oreca 07"</formula>
    </cfRule>
    <cfRule type="cellIs" dxfId="110" priority="14" operator="equal">
      <formula>"Riley-Multimatic Mk. 30"</formula>
    </cfRule>
    <cfRule type="cellIs" dxfId="109" priority="15" operator="equal">
      <formula>"ADESS-03"</formula>
    </cfRule>
    <cfRule type="cellIs" dxfId="108" priority="16" operator="equal">
      <formula>"Ginetta-Juno P3"</formula>
    </cfRule>
    <cfRule type="cellIs" dxfId="107" priority="17" operator="equal">
      <formula>"Ligier JS P3"</formula>
    </cfRule>
    <cfRule type="cellIs" dxfId="106" priority="18" operator="equal">
      <formula>"Norma M30"</formula>
    </cfRule>
    <cfRule type="cellIs" dxfId="105" priority="19" operator="equal">
      <formula>"Aston Martin Vantage GTE"</formula>
    </cfRule>
    <cfRule type="cellIs" dxfId="104" priority="20" operator="equal">
      <formula>"BMW M8 GTE"</formula>
    </cfRule>
    <cfRule type="cellIs" dxfId="103" priority="21" operator="equal">
      <formula>"Chevrolet Corvette C7.R"</formula>
    </cfRule>
    <cfRule type="cellIs" dxfId="102" priority="22" operator="equal">
      <formula>"Ferrari 488 GTE Evo"</formula>
    </cfRule>
    <cfRule type="cellIs" dxfId="101" priority="23" operator="equal">
      <formula>"Ford GT"</formula>
    </cfRule>
    <cfRule type="cellIs" dxfId="100" priority="24" operator="equal">
      <formula>"Porsche 911 RSR"</formula>
    </cfRule>
    <cfRule type="cellIs" dxfId="99" priority="25" operator="equal">
      <formula>"Acura NSX GT3"</formula>
    </cfRule>
    <cfRule type="cellIs" dxfId="98" priority="26" operator="equal">
      <formula>"Aston Martin Vantage GT3"</formula>
    </cfRule>
    <cfRule type="cellIs" dxfId="97" priority="27" operator="equal">
      <formula>"Audi R8 LMS"</formula>
    </cfRule>
    <cfRule type="cellIs" dxfId="96" priority="28" operator="equal">
      <formula>"Bentley Continental GT3"</formula>
    </cfRule>
    <cfRule type="cellIs" dxfId="95" priority="29" operator="equal">
      <formula>"BMW M6 GT3"</formula>
    </cfRule>
    <cfRule type="cellIs" dxfId="94" priority="30" operator="equal">
      <formula>"Callaway Corvette C7 GT3-R"</formula>
    </cfRule>
    <cfRule type="cellIs" dxfId="93" priority="31" operator="equal">
      <formula>"Ferrari 488 GT3"</formula>
    </cfRule>
    <cfRule type="cellIs" dxfId="92" priority="32" operator="equal">
      <formula>"Lamborghini Huracán GT3"</formula>
    </cfRule>
    <cfRule type="cellIs" dxfId="91" priority="33" operator="equal">
      <formula>"Lexus RC F GT3"</formula>
    </cfRule>
    <cfRule type="cellIs" dxfId="90" priority="34" operator="equal">
      <formula>"McLaren 650S GT3"</formula>
    </cfRule>
    <cfRule type="cellIs" dxfId="89" priority="35" operator="equal">
      <formula>"Mercedes-AMG GT3"</formula>
    </cfRule>
    <cfRule type="cellIs" dxfId="88" priority="36" operator="equal">
      <formula>"Nissan GT-R Nismo GT3"</formula>
    </cfRule>
    <cfRule type="cellIs" dxfId="87" priority="37" operator="equal">
      <formula>"Porsche 911 GT3 R"</formula>
    </cfRule>
    <cfRule type="cellIs" dxfId="86" priority="38" operator="equal">
      <formula>"Aston Martin V8 Vantage GT4"</formula>
    </cfRule>
    <cfRule type="cellIs" dxfId="85" priority="39" operator="equal">
      <formula>"Audi R8 LMS GT4"</formula>
    </cfRule>
    <cfRule type="cellIs" dxfId="84" priority="40" operator="equal">
      <formula>"Ekris M4 GT4"</formula>
    </cfRule>
    <cfRule type="cellIs" dxfId="83" priority="41" operator="equal">
      <formula>"Ford Mustang GT4"</formula>
    </cfRule>
    <cfRule type="cellIs" dxfId="82" priority="42" operator="equal">
      <formula>"Ginetta G55 GT4"</formula>
    </cfRule>
    <cfRule type="cellIs" dxfId="81" priority="43" operator="equal">
      <formula>"KTM X-Bow GT4"</formula>
    </cfRule>
    <cfRule type="cellIs" dxfId="80" priority="44" operator="equal">
      <formula>"Maserati GranTurismo MC GT4"</formula>
    </cfRule>
    <cfRule type="cellIs" dxfId="79" priority="45" operator="equal">
      <formula>"Nissan 370Z GT4"</formula>
    </cfRule>
    <cfRule type="cellIs" dxfId="78" priority="46" operator="equal">
      <formula>"McLaren 570S GT4"</formula>
    </cfRule>
    <cfRule type="cellIs" dxfId="77" priority="47" operator="equal">
      <formula>"Porsche Cayman GT4 Clubsport MR"</formula>
    </cfRule>
  </conditionalFormatting>
  <conditionalFormatting sqref="M6:P40">
    <cfRule type="cellIs" dxfId="76" priority="211" operator="equal">
      <formula>"Platinum"</formula>
    </cfRule>
    <cfRule type="cellIs" dxfId="75" priority="212" operator="equal">
      <formula>"Gold"</formula>
    </cfRule>
    <cfRule type="cellIs" dxfId="74" priority="213" operator="equal">
      <formula>"Silver"</formula>
    </cfRule>
    <cfRule type="cellIs" dxfId="73" priority="214" operator="equal">
      <formula>"Bronze"</formula>
    </cfRule>
  </conditionalFormatting>
  <conditionalFormatting sqref="Q6:Q40">
    <cfRule type="cellIs" dxfId="72" priority="184" operator="equal">
      <formula>TRUE</formula>
    </cfRule>
    <cfRule type="cellIs" dxfId="71" priority="185" operator="equal">
      <formula>FALSE</formula>
    </cfRule>
  </conditionalFormatting>
  <conditionalFormatting sqref="AC6:AC40">
    <cfRule type="cellIs" dxfId="70" priority="55" operator="equal">
      <formula>"LMP1-H"</formula>
    </cfRule>
    <cfRule type="cellIs" dxfId="69" priority="63" operator="equal">
      <formula>"LMP1-L"</formula>
    </cfRule>
    <cfRule type="cellIs" dxfId="68" priority="102" operator="equal">
      <formula>"DPi"</formula>
    </cfRule>
    <cfRule type="cellIs" dxfId="67" priority="103" operator="equal">
      <formula>"LMP2"</formula>
    </cfRule>
    <cfRule type="cellIs" dxfId="66" priority="104" operator="equal">
      <formula>"LMP3"</formula>
    </cfRule>
    <cfRule type="cellIs" dxfId="65" priority="105" operator="equal">
      <formula>"GTE"</formula>
    </cfRule>
    <cfRule type="cellIs" dxfId="64" priority="106" operator="equal">
      <formula>"GT3"</formula>
    </cfRule>
    <cfRule type="cellIs" dxfId="63" priority="107" operator="equal">
      <formula>"GT4"</formula>
    </cfRule>
  </conditionalFormatting>
  <conditionalFormatting sqref="AD6:AD40">
    <cfRule type="cellIs" dxfId="62" priority="57" operator="equal">
      <formula>"Audi R18"</formula>
    </cfRule>
    <cfRule type="cellIs" dxfId="61" priority="58" operator="equal">
      <formula>"Porsche 919 Hybrid"</formula>
    </cfRule>
    <cfRule type="cellIs" dxfId="60" priority="59" operator="equal">
      <formula>"Toyota TS050 Hybrid"</formula>
    </cfRule>
    <cfRule type="cellIs" dxfId="59" priority="60" operator="equal">
      <formula>"ENSO CLM P1/01"</formula>
    </cfRule>
    <cfRule type="cellIs" dxfId="58" priority="61" operator="equal">
      <formula>"Cadillac DPi-V.R"</formula>
    </cfRule>
    <cfRule type="cellIs" dxfId="57" priority="62" operator="equal">
      <formula>"Mazda RT24-P"</formula>
    </cfRule>
    <cfRule type="cellIs" dxfId="56" priority="64" operator="equal">
      <formula>"Nissan Onroak DPi"</formula>
    </cfRule>
    <cfRule type="cellIs" dxfId="55" priority="65" operator="equal">
      <formula>"Dallara P217"</formula>
    </cfRule>
    <cfRule type="cellIs" dxfId="54" priority="66" operator="equal">
      <formula>"Ligier JS P217"</formula>
    </cfRule>
    <cfRule type="cellIs" dxfId="53" priority="67" operator="equal">
      <formula>"Oreca 07"</formula>
    </cfRule>
    <cfRule type="cellIs" dxfId="52" priority="68" operator="equal">
      <formula>"Riley-Multimatic Mk. 30"</formula>
    </cfRule>
    <cfRule type="cellIs" dxfId="51" priority="69" operator="equal">
      <formula>"ADESS-03"</formula>
    </cfRule>
    <cfRule type="cellIs" dxfId="50" priority="70" operator="equal">
      <formula>"Ginetta-Juno P3"</formula>
    </cfRule>
    <cfRule type="cellIs" dxfId="49" priority="71" operator="equal">
      <formula>"Ligier JS P3"</formula>
    </cfRule>
    <cfRule type="cellIs" dxfId="48" priority="72" operator="equal">
      <formula>"Norma M30"</formula>
    </cfRule>
    <cfRule type="cellIs" dxfId="47" priority="73" operator="equal">
      <formula>"Aston Martin Vantage GTE"</formula>
    </cfRule>
    <cfRule type="cellIs" dxfId="46" priority="74" operator="equal">
      <formula>"BMW M6 GTLM"</formula>
    </cfRule>
    <cfRule type="cellIs" dxfId="45" priority="75" operator="equal">
      <formula>"Chevrolet Corvette C7.R"</formula>
    </cfRule>
    <cfRule type="cellIs" dxfId="44" priority="76" operator="equal">
      <formula>"Ferrari 488 GTE"</formula>
    </cfRule>
    <cfRule type="cellIs" dxfId="43" priority="77" operator="equal">
      <formula>"Ford GT"</formula>
    </cfRule>
    <cfRule type="cellIs" dxfId="42" priority="78" operator="equal">
      <formula>"Porsche 911 RSR"</formula>
    </cfRule>
    <cfRule type="cellIs" dxfId="41" priority="79" operator="equal">
      <formula>"Acura NSX GT3"</formula>
    </cfRule>
    <cfRule type="cellIs" dxfId="40" priority="80" operator="equal">
      <formula>"Aston Martin V12 Vantage GT3"</formula>
    </cfRule>
    <cfRule type="cellIs" dxfId="39" priority="81" operator="equal">
      <formula>"Audi R8 LMS"</formula>
    </cfRule>
    <cfRule type="cellIs" dxfId="38" priority="82" operator="equal">
      <formula>"Bentley Continental GT3"</formula>
    </cfRule>
    <cfRule type="cellIs" dxfId="37" priority="83" operator="equal">
      <formula>"BMW M6 GT3"</formula>
    </cfRule>
    <cfRule type="cellIs" dxfId="36" priority="84" operator="equal">
      <formula>"Callaway Corvette C7 GT3-R"</formula>
    </cfRule>
    <cfRule type="cellIs" dxfId="35" priority="85" operator="equal">
      <formula>"Ferrari 488 GT3"</formula>
    </cfRule>
    <cfRule type="cellIs" dxfId="34" priority="86" operator="equal">
      <formula>"Lamborghini Huracan GT3"</formula>
    </cfRule>
    <cfRule type="cellIs" dxfId="33" priority="87" operator="equal">
      <formula>"Lexus RC F GT3"</formula>
    </cfRule>
    <cfRule type="cellIs" dxfId="32" priority="88" operator="equal">
      <formula>"McLaren 650S GT3"</formula>
    </cfRule>
    <cfRule type="cellIs" dxfId="31" priority="89" operator="equal">
      <formula>"Mercedes-AMG GT3"</formula>
    </cfRule>
    <cfRule type="cellIs" dxfId="30" priority="90" operator="equal">
      <formula>"Nissan GT-R Nismo GT3"</formula>
    </cfRule>
    <cfRule type="cellIs" dxfId="29" priority="91" operator="equal">
      <formula>"Porsche 911 GT3 R"</formula>
    </cfRule>
    <cfRule type="cellIs" dxfId="28" priority="92" operator="equal">
      <formula>"Aston Martin V8 Vantage GT4"</formula>
    </cfRule>
    <cfRule type="cellIs" dxfId="27" priority="93" operator="equal">
      <formula>"Audi R8 LMS GT4"</formula>
    </cfRule>
    <cfRule type="cellIs" dxfId="26" priority="94" operator="equal">
      <formula>"Ekris M4 GT4"</formula>
    </cfRule>
    <cfRule type="cellIs" dxfId="25" priority="95" operator="equal">
      <formula>"Ford Mustang GT4"</formula>
    </cfRule>
    <cfRule type="cellIs" dxfId="24" priority="96" operator="equal">
      <formula>"Ginetta G55 GT4"</formula>
    </cfRule>
    <cfRule type="cellIs" dxfId="23" priority="97" operator="equal">
      <formula>"KTM X-Bow GT4"</formula>
    </cfRule>
    <cfRule type="cellIs" dxfId="22" priority="98" operator="equal">
      <formula>"Maserati GranTurismo MC GT4"</formula>
    </cfRule>
    <cfRule type="cellIs" dxfId="21" priority="99" operator="equal">
      <formula>"Nissan 370Z GT4"</formula>
    </cfRule>
    <cfRule type="cellIs" dxfId="20" priority="100" operator="equal">
      <formula>"McLaren 570S GT4"</formula>
    </cfRule>
    <cfRule type="cellIs" dxfId="19" priority="101" operator="equal">
      <formula>"Porsche Cayman GT4 Clubsport MR"</formula>
    </cfRule>
  </conditionalFormatting>
  <conditionalFormatting sqref="AF6:AF40">
    <cfRule type="cellIs" dxfId="18" priority="49" operator="equal">
      <formula>"Continental"</formula>
    </cfRule>
    <cfRule type="cellIs" dxfId="17" priority="50" operator="equal">
      <formula>"Dunlop"</formula>
    </cfRule>
    <cfRule type="cellIs" dxfId="16" priority="51" operator="equal">
      <formula>"Michelin"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E08C-E32F-4ED6-A621-0CA852B9F404}">
  <dimension ref="B2:AY144"/>
  <sheetViews>
    <sheetView workbookViewId="0">
      <selection activeCell="T2" sqref="T2"/>
    </sheetView>
  </sheetViews>
  <sheetFormatPr defaultColWidth="8.88671875" defaultRowHeight="18" customHeight="1" x14ac:dyDescent="0.3"/>
  <cols>
    <col min="1" max="1" width="3.33203125" style="1" customWidth="1"/>
    <col min="2" max="6" width="8.88671875" style="1"/>
    <col min="7" max="12" width="11.109375" style="1" customWidth="1"/>
    <col min="13" max="13" width="3.33203125" style="1" customWidth="1"/>
    <col min="14" max="14" width="3.33203125" style="1" hidden="1" customWidth="1"/>
    <col min="15" max="15" width="16.6640625" style="1" hidden="1" customWidth="1"/>
    <col min="16" max="17" width="8.88671875" style="1" hidden="1" customWidth="1"/>
    <col min="18" max="18" width="3.33203125" style="1" hidden="1" customWidth="1"/>
    <col min="19" max="19" width="3.33203125" style="1" customWidth="1"/>
    <col min="20" max="20" width="8.88671875" style="1"/>
    <col min="21" max="22" width="3.33203125" style="1" customWidth="1"/>
    <col min="23" max="26" width="11.109375" style="1" customWidth="1"/>
    <col min="27" max="28" width="3.33203125" style="1" customWidth="1"/>
    <col min="29" max="32" width="11.109375" style="1" customWidth="1"/>
    <col min="33" max="34" width="3.33203125" style="1" customWidth="1"/>
    <col min="35" max="37" width="11.109375" style="1" customWidth="1"/>
    <col min="38" max="39" width="3.33203125" style="1" customWidth="1"/>
    <col min="40" max="41" width="11.109375" style="1" customWidth="1"/>
    <col min="42" max="43" width="3.33203125" style="1" customWidth="1"/>
    <col min="44" max="46" width="11.109375" style="1" customWidth="1"/>
    <col min="47" max="48" width="3.33203125" style="1" customWidth="1"/>
    <col min="49" max="51" width="11.109375" style="1" customWidth="1"/>
    <col min="52" max="52" width="3.33203125" style="1" customWidth="1"/>
    <col min="53" max="16384" width="8.88671875" style="1"/>
  </cols>
  <sheetData>
    <row r="2" spans="2:51" ht="18" customHeight="1" x14ac:dyDescent="0.3">
      <c r="B2" s="332" t="s">
        <v>391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2:51" ht="18" customHeight="1" x14ac:dyDescent="0.3">
      <c r="B3" s="332" t="s">
        <v>228</v>
      </c>
      <c r="C3" s="332"/>
      <c r="D3" s="332"/>
      <c r="E3" s="332"/>
      <c r="F3" s="332"/>
      <c r="G3" s="332"/>
      <c r="H3" s="332"/>
      <c r="I3" s="332"/>
      <c r="J3" s="332"/>
      <c r="K3" s="332"/>
      <c r="L3" s="332"/>
      <c r="W3" s="428" t="s">
        <v>22</v>
      </c>
      <c r="X3" s="429"/>
      <c r="Y3" s="429"/>
      <c r="Z3" s="429"/>
      <c r="AC3" s="413" t="s">
        <v>23</v>
      </c>
      <c r="AD3" s="414"/>
      <c r="AE3" s="414"/>
      <c r="AF3" s="414"/>
      <c r="AI3" s="425" t="s">
        <v>25</v>
      </c>
      <c r="AJ3" s="426"/>
      <c r="AK3" s="427"/>
      <c r="AN3" s="423" t="s">
        <v>26</v>
      </c>
      <c r="AO3" s="424"/>
      <c r="AR3" s="420" t="s">
        <v>27</v>
      </c>
      <c r="AS3" s="421"/>
      <c r="AT3" s="422"/>
      <c r="AW3" s="417" t="s">
        <v>31</v>
      </c>
      <c r="AX3" s="418"/>
      <c r="AY3" s="419"/>
    </row>
    <row r="4" spans="2:51" ht="18" customHeight="1" x14ac:dyDescent="0.3">
      <c r="B4" s="2" t="s">
        <v>230</v>
      </c>
      <c r="C4" s="332" t="s">
        <v>229</v>
      </c>
      <c r="D4" s="332"/>
      <c r="E4" s="332" t="s">
        <v>231</v>
      </c>
      <c r="F4" s="332"/>
      <c r="G4" s="26" t="s">
        <v>48</v>
      </c>
      <c r="H4" s="25" t="s">
        <v>47</v>
      </c>
      <c r="I4" s="23" t="s">
        <v>44</v>
      </c>
      <c r="J4" s="24" t="s">
        <v>45</v>
      </c>
      <c r="K4" s="2" t="s">
        <v>232</v>
      </c>
      <c r="L4" s="2" t="s">
        <v>215</v>
      </c>
      <c r="T4" s="2" t="s">
        <v>222</v>
      </c>
      <c r="W4" s="9" t="s">
        <v>281</v>
      </c>
      <c r="X4" s="10" t="s">
        <v>9</v>
      </c>
      <c r="Y4" s="11" t="s">
        <v>317</v>
      </c>
      <c r="Z4" s="144" t="s">
        <v>318</v>
      </c>
      <c r="AC4" s="12" t="s">
        <v>288</v>
      </c>
      <c r="AD4" s="143" t="s">
        <v>9</v>
      </c>
      <c r="AE4" s="13" t="s">
        <v>319</v>
      </c>
      <c r="AF4" s="14" t="s">
        <v>24</v>
      </c>
      <c r="AI4" s="10" t="s">
        <v>9</v>
      </c>
      <c r="AJ4" s="15" t="s">
        <v>10</v>
      </c>
      <c r="AK4" s="144" t="s">
        <v>318</v>
      </c>
      <c r="AN4" s="16" t="s">
        <v>11</v>
      </c>
      <c r="AO4" s="17" t="s">
        <v>12</v>
      </c>
      <c r="AR4" s="18" t="s">
        <v>28</v>
      </c>
      <c r="AS4" s="19" t="s">
        <v>29</v>
      </c>
      <c r="AT4" s="17" t="s">
        <v>12</v>
      </c>
      <c r="AW4" s="31" t="s">
        <v>226</v>
      </c>
      <c r="AX4" s="30" t="s">
        <v>225</v>
      </c>
      <c r="AY4" s="29" t="s">
        <v>224</v>
      </c>
    </row>
    <row r="5" spans="2:51" ht="18" customHeight="1" x14ac:dyDescent="0.3">
      <c r="B5" s="332">
        <v>1</v>
      </c>
      <c r="C5" s="332">
        <f>IF('Full Season Entries'!AF6 = 2.2, 2, 'Full Season Entries'!AF6)</f>
        <v>0</v>
      </c>
      <c r="D5" s="332">
        <f>'Full Season Entries'!AG6</f>
        <v>0</v>
      </c>
      <c r="E5" s="2" t="s">
        <v>233</v>
      </c>
      <c r="F5" s="2" t="str">
        <f>IF('Full Season Entries'!K6 &lt;&gt; "", LEFT('Full Season Entries'!K6, 1), "")</f>
        <v/>
      </c>
      <c r="G5" s="2" t="b">
        <f>IF(F5 = "P", TRUE, FALSE)</f>
        <v>0</v>
      </c>
      <c r="H5" s="2" t="b">
        <f>IF(F5 = "G", TRUE, FALSE)</f>
        <v>0</v>
      </c>
      <c r="I5" s="2" t="b">
        <f>IF(F5 = "S", TRUE, FALSE)</f>
        <v>0</v>
      </c>
      <c r="J5" s="2" t="b">
        <f>IF(F5 = "B", TRUE, FALSE)</f>
        <v>0</v>
      </c>
      <c r="K5" s="27" t="b">
        <f>IF(AND(IF(G5 = FALSE, TRUE, FALSE), IF(H5 = FALSE, TRUE, FALSE), IF(I5 = FALSE, TRUE, FALSE), IF(J5 = FALSE, TRUE, FALSE)) = TRUE, TRUE, FALSE)</f>
        <v>1</v>
      </c>
      <c r="L5" s="415" t="str">
        <f>IF(P5, "", IF(AND(P6, P7), AND(T5, T6, T7, T8), AND(NOT(P8), T5, T6, T7, T8)))</f>
        <v/>
      </c>
      <c r="O5" s="1" t="s">
        <v>232</v>
      </c>
      <c r="P5" s="1" t="b">
        <f>AND(K5, K6, K7, K8)</f>
        <v>1</v>
      </c>
      <c r="Q5" s="1">
        <f>IF(J5, 1, 0)</f>
        <v>0</v>
      </c>
      <c r="T5" s="2" t="b">
        <f>IF(D5 = 0, FALSE, IF(C5 = 1, CHOOSE(D5, W5, X5, Y5, Z5), IF(C5 = 2, CHOOSE(D5, AC5, AD5, AE5, AF5), IF(C5 = 2.1, CHOOSE(D5, AC5, AD5, AE5, AF5), IF(C5 = 3, CHOOSE(D5, AI5, AJ5, AK5), IF(C5 = 4, CHOOSE(D5, AN5, AO5), IF(C5 = 5, CHOOSE(D5, AR5, AS5, AT5), IF(C5 = 7, CHOOSE(D5, AW5, AX5, AY5), FALSE))))))))</f>
        <v>0</v>
      </c>
      <c r="W5" s="2" t="b">
        <f>AND(NOT(I5), NOT(K5), NOT(J5))</f>
        <v>0</v>
      </c>
      <c r="X5" s="2" t="b">
        <f>AND(NOT(I5), NOT(K5), NOT(J5))</f>
        <v>0</v>
      </c>
      <c r="Y5" s="2" t="b">
        <f>AND(NOT(I5), NOT(K5), NOT(J5))</f>
        <v>0</v>
      </c>
      <c r="Z5" s="2" t="b">
        <f>AND(NOT(I5), NOT(K5), NOT(J5))</f>
        <v>0</v>
      </c>
      <c r="AC5" s="2" t="b">
        <f>AND(NOT(I5), NOT(K5), NOT(J5))</f>
        <v>0</v>
      </c>
      <c r="AD5" s="2" t="b">
        <f>AND(NOT(G5), NOT(K5), NOT(J5))</f>
        <v>0</v>
      </c>
      <c r="AE5" s="2" t="b">
        <f>AND(NOT(I5), NOT(K5), NOT(J5))</f>
        <v>0</v>
      </c>
      <c r="AF5" s="2" t="b">
        <f>AND(NOT(I5), NOT(K5), NOT(J5))</f>
        <v>0</v>
      </c>
      <c r="AI5" s="2" t="b">
        <f>AND(NOT(I5), NOT(K5), NOT(J5))</f>
        <v>0</v>
      </c>
      <c r="AJ5" s="2" t="b">
        <f>AND(NOT(J5), NOT(K5))</f>
        <v>0</v>
      </c>
      <c r="AK5" s="2" t="b">
        <f>AND(NOT(I5), NOT(K5), NOT(J5))</f>
        <v>0</v>
      </c>
      <c r="AN5" s="2" t="b">
        <f>AND(NOT(I5), NOT(K5), NOT(J5))</f>
        <v>0</v>
      </c>
      <c r="AO5" s="2" t="b">
        <f>AND(NOT(G5), NOT(J5), NOT(K5))</f>
        <v>0</v>
      </c>
      <c r="AR5" s="2" t="b">
        <f>AND(NOT(J5), NOT(K5))</f>
        <v>0</v>
      </c>
      <c r="AS5" s="2" t="b">
        <f>AND(NOT(I5), NOT(K5), NOT(J5))</f>
        <v>0</v>
      </c>
      <c r="AT5" s="2" t="b">
        <f>AND(NOT(G5), NOT(J5), NOT(K5))</f>
        <v>0</v>
      </c>
      <c r="AW5" s="2" t="b">
        <f>AND(NOT(G5), NOT(J5), NOT(K5))</f>
        <v>0</v>
      </c>
      <c r="AX5" s="2" t="b">
        <f>AND(NOT(J5), NOT(K5))</f>
        <v>0</v>
      </c>
      <c r="AY5" s="2" t="b">
        <f>AND(NOT(G5), NOT(J5), NOT(K5))</f>
        <v>0</v>
      </c>
    </row>
    <row r="6" spans="2:51" ht="18" customHeight="1" x14ac:dyDescent="0.3">
      <c r="B6" s="332"/>
      <c r="C6" s="332"/>
      <c r="D6" s="332"/>
      <c r="E6" s="2" t="s">
        <v>234</v>
      </c>
      <c r="F6" s="2" t="str">
        <f>IF('Full Season Entries'!L6 &lt;&gt; "", LEFT('Full Season Entries'!L6, 1), "")</f>
        <v/>
      </c>
      <c r="G6" s="2" t="b">
        <f t="shared" ref="G6:G70" si="0">IF(F6 = "P", TRUE, FALSE)</f>
        <v>0</v>
      </c>
      <c r="H6" s="2" t="b">
        <f t="shared" ref="H6:H8" si="1">IF(F6 = "G", TRUE, FALSE)</f>
        <v>0</v>
      </c>
      <c r="I6" s="2" t="b">
        <f t="shared" ref="I6:I8" si="2">IF(F6 = "S", TRUE, FALSE)</f>
        <v>0</v>
      </c>
      <c r="J6" s="2" t="b">
        <f t="shared" ref="J6:J8" si="3">IF(F6 = "B", TRUE, FALSE)</f>
        <v>0</v>
      </c>
      <c r="K6" s="27" t="b">
        <f t="shared" ref="K6:K8" si="4">IF(AND(IF(G6 = FALSE, TRUE, FALSE), IF(H6 = FALSE, TRUE, FALSE), IF(I6 = FALSE, TRUE, FALSE), IF(J6 = FALSE, TRUE, FALSE)) = TRUE, TRUE, FALSE)</f>
        <v>1</v>
      </c>
      <c r="L6" s="416"/>
      <c r="O6" s="1" t="s">
        <v>386</v>
      </c>
      <c r="P6" s="1" t="b">
        <f>OR(IF(C5 = 2, TRUE, FALSE), IF(C5 = 2.2, TRUE, FALSE))</f>
        <v>0</v>
      </c>
      <c r="Q6" s="1">
        <f t="shared" ref="Q6:Q9" si="5">IF(J6, 1, 0)</f>
        <v>0</v>
      </c>
      <c r="T6" s="2" t="b">
        <f>IF(D5 = 0, FALSE, IF(C5 = 1, CHOOSE(D5, W6, X6, Y6, Z6), IF(C5 = 2, CHOOSE(D5, AC6, AD6, AE6, AF6), IF(C5 = 2.1, CHOOSE(D5, AC6, AD6, AE6, AF6), IF(C5 = 3, CHOOSE(D5, AI6, AJ6, AK6), IF(C5 = 4, CHOOSE(D5, AN6, AO6), IF(C5 = 5, CHOOSE(D5, AR6, AS6, AT6), IF(C5 = 7, CHOOSE(D5, AW6, AX6, AY6), FALSE))))))))</f>
        <v>0</v>
      </c>
      <c r="W6" s="2" t="b">
        <f>AND(NOT(K6), NOT(J6))</f>
        <v>0</v>
      </c>
      <c r="X6" s="2" t="b">
        <f>NOT(K5)</f>
        <v>0</v>
      </c>
      <c r="Y6" s="2" t="b">
        <f>AND(NOT(K6), NOT(J6))</f>
        <v>0</v>
      </c>
      <c r="Z6" s="2" t="b">
        <f>OR(I6, J6)</f>
        <v>0</v>
      </c>
      <c r="AC6" s="2" t="b">
        <f>AND(NOT(K6), NOT(J6))</f>
        <v>0</v>
      </c>
      <c r="AD6" s="2" t="b">
        <f>J6</f>
        <v>0</v>
      </c>
      <c r="AE6" s="2" t="b">
        <f>AND(NOT(K6), NOT(J6))</f>
        <v>0</v>
      </c>
      <c r="AF6" s="2" t="b">
        <f>J6</f>
        <v>0</v>
      </c>
      <c r="AI6" s="2" t="b">
        <f>AND(NOT(J6), NOT(K6))</f>
        <v>0</v>
      </c>
      <c r="AJ6" s="2" t="b">
        <f>OR(I6, J6)</f>
        <v>0</v>
      </c>
      <c r="AK6" s="2" t="b">
        <f>OR(I6, J6)</f>
        <v>0</v>
      </c>
      <c r="AN6" s="2" t="b">
        <f>OR(I6, J6)</f>
        <v>0</v>
      </c>
      <c r="AO6" s="2" t="b">
        <f>J6</f>
        <v>0</v>
      </c>
      <c r="AR6" s="2" t="b">
        <f t="shared" ref="AR6:AR7" si="6">AND(NOT(J6), NOT(K6))</f>
        <v>0</v>
      </c>
      <c r="AS6" s="2" t="b">
        <f>OR(I6, J6)</f>
        <v>0</v>
      </c>
      <c r="AT6" s="2" t="b">
        <f>OR(I6, J6)</f>
        <v>0</v>
      </c>
      <c r="AW6" s="2" t="b">
        <f>J6</f>
        <v>0</v>
      </c>
      <c r="AX6" s="2" t="b">
        <f>J6</f>
        <v>0</v>
      </c>
      <c r="AY6" s="2" t="b">
        <f>J6</f>
        <v>0</v>
      </c>
    </row>
    <row r="7" spans="2:51" ht="18" customHeight="1" x14ac:dyDescent="0.3">
      <c r="B7" s="332"/>
      <c r="C7" s="332"/>
      <c r="D7" s="332"/>
      <c r="E7" s="2" t="s">
        <v>235</v>
      </c>
      <c r="F7" s="2" t="str">
        <f>IF('Full Season Entries'!M6 &lt;&gt; "", LEFT('Full Season Entries'!M6, 1), "")</f>
        <v/>
      </c>
      <c r="G7" s="2" t="b">
        <f t="shared" si="0"/>
        <v>0</v>
      </c>
      <c r="H7" s="2" t="b">
        <f t="shared" si="1"/>
        <v>0</v>
      </c>
      <c r="I7" s="2" t="b">
        <f t="shared" si="2"/>
        <v>0</v>
      </c>
      <c r="J7" s="2" t="b">
        <f t="shared" si="3"/>
        <v>0</v>
      </c>
      <c r="K7" s="27" t="b">
        <f t="shared" si="4"/>
        <v>1</v>
      </c>
      <c r="L7" s="416"/>
      <c r="O7" s="1" t="s">
        <v>387</v>
      </c>
      <c r="P7" s="1" t="b">
        <f>OR(IF(D5 = 2, TRUE, FALSE), IF(D5 = 4, TRUE, FALSE))</f>
        <v>0</v>
      </c>
      <c r="Q7" s="1">
        <f t="shared" si="5"/>
        <v>0</v>
      </c>
      <c r="T7" s="2" t="b">
        <f>IF(D5 = 0, FALSE, IF(C5 = 1, CHOOSE(D5, W7, X7, Y7, Z7), IF(C5 = 2, CHOOSE(D5, AC7, AD7, AE7, AF7), IF(C5 = 2.1, K7, IF(C5 = 3, CHOOSE(D5, AI7, AJ7, AK7), IF(C5 = 4, CHOOSE(D5, AN7, AO7), IF(C5 = 5, CHOOSE(D5, AR7, AS7, AT7), IF(C5 = 7, CHOOSE(D5, AW7, AX7, AY7), FALSE))))))))</f>
        <v>0</v>
      </c>
      <c r="W7" s="2" t="b">
        <f>AND(NOT(K7), NOT(J7))</f>
        <v>0</v>
      </c>
      <c r="X7" s="2" t="b">
        <f>OR(I7, J7)</f>
        <v>0</v>
      </c>
      <c r="Y7" s="2" t="b">
        <f>AND(NOT(K7), NOT(J7))</f>
        <v>0</v>
      </c>
      <c r="Z7" s="2" t="b">
        <f>J7</f>
        <v>0</v>
      </c>
      <c r="AC7" s="2" t="b">
        <f>NOT(K7)</f>
        <v>0</v>
      </c>
      <c r="AD7" s="2" t="b">
        <f>OR(I7, J7)</f>
        <v>0</v>
      </c>
      <c r="AE7" s="2" t="b">
        <f>NOT(K7)</f>
        <v>0</v>
      </c>
      <c r="AF7" s="2" t="b">
        <f>OR(I7, J7)</f>
        <v>0</v>
      </c>
      <c r="AI7" s="2" t="b">
        <f>AND(OR(I7, J7), NOT(K7))</f>
        <v>0</v>
      </c>
      <c r="AJ7" s="2" t="b">
        <f>J7</f>
        <v>0</v>
      </c>
      <c r="AK7" s="2" t="b">
        <f>J7</f>
        <v>0</v>
      </c>
      <c r="AN7" s="2" t="b">
        <f>K7</f>
        <v>1</v>
      </c>
      <c r="AO7" s="2" t="b">
        <f>K7</f>
        <v>1</v>
      </c>
      <c r="AR7" s="2" t="b">
        <f t="shared" si="6"/>
        <v>0</v>
      </c>
      <c r="AS7" s="2" t="b">
        <f>J7</f>
        <v>0</v>
      </c>
      <c r="AT7" s="2" t="b">
        <f>J7</f>
        <v>0</v>
      </c>
      <c r="AW7" s="2" t="b">
        <f>K7</f>
        <v>1</v>
      </c>
      <c r="AX7" s="2" t="b">
        <f>K7</f>
        <v>1</v>
      </c>
      <c r="AY7" s="2" t="b">
        <f>K7</f>
        <v>1</v>
      </c>
    </row>
    <row r="8" spans="2:51" ht="18" customHeight="1" x14ac:dyDescent="0.3">
      <c r="B8" s="332"/>
      <c r="C8" s="332"/>
      <c r="D8" s="332"/>
      <c r="E8" s="2" t="s">
        <v>236</v>
      </c>
      <c r="F8" s="2" t="str">
        <f>IF('Full Season Entries'!N6 &lt;&gt; "", LEFT('Full Season Entries'!N6, 1), "")</f>
        <v/>
      </c>
      <c r="G8" s="2" t="b">
        <f t="shared" si="0"/>
        <v>0</v>
      </c>
      <c r="H8" s="2" t="b">
        <f t="shared" si="1"/>
        <v>0</v>
      </c>
      <c r="I8" s="2" t="b">
        <f t="shared" si="2"/>
        <v>0</v>
      </c>
      <c r="J8" s="2" t="b">
        <f t="shared" si="3"/>
        <v>0</v>
      </c>
      <c r="K8" s="27" t="b">
        <f t="shared" si="4"/>
        <v>1</v>
      </c>
      <c r="L8" s="412"/>
      <c r="O8" s="1" t="s">
        <v>388</v>
      </c>
      <c r="P8" s="1" t="b">
        <f>IF(SUM(Q5:Q8) &gt; 1, TRUE, FALSE)</f>
        <v>0</v>
      </c>
      <c r="Q8" s="1">
        <f t="shared" si="5"/>
        <v>0</v>
      </c>
      <c r="T8" s="2" t="b">
        <f>IF(D5 = 0, FALSE, IF(C5 = 1, CHOOSE(D5, W8, X8, Y8, Z8), IF(C5 = 2, CHOOSE(D5, AC8, AD8, AE8, AF8), IF(C5 = 2.1, K8, IF(C5 = 3, CHOOSE(D5, AI8, AJ8, AK8), IF(C5 = 4, CHOOSE(D5, AN8, AO8), IF(C5 = 5, CHOOSE(D5, AR8, AS8, AT8), IF(C5 = 7, CHOOSE(D5, AW8, AX8, AY8), FALSE))))))))</f>
        <v>0</v>
      </c>
      <c r="W8" s="2" t="b">
        <f>K8</f>
        <v>1</v>
      </c>
      <c r="X8" s="2" t="b">
        <f>K8</f>
        <v>1</v>
      </c>
      <c r="Y8" s="2" t="b">
        <f>K8</f>
        <v>1</v>
      </c>
      <c r="Z8" s="2" t="b">
        <f>K8</f>
        <v>1</v>
      </c>
      <c r="AC8" s="2" t="b">
        <v>1</v>
      </c>
      <c r="AD8" s="2" t="b">
        <f>NOT(K8)</f>
        <v>0</v>
      </c>
      <c r="AE8" s="2" t="b">
        <v>1</v>
      </c>
      <c r="AF8" s="2" t="b">
        <f>NOT(K8)</f>
        <v>0</v>
      </c>
      <c r="AI8" s="2" t="b">
        <f>K8</f>
        <v>1</v>
      </c>
      <c r="AJ8" s="2" t="b">
        <f>K8</f>
        <v>1</v>
      </c>
      <c r="AK8" s="2" t="b">
        <f>K8</f>
        <v>1</v>
      </c>
      <c r="AN8" s="2" t="b">
        <f>K8</f>
        <v>1</v>
      </c>
      <c r="AO8" s="2" t="b">
        <f>K8</f>
        <v>1</v>
      </c>
      <c r="AR8" s="2" t="b">
        <f>K8</f>
        <v>1</v>
      </c>
      <c r="AS8" s="2" t="b">
        <f>K8</f>
        <v>1</v>
      </c>
      <c r="AT8" s="2" t="b">
        <f>K8</f>
        <v>1</v>
      </c>
      <c r="AW8" s="2" t="b">
        <f>K8</f>
        <v>1</v>
      </c>
      <c r="AX8" s="2" t="b">
        <f>K8</f>
        <v>1</v>
      </c>
      <c r="AY8" s="2" t="b">
        <f>K8</f>
        <v>1</v>
      </c>
    </row>
    <row r="9" spans="2:51" ht="18" customHeight="1" x14ac:dyDescent="0.3">
      <c r="B9" s="415">
        <v>2</v>
      </c>
      <c r="C9" s="332">
        <f>IF('Full Season Entries'!AF7 = 2.2, 2, 'Full Season Entries'!AF7)</f>
        <v>0</v>
      </c>
      <c r="D9" s="332">
        <f>'Full Season Entries'!AG7</f>
        <v>0</v>
      </c>
      <c r="E9" s="2" t="s">
        <v>233</v>
      </c>
      <c r="F9" s="2" t="str">
        <f>IF('Full Season Entries'!K7 &lt;&gt; "", LEFT('Full Season Entries'!K7, 1), "")</f>
        <v/>
      </c>
      <c r="G9" s="2" t="b">
        <f>IF(F9 = "P", TRUE, FALSE)</f>
        <v>0</v>
      </c>
      <c r="H9" s="2" t="b">
        <f>IF(F9 = "G", TRUE, FALSE)</f>
        <v>0</v>
      </c>
      <c r="I9" s="2" t="b">
        <f>IF(F9 = "S", TRUE, FALSE)</f>
        <v>0</v>
      </c>
      <c r="J9" s="2" t="b">
        <f>IF(F9 = "B", TRUE, FALSE)</f>
        <v>0</v>
      </c>
      <c r="K9" s="27" t="b">
        <f>IF(AND(IF(G9 = FALSE, TRUE, FALSE), IF(H9 = FALSE, TRUE, FALSE), IF(I9 = FALSE, TRUE, FALSE), IF(J9 = FALSE, TRUE, FALSE)) = TRUE, TRUE, FALSE)</f>
        <v>1</v>
      </c>
      <c r="L9" s="415" t="str">
        <f>IF(P9, "", IF(AND(P10, P11), AND(T9, T10, T11, T12), AND(NOT(P12), T9, T10, T11, T12)))</f>
        <v/>
      </c>
      <c r="O9" s="1" t="s">
        <v>232</v>
      </c>
      <c r="P9" s="1" t="b">
        <f t="shared" ref="P9" si="7">AND(K9, K10, K11, K12)</f>
        <v>1</v>
      </c>
      <c r="Q9" s="1">
        <f t="shared" si="5"/>
        <v>0</v>
      </c>
      <c r="T9" s="2" t="b">
        <f t="shared" ref="T9" si="8">IF(D9 = 0, FALSE, IF(C9 = 1, CHOOSE(D9, W9, X9, Y9, Z9), IF(C9 = 2, CHOOSE(D9, AC9, AD9, AE9, AF9), IF(C9 = 2.1, CHOOSE(D9, AC9, AD9, AE9, AF9), IF(C9 = 3, CHOOSE(D9, AI9, AJ9, AK9), IF(C9 = 4, CHOOSE(D9, AN9, AO9), IF(C9 = 5, CHOOSE(D9, AR9, AS9, AT9), IF(C9 = 7, CHOOSE(D9, AW9, AX9, AY9), FALSE))))))))</f>
        <v>0</v>
      </c>
      <c r="W9" s="2" t="b">
        <f t="shared" ref="W9" si="9">AND(NOT(I9), NOT(K9), NOT(J9))</f>
        <v>0</v>
      </c>
      <c r="X9" s="2" t="b">
        <f t="shared" ref="X9" si="10">AND(NOT(I9), NOT(K9), NOT(J9))</f>
        <v>0</v>
      </c>
      <c r="Y9" s="2" t="b">
        <f t="shared" ref="Y9" si="11">AND(NOT(I9), NOT(K9), NOT(J9))</f>
        <v>0</v>
      </c>
      <c r="Z9" s="2" t="b">
        <f t="shared" ref="Z9" si="12">AND(NOT(I9), NOT(K9), NOT(J9))</f>
        <v>0</v>
      </c>
      <c r="AC9" s="2" t="b">
        <f t="shared" ref="AC9" si="13">AND(NOT(I9), NOT(K9), NOT(J9))</f>
        <v>0</v>
      </c>
      <c r="AD9" s="2" t="b">
        <f t="shared" ref="AD9" si="14">AND(NOT(G9), NOT(K9), NOT(J9))</f>
        <v>0</v>
      </c>
      <c r="AE9" s="2" t="b">
        <f t="shared" ref="AE9" si="15">AND(NOT(I9), NOT(K9), NOT(J9))</f>
        <v>0</v>
      </c>
      <c r="AF9" s="2" t="b">
        <f t="shared" ref="AF9" si="16">AND(NOT(I9), NOT(K9), NOT(J9))</f>
        <v>0</v>
      </c>
      <c r="AI9" s="2" t="b">
        <f t="shared" ref="AI9" si="17">AND(NOT(I9), NOT(K9), NOT(J9))</f>
        <v>0</v>
      </c>
      <c r="AJ9" s="2" t="b">
        <f t="shared" ref="AJ9" si="18">AND(NOT(J9), NOT(K9))</f>
        <v>0</v>
      </c>
      <c r="AK9" s="2" t="b">
        <f t="shared" ref="AK9" si="19">AND(NOT(I9), NOT(K9), NOT(J9))</f>
        <v>0</v>
      </c>
      <c r="AN9" s="2" t="b">
        <f t="shared" ref="AN9" si="20">AND(NOT(I9), NOT(K9), NOT(J9))</f>
        <v>0</v>
      </c>
      <c r="AO9" s="2" t="b">
        <f t="shared" ref="AO9" si="21">AND(NOT(G9), NOT(J9), NOT(K9))</f>
        <v>0</v>
      </c>
      <c r="AR9" s="2" t="b">
        <f t="shared" ref="AR9:AR11" si="22">AND(NOT(J9), NOT(K9))</f>
        <v>0</v>
      </c>
      <c r="AS9" s="2" t="b">
        <f t="shared" ref="AS9" si="23">AND(NOT(I9), NOT(K9), NOT(J9))</f>
        <v>0</v>
      </c>
      <c r="AT9" s="2" t="b">
        <f t="shared" ref="AT9" si="24">AND(NOT(G9), NOT(J9), NOT(K9))</f>
        <v>0</v>
      </c>
      <c r="AW9" s="2" t="b">
        <f t="shared" ref="AW9" si="25">AND(NOT(G9), NOT(J9), NOT(K9))</f>
        <v>0</v>
      </c>
      <c r="AX9" s="2" t="b">
        <f t="shared" ref="AX9" si="26">AND(NOT(J9), NOT(K9))</f>
        <v>0</v>
      </c>
      <c r="AY9" s="2" t="b">
        <f t="shared" ref="AY9" si="27">AND(NOT(G9), NOT(J9), NOT(K9))</f>
        <v>0</v>
      </c>
    </row>
    <row r="10" spans="2:51" ht="18" customHeight="1" x14ac:dyDescent="0.3">
      <c r="B10" s="416"/>
      <c r="C10" s="332"/>
      <c r="D10" s="332"/>
      <c r="E10" s="2" t="s">
        <v>234</v>
      </c>
      <c r="F10" s="2" t="str">
        <f>IF('Full Season Entries'!L7 &lt;&gt; "", LEFT('Full Season Entries'!L7, 1), "")</f>
        <v/>
      </c>
      <c r="G10" s="2" t="b">
        <f t="shared" si="0"/>
        <v>0</v>
      </c>
      <c r="H10" s="2" t="b">
        <f t="shared" ref="H10:H12" si="28">IF(F10 = "G", TRUE, FALSE)</f>
        <v>0</v>
      </c>
      <c r="I10" s="2" t="b">
        <f t="shared" ref="I10:I12" si="29">IF(F10 = "S", TRUE, FALSE)</f>
        <v>0</v>
      </c>
      <c r="J10" s="2" t="b">
        <f t="shared" ref="J10:J12" si="30">IF(F10 = "B", TRUE, FALSE)</f>
        <v>0</v>
      </c>
      <c r="K10" s="27" t="b">
        <f t="shared" ref="K10:K12" si="31">IF(AND(IF(G10 = FALSE, TRUE, FALSE), IF(H10 = FALSE, TRUE, FALSE), IF(I10 = FALSE, TRUE, FALSE), IF(J10 = FALSE, TRUE, FALSE)) = TRUE, TRUE, FALSE)</f>
        <v>1</v>
      </c>
      <c r="L10" s="416"/>
      <c r="O10" s="1" t="s">
        <v>386</v>
      </c>
      <c r="P10" s="1" t="b">
        <f t="shared" ref="P10" si="32">OR(IF(C9 = 2, TRUE, FALSE), IF(C9 = 2.2, TRUE, FALSE))</f>
        <v>0</v>
      </c>
      <c r="Q10" s="1">
        <f t="shared" ref="Q10:Q73" si="33">IF(J10, 1, 0)</f>
        <v>0</v>
      </c>
      <c r="T10" s="2" t="b">
        <f t="shared" ref="T10" si="34">IF(D9 = 0, FALSE, IF(C9 = 1, CHOOSE(D9, W10, X10, Y10, Z10), IF(C9 = 2, CHOOSE(D9, AC10, AD10, AE10, AF10), IF(C9 = 2.1, CHOOSE(D9, AC10, AD10, AE10, AF10), IF(C9 = 3, CHOOSE(D9, AI10, AJ10, AK10), IF(C9 = 4, CHOOSE(D9, AN10, AO10), IF(C9 = 5, CHOOSE(D9, AR10, AS10, AT10), IF(C9 = 7, CHOOSE(D9, AW10, AX10, AY10), FALSE))))))))</f>
        <v>0</v>
      </c>
      <c r="W10" s="2" t="b">
        <f t="shared" ref="W10:W11" si="35">AND(NOT(K10), NOT(J10))</f>
        <v>0</v>
      </c>
      <c r="X10" s="2" t="b">
        <f t="shared" ref="X10" si="36">NOT(K9)</f>
        <v>0</v>
      </c>
      <c r="Y10" s="2" t="b">
        <f t="shared" ref="Y10:Y11" si="37">AND(NOT(K10), NOT(J10))</f>
        <v>0</v>
      </c>
      <c r="Z10" s="2" t="b">
        <f t="shared" ref="Z10" si="38">OR(I10, J10)</f>
        <v>0</v>
      </c>
      <c r="AC10" s="2" t="b">
        <f t="shared" ref="AC10" si="39">AND(NOT(K10), NOT(J10))</f>
        <v>0</v>
      </c>
      <c r="AD10" s="2" t="b">
        <f t="shared" ref="AD10" si="40">J10</f>
        <v>0</v>
      </c>
      <c r="AE10" s="2" t="b">
        <f t="shared" ref="AE10" si="41">AND(NOT(K10), NOT(J10))</f>
        <v>0</v>
      </c>
      <c r="AF10" s="2" t="b">
        <f t="shared" ref="AF10" si="42">J10</f>
        <v>0</v>
      </c>
      <c r="AI10" s="2" t="b">
        <f t="shared" ref="AI10" si="43">AND(NOT(J10), NOT(K10))</f>
        <v>0</v>
      </c>
      <c r="AJ10" s="2" t="b">
        <f t="shared" ref="AJ10" si="44">OR(I10, J10)</f>
        <v>0</v>
      </c>
      <c r="AK10" s="2" t="b">
        <f t="shared" ref="AK10" si="45">OR(I10, J10)</f>
        <v>0</v>
      </c>
      <c r="AN10" s="2" t="b">
        <f t="shared" ref="AN10" si="46">OR(I10, J10)</f>
        <v>0</v>
      </c>
      <c r="AO10" s="2" t="b">
        <f t="shared" ref="AO10" si="47">J10</f>
        <v>0</v>
      </c>
      <c r="AR10" s="2" t="b">
        <f t="shared" si="22"/>
        <v>0</v>
      </c>
      <c r="AS10" s="2" t="b">
        <f t="shared" ref="AS10" si="48">OR(I10, J10)</f>
        <v>0</v>
      </c>
      <c r="AT10" s="2" t="b">
        <f t="shared" ref="AT10" si="49">OR(I10, J10)</f>
        <v>0</v>
      </c>
      <c r="AW10" s="2" t="b">
        <f t="shared" ref="AW10" si="50">J10</f>
        <v>0</v>
      </c>
      <c r="AX10" s="2" t="b">
        <f t="shared" ref="AX10" si="51">J10</f>
        <v>0</v>
      </c>
      <c r="AY10" s="2" t="b">
        <f t="shared" ref="AY10" si="52">J10</f>
        <v>0</v>
      </c>
    </row>
    <row r="11" spans="2:51" ht="18" customHeight="1" x14ac:dyDescent="0.3">
      <c r="B11" s="416"/>
      <c r="C11" s="332"/>
      <c r="D11" s="332"/>
      <c r="E11" s="2" t="s">
        <v>235</v>
      </c>
      <c r="F11" s="2" t="str">
        <f>IF('Full Season Entries'!M7 &lt;&gt; "", LEFT('Full Season Entries'!M7, 1), "")</f>
        <v/>
      </c>
      <c r="G11" s="2" t="b">
        <f t="shared" si="0"/>
        <v>0</v>
      </c>
      <c r="H11" s="2" t="b">
        <f t="shared" si="28"/>
        <v>0</v>
      </c>
      <c r="I11" s="2" t="b">
        <f t="shared" si="29"/>
        <v>0</v>
      </c>
      <c r="J11" s="2" t="b">
        <f t="shared" si="30"/>
        <v>0</v>
      </c>
      <c r="K11" s="27" t="b">
        <f t="shared" si="31"/>
        <v>1</v>
      </c>
      <c r="L11" s="416"/>
      <c r="O11" s="1" t="s">
        <v>387</v>
      </c>
      <c r="P11" s="1" t="b">
        <f t="shared" ref="P11" si="53">OR(IF(D9 = 2, TRUE, FALSE), IF(D9 = 4, TRUE, FALSE))</f>
        <v>0</v>
      </c>
      <c r="Q11" s="1">
        <f t="shared" si="33"/>
        <v>0</v>
      </c>
      <c r="T11" s="2" t="b">
        <f t="shared" ref="T11" si="54">IF(D9 = 0, FALSE, IF(C9 = 1, CHOOSE(D9, W11, X11, Y11, Z11), IF(C9 = 2, CHOOSE(D9, AC11, AD11, AE11, AF11), IF(C9 = 2.1, K11, IF(C9 = 3, CHOOSE(D9, AI11, AJ11, AK11), IF(C9 = 4, CHOOSE(D9, AN11, AO11), IF(C9 = 5, CHOOSE(D9, AR11, AS11, AT11), IF(C9 = 7, CHOOSE(D9, AW11, AX11, AY11), FALSE))))))))</f>
        <v>0</v>
      </c>
      <c r="W11" s="2" t="b">
        <f t="shared" si="35"/>
        <v>0</v>
      </c>
      <c r="X11" s="2" t="b">
        <f t="shared" ref="X11" si="55">OR(I11, J11)</f>
        <v>0</v>
      </c>
      <c r="Y11" s="2" t="b">
        <f t="shared" si="37"/>
        <v>0</v>
      </c>
      <c r="Z11" s="2" t="b">
        <f t="shared" ref="Z11" si="56">J11</f>
        <v>0</v>
      </c>
      <c r="AC11" s="2" t="b">
        <f t="shared" ref="AC11" si="57">NOT(K11)</f>
        <v>0</v>
      </c>
      <c r="AD11" s="2" t="b">
        <f t="shared" ref="AD11" si="58">OR(I11, J11)</f>
        <v>0</v>
      </c>
      <c r="AE11" s="2" t="b">
        <f t="shared" ref="AE11" si="59">NOT(K11)</f>
        <v>0</v>
      </c>
      <c r="AF11" s="2" t="b">
        <f t="shared" ref="AF11" si="60">OR(I11, J11)</f>
        <v>0</v>
      </c>
      <c r="AI11" s="2" t="b">
        <f t="shared" ref="AI11" si="61">AND(OR(I11, J11), NOT(K11))</f>
        <v>0</v>
      </c>
      <c r="AJ11" s="2" t="b">
        <f t="shared" ref="AJ11" si="62">J11</f>
        <v>0</v>
      </c>
      <c r="AK11" s="2" t="b">
        <f t="shared" ref="AK11" si="63">J11</f>
        <v>0</v>
      </c>
      <c r="AN11" s="2" t="b">
        <f t="shared" ref="AN11:AN12" si="64">K11</f>
        <v>1</v>
      </c>
      <c r="AO11" s="2" t="b">
        <f t="shared" ref="AO11:AO12" si="65">K11</f>
        <v>1</v>
      </c>
      <c r="AR11" s="2" t="b">
        <f t="shared" si="22"/>
        <v>0</v>
      </c>
      <c r="AS11" s="2" t="b">
        <f t="shared" ref="AS11" si="66">J11</f>
        <v>0</v>
      </c>
      <c r="AT11" s="2" t="b">
        <f t="shared" ref="AT11" si="67">J11</f>
        <v>0</v>
      </c>
      <c r="AW11" s="2" t="b">
        <f t="shared" ref="AW11:AW12" si="68">K11</f>
        <v>1</v>
      </c>
      <c r="AX11" s="2" t="b">
        <f t="shared" ref="AX11:AX12" si="69">K11</f>
        <v>1</v>
      </c>
      <c r="AY11" s="2" t="b">
        <f t="shared" ref="AY11:AY12" si="70">K11</f>
        <v>1</v>
      </c>
    </row>
    <row r="12" spans="2:51" ht="18" customHeight="1" x14ac:dyDescent="0.3">
      <c r="B12" s="412"/>
      <c r="C12" s="332"/>
      <c r="D12" s="332"/>
      <c r="E12" s="2" t="s">
        <v>236</v>
      </c>
      <c r="F12" s="2" t="str">
        <f>IF('Full Season Entries'!N7 &lt;&gt; "", LEFT('Full Season Entries'!N7, 1), "")</f>
        <v/>
      </c>
      <c r="G12" s="2" t="b">
        <f t="shared" si="0"/>
        <v>0</v>
      </c>
      <c r="H12" s="2" t="b">
        <f t="shared" si="28"/>
        <v>0</v>
      </c>
      <c r="I12" s="2" t="b">
        <f t="shared" si="29"/>
        <v>0</v>
      </c>
      <c r="J12" s="2" t="b">
        <f t="shared" si="30"/>
        <v>0</v>
      </c>
      <c r="K12" s="27" t="b">
        <f t="shared" si="31"/>
        <v>1</v>
      </c>
      <c r="L12" s="412"/>
      <c r="O12" s="1" t="s">
        <v>388</v>
      </c>
      <c r="P12" s="1" t="b">
        <f t="shared" ref="P12" si="71">IF(SUM(Q9:Q12) &gt; 1, TRUE, FALSE)</f>
        <v>0</v>
      </c>
      <c r="Q12" s="1">
        <f t="shared" si="33"/>
        <v>0</v>
      </c>
      <c r="T12" s="2" t="b">
        <f t="shared" ref="T12" si="72">IF(D9 = 0, FALSE, IF(C9 = 1, CHOOSE(D9, W12, X12, Y12, Z12), IF(C9 = 2, CHOOSE(D9, AC12, AD12, AE12, AF12), IF(C9 = 2.1, K12, IF(C9 = 3, CHOOSE(D9, AI12, AJ12, AK12), IF(C9 = 4, CHOOSE(D9, AN12, AO12), IF(C9 = 5, CHOOSE(D9, AR12, AS12, AT12), IF(C9 = 7, CHOOSE(D9, AW12, AX12, AY12), FALSE))))))))</f>
        <v>0</v>
      </c>
      <c r="W12" s="2" t="b">
        <f t="shared" ref="W12" si="73">K12</f>
        <v>1</v>
      </c>
      <c r="X12" s="2" t="b">
        <f t="shared" ref="X12" si="74">K12</f>
        <v>1</v>
      </c>
      <c r="Y12" s="2" t="b">
        <f t="shared" ref="Y12" si="75">K12</f>
        <v>1</v>
      </c>
      <c r="Z12" s="2" t="b">
        <f t="shared" ref="Z12" si="76">K12</f>
        <v>1</v>
      </c>
      <c r="AC12" s="2" t="b">
        <v>1</v>
      </c>
      <c r="AD12" s="2" t="b">
        <f t="shared" ref="AD12" si="77">NOT(K12)</f>
        <v>0</v>
      </c>
      <c r="AE12" s="2" t="b">
        <v>1</v>
      </c>
      <c r="AF12" s="2" t="b">
        <f t="shared" ref="AF12" si="78">NOT(K12)</f>
        <v>0</v>
      </c>
      <c r="AI12" s="2" t="b">
        <f t="shared" ref="AI12" si="79">K12</f>
        <v>1</v>
      </c>
      <c r="AJ12" s="2" t="b">
        <f t="shared" ref="AJ12" si="80">K12</f>
        <v>1</v>
      </c>
      <c r="AK12" s="2" t="b">
        <f t="shared" ref="AK12" si="81">K12</f>
        <v>1</v>
      </c>
      <c r="AN12" s="2" t="b">
        <f t="shared" si="64"/>
        <v>1</v>
      </c>
      <c r="AO12" s="2" t="b">
        <f t="shared" si="65"/>
        <v>1</v>
      </c>
      <c r="AR12" s="2" t="b">
        <f t="shared" ref="AR12" si="82">K12</f>
        <v>1</v>
      </c>
      <c r="AS12" s="2" t="b">
        <f t="shared" ref="AS12" si="83">K12</f>
        <v>1</v>
      </c>
      <c r="AT12" s="2" t="b">
        <f t="shared" ref="AT12" si="84">K12</f>
        <v>1</v>
      </c>
      <c r="AW12" s="2" t="b">
        <f t="shared" si="68"/>
        <v>1</v>
      </c>
      <c r="AX12" s="2" t="b">
        <f t="shared" si="69"/>
        <v>1</v>
      </c>
      <c r="AY12" s="2" t="b">
        <f t="shared" si="70"/>
        <v>1</v>
      </c>
    </row>
    <row r="13" spans="2:51" ht="18" customHeight="1" x14ac:dyDescent="0.3">
      <c r="B13" s="415">
        <v>3</v>
      </c>
      <c r="C13" s="332">
        <f>IF('Full Season Entries'!AF8 = 2.2, 2, 'Full Season Entries'!AF8)</f>
        <v>0</v>
      </c>
      <c r="D13" s="332">
        <f>'Full Season Entries'!AG8</f>
        <v>0</v>
      </c>
      <c r="E13" s="2" t="s">
        <v>233</v>
      </c>
      <c r="F13" s="2" t="str">
        <f>IF('Full Season Entries'!K8 &lt;&gt; "", LEFT('Full Season Entries'!K8, 1), "")</f>
        <v/>
      </c>
      <c r="G13" s="2" t="b">
        <f>IF(F13 = "P", TRUE, FALSE)</f>
        <v>0</v>
      </c>
      <c r="H13" s="2" t="b">
        <f>IF(F13 = "G", TRUE, FALSE)</f>
        <v>0</v>
      </c>
      <c r="I13" s="2" t="b">
        <f>IF(F13 = "S", TRUE, FALSE)</f>
        <v>0</v>
      </c>
      <c r="J13" s="2" t="b">
        <f>IF(F13 = "B", TRUE, FALSE)</f>
        <v>0</v>
      </c>
      <c r="K13" s="27" t="b">
        <f>IF(AND(IF(G13 = FALSE, TRUE, FALSE), IF(H13 = FALSE, TRUE, FALSE), IF(I13 = FALSE, TRUE, FALSE), IF(J13 = FALSE, TRUE, FALSE)) = TRUE, TRUE, FALSE)</f>
        <v>1</v>
      </c>
      <c r="L13" s="415" t="str">
        <f>IF(P13, "", IF(AND(P14, P15), AND(T13, T14, T15, T16), AND(NOT(P16), T13, T14, T15, T16)))</f>
        <v/>
      </c>
      <c r="O13" s="1" t="s">
        <v>232</v>
      </c>
      <c r="P13" s="1" t="b">
        <f t="shared" ref="P13" si="85">AND(K13, K14, K15, K16)</f>
        <v>1</v>
      </c>
      <c r="Q13" s="1">
        <f t="shared" si="33"/>
        <v>0</v>
      </c>
      <c r="T13" s="2" t="b">
        <f t="shared" ref="T13" si="86">IF(D13 = 0, FALSE, IF(C13 = 1, CHOOSE(D13, W13, X13, Y13, Z13), IF(C13 = 2, CHOOSE(D13, AC13, AD13, AE13, AF13), IF(C13 = 2.1, CHOOSE(D13, AC13, AD13, AE13, AF13), IF(C13 = 3, CHOOSE(D13, AI13, AJ13, AK13), IF(C13 = 4, CHOOSE(D13, AN13, AO13), IF(C13 = 5, CHOOSE(D13, AR13, AS13, AT13), IF(C13 = 7, CHOOSE(D13, AW13, AX13, AY13), FALSE))))))))</f>
        <v>0</v>
      </c>
      <c r="W13" s="2" t="b">
        <f t="shared" ref="W13" si="87">AND(NOT(I13), NOT(K13), NOT(J13))</f>
        <v>0</v>
      </c>
      <c r="X13" s="2" t="b">
        <f t="shared" ref="X13" si="88">AND(NOT(I13), NOT(K13), NOT(J13))</f>
        <v>0</v>
      </c>
      <c r="Y13" s="2" t="b">
        <f t="shared" ref="Y13" si="89">AND(NOT(I13), NOT(K13), NOT(J13))</f>
        <v>0</v>
      </c>
      <c r="Z13" s="2" t="b">
        <f t="shared" ref="Z13" si="90">AND(NOT(I13), NOT(K13), NOT(J13))</f>
        <v>0</v>
      </c>
      <c r="AC13" s="2" t="b">
        <f t="shared" ref="AC13" si="91">AND(NOT(I13), NOT(K13), NOT(J13))</f>
        <v>0</v>
      </c>
      <c r="AD13" s="2" t="b">
        <f t="shared" ref="AD13" si="92">AND(NOT(G13), NOT(K13), NOT(J13))</f>
        <v>0</v>
      </c>
      <c r="AE13" s="2" t="b">
        <f t="shared" ref="AE13" si="93">AND(NOT(I13), NOT(K13), NOT(J13))</f>
        <v>0</v>
      </c>
      <c r="AF13" s="2" t="b">
        <f t="shared" ref="AF13" si="94">AND(NOT(I13), NOT(K13), NOT(J13))</f>
        <v>0</v>
      </c>
      <c r="AI13" s="2" t="b">
        <f t="shared" ref="AI13" si="95">AND(NOT(I13), NOT(K13), NOT(J13))</f>
        <v>0</v>
      </c>
      <c r="AJ13" s="2" t="b">
        <f t="shared" ref="AJ13" si="96">AND(NOT(J13), NOT(K13))</f>
        <v>0</v>
      </c>
      <c r="AK13" s="2" t="b">
        <f t="shared" ref="AK13" si="97">AND(NOT(I13), NOT(K13), NOT(J13))</f>
        <v>0</v>
      </c>
      <c r="AN13" s="2" t="b">
        <f t="shared" ref="AN13" si="98">AND(NOT(I13), NOT(K13), NOT(J13))</f>
        <v>0</v>
      </c>
      <c r="AO13" s="2" t="b">
        <f t="shared" ref="AO13" si="99">AND(NOT(G13), NOT(J13), NOT(K13))</f>
        <v>0</v>
      </c>
      <c r="AR13" s="2" t="b">
        <f t="shared" ref="AR13:AR15" si="100">AND(NOT(J13), NOT(K13))</f>
        <v>0</v>
      </c>
      <c r="AS13" s="2" t="b">
        <f t="shared" ref="AS13" si="101">AND(NOT(I13), NOT(K13), NOT(J13))</f>
        <v>0</v>
      </c>
      <c r="AT13" s="2" t="b">
        <f t="shared" ref="AT13" si="102">AND(NOT(G13), NOT(J13), NOT(K13))</f>
        <v>0</v>
      </c>
      <c r="AW13" s="2" t="b">
        <f t="shared" ref="AW13" si="103">AND(NOT(G13), NOT(J13), NOT(K13))</f>
        <v>0</v>
      </c>
      <c r="AX13" s="2" t="b">
        <f t="shared" ref="AX13" si="104">AND(NOT(J13), NOT(K13))</f>
        <v>0</v>
      </c>
      <c r="AY13" s="2" t="b">
        <f t="shared" ref="AY13" si="105">AND(NOT(G13), NOT(J13), NOT(K13))</f>
        <v>0</v>
      </c>
    </row>
    <row r="14" spans="2:51" ht="18" customHeight="1" x14ac:dyDescent="0.3">
      <c r="B14" s="416"/>
      <c r="C14" s="332"/>
      <c r="D14" s="332"/>
      <c r="E14" s="2" t="s">
        <v>234</v>
      </c>
      <c r="F14" s="2" t="str">
        <f>IF('Full Season Entries'!L8 &lt;&gt; "", LEFT('Full Season Entries'!L8, 1), "")</f>
        <v/>
      </c>
      <c r="G14" s="2" t="b">
        <f t="shared" si="0"/>
        <v>0</v>
      </c>
      <c r="H14" s="2" t="b">
        <f t="shared" ref="H14:H16" si="106">IF(F14 = "G", TRUE, FALSE)</f>
        <v>0</v>
      </c>
      <c r="I14" s="2" t="b">
        <f t="shared" ref="I14:I16" si="107">IF(F14 = "S", TRUE, FALSE)</f>
        <v>0</v>
      </c>
      <c r="J14" s="2" t="b">
        <f t="shared" ref="J14:J16" si="108">IF(F14 = "B", TRUE, FALSE)</f>
        <v>0</v>
      </c>
      <c r="K14" s="27" t="b">
        <f t="shared" ref="K14:K16" si="109">IF(AND(IF(G14 = FALSE, TRUE, FALSE), IF(H14 = FALSE, TRUE, FALSE), IF(I14 = FALSE, TRUE, FALSE), IF(J14 = FALSE, TRUE, FALSE)) = TRUE, TRUE, FALSE)</f>
        <v>1</v>
      </c>
      <c r="L14" s="416"/>
      <c r="O14" s="1" t="s">
        <v>386</v>
      </c>
      <c r="P14" s="1" t="b">
        <f t="shared" ref="P14" si="110">OR(IF(C13 = 2, TRUE, FALSE), IF(C13 = 2.2, TRUE, FALSE))</f>
        <v>0</v>
      </c>
      <c r="Q14" s="1">
        <f t="shared" si="33"/>
        <v>0</v>
      </c>
      <c r="T14" s="2" t="b">
        <f t="shared" ref="T14" si="111">IF(D13 = 0, FALSE, IF(C13 = 1, CHOOSE(D13, W14, X14, Y14, Z14), IF(C13 = 2, CHOOSE(D13, AC14, AD14, AE14, AF14), IF(C13 = 2.1, CHOOSE(D13, AC14, AD14, AE14, AF14), IF(C13 = 3, CHOOSE(D13, AI14, AJ14, AK14), IF(C13 = 4, CHOOSE(D13, AN14, AO14), IF(C13 = 5, CHOOSE(D13, AR14, AS14, AT14), IF(C13 = 7, CHOOSE(D13, AW14, AX14, AY14), FALSE))))))))</f>
        <v>0</v>
      </c>
      <c r="W14" s="2" t="b">
        <f t="shared" ref="W14:W15" si="112">AND(NOT(K14), NOT(J14))</f>
        <v>0</v>
      </c>
      <c r="X14" s="2" t="b">
        <f t="shared" ref="X14" si="113">NOT(K13)</f>
        <v>0</v>
      </c>
      <c r="Y14" s="2" t="b">
        <f t="shared" ref="Y14:Y15" si="114">AND(NOT(K14), NOT(J14))</f>
        <v>0</v>
      </c>
      <c r="Z14" s="2" t="b">
        <f t="shared" ref="Z14" si="115">OR(I14, J14)</f>
        <v>0</v>
      </c>
      <c r="AC14" s="2" t="b">
        <f t="shared" ref="AC14" si="116">AND(NOT(K14), NOT(J14))</f>
        <v>0</v>
      </c>
      <c r="AD14" s="2" t="b">
        <f t="shared" ref="AD14" si="117">J14</f>
        <v>0</v>
      </c>
      <c r="AE14" s="2" t="b">
        <f t="shared" ref="AE14" si="118">AND(NOT(K14), NOT(J14))</f>
        <v>0</v>
      </c>
      <c r="AF14" s="2" t="b">
        <f t="shared" ref="AF14" si="119">J14</f>
        <v>0</v>
      </c>
      <c r="AI14" s="2" t="b">
        <f t="shared" ref="AI14" si="120">AND(NOT(J14), NOT(K14))</f>
        <v>0</v>
      </c>
      <c r="AJ14" s="2" t="b">
        <f t="shared" ref="AJ14" si="121">OR(I14, J14)</f>
        <v>0</v>
      </c>
      <c r="AK14" s="2" t="b">
        <f t="shared" ref="AK14" si="122">OR(I14, J14)</f>
        <v>0</v>
      </c>
      <c r="AN14" s="2" t="b">
        <f t="shared" ref="AN14" si="123">OR(I14, J14)</f>
        <v>0</v>
      </c>
      <c r="AO14" s="2" t="b">
        <f t="shared" ref="AO14" si="124">J14</f>
        <v>0</v>
      </c>
      <c r="AR14" s="2" t="b">
        <f t="shared" si="100"/>
        <v>0</v>
      </c>
      <c r="AS14" s="2" t="b">
        <f t="shared" ref="AS14" si="125">OR(I14, J14)</f>
        <v>0</v>
      </c>
      <c r="AT14" s="2" t="b">
        <f t="shared" ref="AT14" si="126">OR(I14, J14)</f>
        <v>0</v>
      </c>
      <c r="AW14" s="2" t="b">
        <f t="shared" ref="AW14" si="127">J14</f>
        <v>0</v>
      </c>
      <c r="AX14" s="2" t="b">
        <f t="shared" ref="AX14" si="128">J14</f>
        <v>0</v>
      </c>
      <c r="AY14" s="2" t="b">
        <f t="shared" ref="AY14" si="129">J14</f>
        <v>0</v>
      </c>
    </row>
    <row r="15" spans="2:51" ht="18" customHeight="1" x14ac:dyDescent="0.3">
      <c r="B15" s="416"/>
      <c r="C15" s="332"/>
      <c r="D15" s="332"/>
      <c r="E15" s="2" t="s">
        <v>235</v>
      </c>
      <c r="F15" s="2" t="str">
        <f>IF('Full Season Entries'!M8 &lt;&gt; "", LEFT('Full Season Entries'!M8, 1), "")</f>
        <v/>
      </c>
      <c r="G15" s="2" t="b">
        <f t="shared" si="0"/>
        <v>0</v>
      </c>
      <c r="H15" s="2" t="b">
        <f t="shared" si="106"/>
        <v>0</v>
      </c>
      <c r="I15" s="2" t="b">
        <f t="shared" si="107"/>
        <v>0</v>
      </c>
      <c r="J15" s="2" t="b">
        <f t="shared" si="108"/>
        <v>0</v>
      </c>
      <c r="K15" s="27" t="b">
        <f t="shared" si="109"/>
        <v>1</v>
      </c>
      <c r="L15" s="416"/>
      <c r="O15" s="1" t="s">
        <v>387</v>
      </c>
      <c r="P15" s="1" t="b">
        <f t="shared" ref="P15" si="130">OR(IF(D13 = 2, TRUE, FALSE), IF(D13 = 4, TRUE, FALSE))</f>
        <v>0</v>
      </c>
      <c r="Q15" s="1">
        <f t="shared" si="33"/>
        <v>0</v>
      </c>
      <c r="T15" s="2" t="b">
        <f t="shared" ref="T15" si="131">IF(D13 = 0, FALSE, IF(C13 = 1, CHOOSE(D13, W15, X15, Y15, Z15), IF(C13 = 2, CHOOSE(D13, AC15, AD15, AE15, AF15), IF(C13 = 2.1, K15, IF(C13 = 3, CHOOSE(D13, AI15, AJ15, AK15), IF(C13 = 4, CHOOSE(D13, AN15, AO15), IF(C13 = 5, CHOOSE(D13, AR15, AS15, AT15), IF(C13 = 7, CHOOSE(D13, AW15, AX15, AY15), FALSE))))))))</f>
        <v>0</v>
      </c>
      <c r="W15" s="2" t="b">
        <f t="shared" si="112"/>
        <v>0</v>
      </c>
      <c r="X15" s="2" t="b">
        <f t="shared" ref="X15" si="132">OR(I15, J15)</f>
        <v>0</v>
      </c>
      <c r="Y15" s="2" t="b">
        <f t="shared" si="114"/>
        <v>0</v>
      </c>
      <c r="Z15" s="2" t="b">
        <f t="shared" ref="Z15" si="133">J15</f>
        <v>0</v>
      </c>
      <c r="AC15" s="2" t="b">
        <f t="shared" ref="AC15" si="134">NOT(K15)</f>
        <v>0</v>
      </c>
      <c r="AD15" s="2" t="b">
        <f t="shared" ref="AD15" si="135">OR(I15, J15)</f>
        <v>0</v>
      </c>
      <c r="AE15" s="2" t="b">
        <f t="shared" ref="AE15" si="136">NOT(K15)</f>
        <v>0</v>
      </c>
      <c r="AF15" s="2" t="b">
        <f t="shared" ref="AF15" si="137">OR(I15, J15)</f>
        <v>0</v>
      </c>
      <c r="AI15" s="2" t="b">
        <f t="shared" ref="AI15" si="138">AND(OR(I15, J15), NOT(K15))</f>
        <v>0</v>
      </c>
      <c r="AJ15" s="2" t="b">
        <f t="shared" ref="AJ15" si="139">J15</f>
        <v>0</v>
      </c>
      <c r="AK15" s="2" t="b">
        <f t="shared" ref="AK15" si="140">J15</f>
        <v>0</v>
      </c>
      <c r="AN15" s="2" t="b">
        <f t="shared" ref="AN15:AN16" si="141">K15</f>
        <v>1</v>
      </c>
      <c r="AO15" s="2" t="b">
        <f t="shared" ref="AO15:AO16" si="142">K15</f>
        <v>1</v>
      </c>
      <c r="AR15" s="2" t="b">
        <f t="shared" si="100"/>
        <v>0</v>
      </c>
      <c r="AS15" s="2" t="b">
        <f t="shared" ref="AS15" si="143">J15</f>
        <v>0</v>
      </c>
      <c r="AT15" s="2" t="b">
        <f t="shared" ref="AT15" si="144">J15</f>
        <v>0</v>
      </c>
      <c r="AW15" s="2" t="b">
        <f t="shared" ref="AW15:AW16" si="145">K15</f>
        <v>1</v>
      </c>
      <c r="AX15" s="2" t="b">
        <f t="shared" ref="AX15:AX16" si="146">K15</f>
        <v>1</v>
      </c>
      <c r="AY15" s="2" t="b">
        <f t="shared" ref="AY15:AY16" si="147">K15</f>
        <v>1</v>
      </c>
    </row>
    <row r="16" spans="2:51" ht="18" customHeight="1" x14ac:dyDescent="0.3">
      <c r="B16" s="412"/>
      <c r="C16" s="332"/>
      <c r="D16" s="332"/>
      <c r="E16" s="2" t="s">
        <v>236</v>
      </c>
      <c r="F16" s="2" t="str">
        <f>IF('Full Season Entries'!N8 &lt;&gt; "", LEFT('Full Season Entries'!N8, 1), "")</f>
        <v/>
      </c>
      <c r="G16" s="2" t="b">
        <f t="shared" si="0"/>
        <v>0</v>
      </c>
      <c r="H16" s="2" t="b">
        <f t="shared" si="106"/>
        <v>0</v>
      </c>
      <c r="I16" s="2" t="b">
        <f t="shared" si="107"/>
        <v>0</v>
      </c>
      <c r="J16" s="2" t="b">
        <f t="shared" si="108"/>
        <v>0</v>
      </c>
      <c r="K16" s="27" t="b">
        <f t="shared" si="109"/>
        <v>1</v>
      </c>
      <c r="L16" s="412"/>
      <c r="O16" s="1" t="s">
        <v>388</v>
      </c>
      <c r="P16" s="1" t="b">
        <f t="shared" ref="P16" si="148">IF(SUM(Q13:Q16) &gt; 1, TRUE, FALSE)</f>
        <v>0</v>
      </c>
      <c r="Q16" s="1">
        <f t="shared" si="33"/>
        <v>0</v>
      </c>
      <c r="T16" s="2" t="b">
        <f t="shared" ref="T16" si="149">IF(D13 = 0, FALSE, IF(C13 = 1, CHOOSE(D13, W16, X16, Y16, Z16), IF(C13 = 2, CHOOSE(D13, AC16, AD16, AE16, AF16), IF(C13 = 2.1, K16, IF(C13 = 3, CHOOSE(D13, AI16, AJ16, AK16), IF(C13 = 4, CHOOSE(D13, AN16, AO16), IF(C13 = 5, CHOOSE(D13, AR16, AS16, AT16), IF(C13 = 7, CHOOSE(D13, AW16, AX16, AY16), FALSE))))))))</f>
        <v>0</v>
      </c>
      <c r="W16" s="2" t="b">
        <f t="shared" ref="W16" si="150">K16</f>
        <v>1</v>
      </c>
      <c r="X16" s="2" t="b">
        <f t="shared" ref="X16" si="151">K16</f>
        <v>1</v>
      </c>
      <c r="Y16" s="2" t="b">
        <f t="shared" ref="Y16" si="152">K16</f>
        <v>1</v>
      </c>
      <c r="Z16" s="2" t="b">
        <f t="shared" ref="Z16" si="153">K16</f>
        <v>1</v>
      </c>
      <c r="AC16" s="2" t="b">
        <v>1</v>
      </c>
      <c r="AD16" s="2" t="b">
        <f t="shared" ref="AD16" si="154">NOT(K16)</f>
        <v>0</v>
      </c>
      <c r="AE16" s="2" t="b">
        <v>1</v>
      </c>
      <c r="AF16" s="2" t="b">
        <f t="shared" ref="AF16" si="155">NOT(K16)</f>
        <v>0</v>
      </c>
      <c r="AI16" s="2" t="b">
        <f t="shared" ref="AI16" si="156">K16</f>
        <v>1</v>
      </c>
      <c r="AJ16" s="2" t="b">
        <f t="shared" ref="AJ16" si="157">K16</f>
        <v>1</v>
      </c>
      <c r="AK16" s="2" t="b">
        <f t="shared" ref="AK16" si="158">K16</f>
        <v>1</v>
      </c>
      <c r="AN16" s="2" t="b">
        <f t="shared" si="141"/>
        <v>1</v>
      </c>
      <c r="AO16" s="2" t="b">
        <f t="shared" si="142"/>
        <v>1</v>
      </c>
      <c r="AR16" s="2" t="b">
        <f t="shared" ref="AR16" si="159">K16</f>
        <v>1</v>
      </c>
      <c r="AS16" s="2" t="b">
        <f t="shared" ref="AS16" si="160">K16</f>
        <v>1</v>
      </c>
      <c r="AT16" s="2" t="b">
        <f t="shared" ref="AT16" si="161">K16</f>
        <v>1</v>
      </c>
      <c r="AW16" s="2" t="b">
        <f t="shared" si="145"/>
        <v>1</v>
      </c>
      <c r="AX16" s="2" t="b">
        <f t="shared" si="146"/>
        <v>1</v>
      </c>
      <c r="AY16" s="2" t="b">
        <f t="shared" si="147"/>
        <v>1</v>
      </c>
    </row>
    <row r="17" spans="2:51" ht="18" customHeight="1" x14ac:dyDescent="0.3">
      <c r="B17" s="415">
        <v>4</v>
      </c>
      <c r="C17" s="332">
        <f>IF('Full Season Entries'!AF9 = 2.2, 2, 'Full Season Entries'!AF9)</f>
        <v>0</v>
      </c>
      <c r="D17" s="332">
        <f>'Full Season Entries'!AG9</f>
        <v>0</v>
      </c>
      <c r="E17" s="2" t="s">
        <v>233</v>
      </c>
      <c r="F17" s="2" t="str">
        <f>IF('Full Season Entries'!K9 &lt;&gt; "", LEFT('Full Season Entries'!K9, 1), "")</f>
        <v/>
      </c>
      <c r="G17" s="2" t="b">
        <f>IF(F17 = "P", TRUE, FALSE)</f>
        <v>0</v>
      </c>
      <c r="H17" s="2" t="b">
        <f>IF(F17 = "G", TRUE, FALSE)</f>
        <v>0</v>
      </c>
      <c r="I17" s="2" t="b">
        <f>IF(F17 = "S", TRUE, FALSE)</f>
        <v>0</v>
      </c>
      <c r="J17" s="2" t="b">
        <f>IF(F17 = "B", TRUE, FALSE)</f>
        <v>0</v>
      </c>
      <c r="K17" s="27" t="b">
        <f>IF(AND(IF(G17 = FALSE, TRUE, FALSE), IF(H17 = FALSE, TRUE, FALSE), IF(I17 = FALSE, TRUE, FALSE), IF(J17 = FALSE, TRUE, FALSE)) = TRUE, TRUE, FALSE)</f>
        <v>1</v>
      </c>
      <c r="L17" s="415" t="str">
        <f>IF(P17, "", IF(AND(P18, P19), AND(T17, T18, T19, T20), AND(NOT(P20), T17, T18, T19, T20)))</f>
        <v/>
      </c>
      <c r="O17" s="1" t="s">
        <v>232</v>
      </c>
      <c r="P17" s="1" t="b">
        <f t="shared" ref="P17" si="162">AND(K17, K18, K19, K20)</f>
        <v>1</v>
      </c>
      <c r="Q17" s="1">
        <f t="shared" si="33"/>
        <v>0</v>
      </c>
      <c r="T17" s="2" t="b">
        <f t="shared" ref="T17" si="163">IF(D17 = 0, FALSE, IF(C17 = 1, CHOOSE(D17, W17, X17, Y17, Z17), IF(C17 = 2, CHOOSE(D17, AC17, AD17, AE17, AF17), IF(C17 = 2.1, CHOOSE(D17, AC17, AD17, AE17, AF17), IF(C17 = 3, CHOOSE(D17, AI17, AJ17, AK17), IF(C17 = 4, CHOOSE(D17, AN17, AO17), IF(C17 = 5, CHOOSE(D17, AR17, AS17, AT17), IF(C17 = 7, CHOOSE(D17, AW17, AX17, AY17), FALSE))))))))</f>
        <v>0</v>
      </c>
      <c r="W17" s="2" t="b">
        <f t="shared" ref="W17" si="164">AND(NOT(I17), NOT(K17), NOT(J17))</f>
        <v>0</v>
      </c>
      <c r="X17" s="2" t="b">
        <f t="shared" ref="X17" si="165">AND(NOT(I17), NOT(K17), NOT(J17))</f>
        <v>0</v>
      </c>
      <c r="Y17" s="2" t="b">
        <f t="shared" ref="Y17" si="166">AND(NOT(I17), NOT(K17), NOT(J17))</f>
        <v>0</v>
      </c>
      <c r="Z17" s="2" t="b">
        <f t="shared" ref="Z17" si="167">AND(NOT(I17), NOT(K17), NOT(J17))</f>
        <v>0</v>
      </c>
      <c r="AC17" s="2" t="b">
        <f t="shared" ref="AC17" si="168">AND(NOT(I17), NOT(K17), NOT(J17))</f>
        <v>0</v>
      </c>
      <c r="AD17" s="2" t="b">
        <f t="shared" ref="AD17" si="169">AND(NOT(G17), NOT(K17), NOT(J17))</f>
        <v>0</v>
      </c>
      <c r="AE17" s="2" t="b">
        <f t="shared" ref="AE17" si="170">AND(NOT(I17), NOT(K17), NOT(J17))</f>
        <v>0</v>
      </c>
      <c r="AF17" s="2" t="b">
        <f t="shared" ref="AF17" si="171">AND(NOT(I17), NOT(K17), NOT(J17))</f>
        <v>0</v>
      </c>
      <c r="AI17" s="2" t="b">
        <f t="shared" ref="AI17" si="172">AND(NOT(I17), NOT(K17), NOT(J17))</f>
        <v>0</v>
      </c>
      <c r="AJ17" s="2" t="b">
        <f t="shared" ref="AJ17" si="173">AND(NOT(J17), NOT(K17))</f>
        <v>0</v>
      </c>
      <c r="AK17" s="2" t="b">
        <f t="shared" ref="AK17" si="174">AND(NOT(I17), NOT(K17), NOT(J17))</f>
        <v>0</v>
      </c>
      <c r="AN17" s="2" t="b">
        <f t="shared" ref="AN17" si="175">AND(NOT(I17), NOT(K17), NOT(J17))</f>
        <v>0</v>
      </c>
      <c r="AO17" s="2" t="b">
        <f t="shared" ref="AO17" si="176">AND(NOT(G17), NOT(J17), NOT(K17))</f>
        <v>0</v>
      </c>
      <c r="AR17" s="2" t="b">
        <f t="shared" ref="AR17:AR19" si="177">AND(NOT(J17), NOT(K17))</f>
        <v>0</v>
      </c>
      <c r="AS17" s="2" t="b">
        <f t="shared" ref="AS17" si="178">AND(NOT(I17), NOT(K17), NOT(J17))</f>
        <v>0</v>
      </c>
      <c r="AT17" s="2" t="b">
        <f t="shared" ref="AT17" si="179">AND(NOT(G17), NOT(J17), NOT(K17))</f>
        <v>0</v>
      </c>
      <c r="AW17" s="2" t="b">
        <f t="shared" ref="AW17" si="180">AND(NOT(G17), NOT(J17), NOT(K17))</f>
        <v>0</v>
      </c>
      <c r="AX17" s="2" t="b">
        <f t="shared" ref="AX17" si="181">AND(NOT(J17), NOT(K17))</f>
        <v>0</v>
      </c>
      <c r="AY17" s="2" t="b">
        <f t="shared" ref="AY17" si="182">AND(NOT(G17), NOT(J17), NOT(K17))</f>
        <v>0</v>
      </c>
    </row>
    <row r="18" spans="2:51" ht="18" customHeight="1" x14ac:dyDescent="0.3">
      <c r="B18" s="416"/>
      <c r="C18" s="332"/>
      <c r="D18" s="332"/>
      <c r="E18" s="2" t="s">
        <v>234</v>
      </c>
      <c r="F18" s="2" t="str">
        <f>IF('Full Season Entries'!L9 &lt;&gt; "", LEFT('Full Season Entries'!L9, 1), "")</f>
        <v/>
      </c>
      <c r="G18" s="2" t="b">
        <f t="shared" si="0"/>
        <v>0</v>
      </c>
      <c r="H18" s="2" t="b">
        <f t="shared" ref="H18:H20" si="183">IF(F18 = "G", TRUE, FALSE)</f>
        <v>0</v>
      </c>
      <c r="I18" s="2" t="b">
        <f t="shared" ref="I18:I20" si="184">IF(F18 = "S", TRUE, FALSE)</f>
        <v>0</v>
      </c>
      <c r="J18" s="2" t="b">
        <f t="shared" ref="J18:J20" si="185">IF(F18 = "B", TRUE, FALSE)</f>
        <v>0</v>
      </c>
      <c r="K18" s="27" t="b">
        <f t="shared" ref="K18:K20" si="186">IF(AND(IF(G18 = FALSE, TRUE, FALSE), IF(H18 = FALSE, TRUE, FALSE), IF(I18 = FALSE, TRUE, FALSE), IF(J18 = FALSE, TRUE, FALSE)) = TRUE, TRUE, FALSE)</f>
        <v>1</v>
      </c>
      <c r="L18" s="416"/>
      <c r="O18" s="1" t="s">
        <v>386</v>
      </c>
      <c r="P18" s="1" t="b">
        <f t="shared" ref="P18" si="187">OR(IF(C17 = 2, TRUE, FALSE), IF(C17 = 2.2, TRUE, FALSE))</f>
        <v>0</v>
      </c>
      <c r="Q18" s="1">
        <f t="shared" si="33"/>
        <v>0</v>
      </c>
      <c r="T18" s="2" t="b">
        <f t="shared" ref="T18" si="188">IF(D17 = 0, FALSE, IF(C17 = 1, CHOOSE(D17, W18, X18, Y18, Z18), IF(C17 = 2, CHOOSE(D17, AC18, AD18, AE18, AF18), IF(C17 = 2.1, CHOOSE(D17, AC18, AD18, AE18, AF18), IF(C17 = 3, CHOOSE(D17, AI18, AJ18, AK18), IF(C17 = 4, CHOOSE(D17, AN18, AO18), IF(C17 = 5, CHOOSE(D17, AR18, AS18, AT18), IF(C17 = 7, CHOOSE(D17, AW18, AX18, AY18), FALSE))))))))</f>
        <v>0</v>
      </c>
      <c r="W18" s="2" t="b">
        <f t="shared" ref="W18:W19" si="189">AND(NOT(K18), NOT(J18))</f>
        <v>0</v>
      </c>
      <c r="X18" s="2" t="b">
        <f t="shared" ref="X18" si="190">NOT(K17)</f>
        <v>0</v>
      </c>
      <c r="Y18" s="2" t="b">
        <f t="shared" ref="Y18:Y19" si="191">AND(NOT(K18), NOT(J18))</f>
        <v>0</v>
      </c>
      <c r="Z18" s="2" t="b">
        <f t="shared" ref="Z18" si="192">OR(I18, J18)</f>
        <v>0</v>
      </c>
      <c r="AC18" s="2" t="b">
        <f t="shared" ref="AC18" si="193">AND(NOT(K18), NOT(J18))</f>
        <v>0</v>
      </c>
      <c r="AD18" s="2" t="b">
        <f t="shared" ref="AD18" si="194">J18</f>
        <v>0</v>
      </c>
      <c r="AE18" s="2" t="b">
        <f t="shared" ref="AE18" si="195">AND(NOT(K18), NOT(J18))</f>
        <v>0</v>
      </c>
      <c r="AF18" s="2" t="b">
        <f t="shared" ref="AF18" si="196">J18</f>
        <v>0</v>
      </c>
      <c r="AI18" s="2" t="b">
        <f t="shared" ref="AI18" si="197">AND(NOT(J18), NOT(K18))</f>
        <v>0</v>
      </c>
      <c r="AJ18" s="2" t="b">
        <f t="shared" ref="AJ18" si="198">OR(I18, J18)</f>
        <v>0</v>
      </c>
      <c r="AK18" s="2" t="b">
        <f t="shared" ref="AK18" si="199">OR(I18, J18)</f>
        <v>0</v>
      </c>
      <c r="AN18" s="2" t="b">
        <f t="shared" ref="AN18" si="200">OR(I18, J18)</f>
        <v>0</v>
      </c>
      <c r="AO18" s="2" t="b">
        <f t="shared" ref="AO18" si="201">J18</f>
        <v>0</v>
      </c>
      <c r="AR18" s="2" t="b">
        <f t="shared" si="177"/>
        <v>0</v>
      </c>
      <c r="AS18" s="2" t="b">
        <f t="shared" ref="AS18" si="202">OR(I18, J18)</f>
        <v>0</v>
      </c>
      <c r="AT18" s="2" t="b">
        <f t="shared" ref="AT18" si="203">OR(I18, J18)</f>
        <v>0</v>
      </c>
      <c r="AW18" s="2" t="b">
        <f t="shared" ref="AW18" si="204">J18</f>
        <v>0</v>
      </c>
      <c r="AX18" s="2" t="b">
        <f t="shared" ref="AX18" si="205">J18</f>
        <v>0</v>
      </c>
      <c r="AY18" s="2" t="b">
        <f t="shared" ref="AY18" si="206">J18</f>
        <v>0</v>
      </c>
    </row>
    <row r="19" spans="2:51" ht="18" customHeight="1" x14ac:dyDescent="0.3">
      <c r="B19" s="416"/>
      <c r="C19" s="332"/>
      <c r="D19" s="332"/>
      <c r="E19" s="2" t="s">
        <v>235</v>
      </c>
      <c r="F19" s="2" t="str">
        <f>IF('Full Season Entries'!M9 &lt;&gt; "", LEFT('Full Season Entries'!M9, 1), "")</f>
        <v/>
      </c>
      <c r="G19" s="2" t="b">
        <f t="shared" si="0"/>
        <v>0</v>
      </c>
      <c r="H19" s="2" t="b">
        <f t="shared" si="183"/>
        <v>0</v>
      </c>
      <c r="I19" s="2" t="b">
        <f t="shared" si="184"/>
        <v>0</v>
      </c>
      <c r="J19" s="2" t="b">
        <f t="shared" si="185"/>
        <v>0</v>
      </c>
      <c r="K19" s="27" t="b">
        <f t="shared" si="186"/>
        <v>1</v>
      </c>
      <c r="L19" s="416"/>
      <c r="O19" s="1" t="s">
        <v>387</v>
      </c>
      <c r="P19" s="1" t="b">
        <f t="shared" ref="P19" si="207">OR(IF(D17 = 2, TRUE, FALSE), IF(D17 = 4, TRUE, FALSE))</f>
        <v>0</v>
      </c>
      <c r="Q19" s="1">
        <f t="shared" si="33"/>
        <v>0</v>
      </c>
      <c r="T19" s="2" t="b">
        <f t="shared" ref="T19" si="208">IF(D17 = 0, FALSE, IF(C17 = 1, CHOOSE(D17, W19, X19, Y19, Z19), IF(C17 = 2, CHOOSE(D17, AC19, AD19, AE19, AF19), IF(C17 = 2.1, K19, IF(C17 = 3, CHOOSE(D17, AI19, AJ19, AK19), IF(C17 = 4, CHOOSE(D17, AN19, AO19), IF(C17 = 5, CHOOSE(D17, AR19, AS19, AT19), IF(C17 = 7, CHOOSE(D17, AW19, AX19, AY19), FALSE))))))))</f>
        <v>0</v>
      </c>
      <c r="W19" s="2" t="b">
        <f t="shared" si="189"/>
        <v>0</v>
      </c>
      <c r="X19" s="2" t="b">
        <f t="shared" ref="X19" si="209">OR(I19, J19)</f>
        <v>0</v>
      </c>
      <c r="Y19" s="2" t="b">
        <f t="shared" si="191"/>
        <v>0</v>
      </c>
      <c r="Z19" s="2" t="b">
        <f t="shared" ref="Z19" si="210">J19</f>
        <v>0</v>
      </c>
      <c r="AC19" s="2" t="b">
        <f t="shared" ref="AC19" si="211">NOT(K19)</f>
        <v>0</v>
      </c>
      <c r="AD19" s="2" t="b">
        <f t="shared" ref="AD19" si="212">OR(I19, J19)</f>
        <v>0</v>
      </c>
      <c r="AE19" s="2" t="b">
        <f t="shared" ref="AE19" si="213">NOT(K19)</f>
        <v>0</v>
      </c>
      <c r="AF19" s="2" t="b">
        <f t="shared" ref="AF19" si="214">OR(I19, J19)</f>
        <v>0</v>
      </c>
      <c r="AI19" s="2" t="b">
        <f t="shared" ref="AI19" si="215">AND(OR(I19, J19), NOT(K19))</f>
        <v>0</v>
      </c>
      <c r="AJ19" s="2" t="b">
        <f t="shared" ref="AJ19" si="216">J19</f>
        <v>0</v>
      </c>
      <c r="AK19" s="2" t="b">
        <f t="shared" ref="AK19" si="217">J19</f>
        <v>0</v>
      </c>
      <c r="AN19" s="2" t="b">
        <f t="shared" ref="AN19:AN20" si="218">K19</f>
        <v>1</v>
      </c>
      <c r="AO19" s="2" t="b">
        <f t="shared" ref="AO19:AO20" si="219">K19</f>
        <v>1</v>
      </c>
      <c r="AR19" s="2" t="b">
        <f t="shared" si="177"/>
        <v>0</v>
      </c>
      <c r="AS19" s="2" t="b">
        <f t="shared" ref="AS19" si="220">J19</f>
        <v>0</v>
      </c>
      <c r="AT19" s="2" t="b">
        <f t="shared" ref="AT19" si="221">J19</f>
        <v>0</v>
      </c>
      <c r="AW19" s="2" t="b">
        <f t="shared" ref="AW19:AW20" si="222">K19</f>
        <v>1</v>
      </c>
      <c r="AX19" s="2" t="b">
        <f t="shared" ref="AX19:AX20" si="223">K19</f>
        <v>1</v>
      </c>
      <c r="AY19" s="2" t="b">
        <f t="shared" ref="AY19:AY20" si="224">K19</f>
        <v>1</v>
      </c>
    </row>
    <row r="20" spans="2:51" ht="18" customHeight="1" x14ac:dyDescent="0.3">
      <c r="B20" s="412"/>
      <c r="C20" s="332"/>
      <c r="D20" s="332"/>
      <c r="E20" s="2" t="s">
        <v>236</v>
      </c>
      <c r="F20" s="2" t="str">
        <f>IF('Full Season Entries'!N9 &lt;&gt; "", LEFT('Full Season Entries'!N9, 1), "")</f>
        <v/>
      </c>
      <c r="G20" s="2" t="b">
        <f t="shared" si="0"/>
        <v>0</v>
      </c>
      <c r="H20" s="2" t="b">
        <f t="shared" si="183"/>
        <v>0</v>
      </c>
      <c r="I20" s="2" t="b">
        <f t="shared" si="184"/>
        <v>0</v>
      </c>
      <c r="J20" s="2" t="b">
        <f t="shared" si="185"/>
        <v>0</v>
      </c>
      <c r="K20" s="27" t="b">
        <f t="shared" si="186"/>
        <v>1</v>
      </c>
      <c r="L20" s="412"/>
      <c r="O20" s="1" t="s">
        <v>388</v>
      </c>
      <c r="P20" s="1" t="b">
        <f t="shared" ref="P20" si="225">IF(SUM(Q17:Q20) &gt; 1, TRUE, FALSE)</f>
        <v>0</v>
      </c>
      <c r="Q20" s="1">
        <f t="shared" si="33"/>
        <v>0</v>
      </c>
      <c r="T20" s="2" t="b">
        <f t="shared" ref="T20" si="226">IF(D17 = 0, FALSE, IF(C17 = 1, CHOOSE(D17, W20, X20, Y20, Z20), IF(C17 = 2, CHOOSE(D17, AC20, AD20, AE20, AF20), IF(C17 = 2.1, K20, IF(C17 = 3, CHOOSE(D17, AI20, AJ20, AK20), IF(C17 = 4, CHOOSE(D17, AN20, AO20), IF(C17 = 5, CHOOSE(D17, AR20, AS20, AT20), IF(C17 = 7, CHOOSE(D17, AW20, AX20, AY20), FALSE))))))))</f>
        <v>0</v>
      </c>
      <c r="W20" s="2" t="b">
        <f t="shared" ref="W20" si="227">K20</f>
        <v>1</v>
      </c>
      <c r="X20" s="2" t="b">
        <f t="shared" ref="X20" si="228">K20</f>
        <v>1</v>
      </c>
      <c r="Y20" s="2" t="b">
        <f t="shared" ref="Y20" si="229">K20</f>
        <v>1</v>
      </c>
      <c r="Z20" s="2" t="b">
        <f t="shared" ref="Z20" si="230">K20</f>
        <v>1</v>
      </c>
      <c r="AC20" s="2" t="b">
        <v>1</v>
      </c>
      <c r="AD20" s="2" t="b">
        <f t="shared" ref="AD20" si="231">NOT(K20)</f>
        <v>0</v>
      </c>
      <c r="AE20" s="2" t="b">
        <v>1</v>
      </c>
      <c r="AF20" s="2" t="b">
        <f t="shared" ref="AF20" si="232">NOT(K20)</f>
        <v>0</v>
      </c>
      <c r="AI20" s="2" t="b">
        <f t="shared" ref="AI20" si="233">K20</f>
        <v>1</v>
      </c>
      <c r="AJ20" s="2" t="b">
        <f t="shared" ref="AJ20" si="234">K20</f>
        <v>1</v>
      </c>
      <c r="AK20" s="2" t="b">
        <f t="shared" ref="AK20" si="235">K20</f>
        <v>1</v>
      </c>
      <c r="AN20" s="2" t="b">
        <f t="shared" si="218"/>
        <v>1</v>
      </c>
      <c r="AO20" s="2" t="b">
        <f t="shared" si="219"/>
        <v>1</v>
      </c>
      <c r="AR20" s="2" t="b">
        <f t="shared" ref="AR20" si="236">K20</f>
        <v>1</v>
      </c>
      <c r="AS20" s="2" t="b">
        <f t="shared" ref="AS20" si="237">K20</f>
        <v>1</v>
      </c>
      <c r="AT20" s="2" t="b">
        <f t="shared" ref="AT20" si="238">K20</f>
        <v>1</v>
      </c>
      <c r="AW20" s="2" t="b">
        <f t="shared" si="222"/>
        <v>1</v>
      </c>
      <c r="AX20" s="2" t="b">
        <f t="shared" si="223"/>
        <v>1</v>
      </c>
      <c r="AY20" s="2" t="b">
        <f t="shared" si="224"/>
        <v>1</v>
      </c>
    </row>
    <row r="21" spans="2:51" ht="18" customHeight="1" x14ac:dyDescent="0.3">
      <c r="B21" s="415">
        <v>5</v>
      </c>
      <c r="C21" s="332">
        <f>IF('Full Season Entries'!AF10 = 2.2, 2, 'Full Season Entries'!AF10)</f>
        <v>0</v>
      </c>
      <c r="D21" s="332">
        <f>'Full Season Entries'!AG10</f>
        <v>0</v>
      </c>
      <c r="E21" s="2" t="s">
        <v>233</v>
      </c>
      <c r="F21" s="2" t="str">
        <f>IF('Full Season Entries'!K10 &lt;&gt; "", LEFT('Full Season Entries'!K10, 1), "")</f>
        <v/>
      </c>
      <c r="G21" s="2" t="b">
        <f>IF(F21 = "P", TRUE, FALSE)</f>
        <v>0</v>
      </c>
      <c r="H21" s="2" t="b">
        <f>IF(F21 = "G", TRUE, FALSE)</f>
        <v>0</v>
      </c>
      <c r="I21" s="2" t="b">
        <f>IF(F21 = "S", TRUE, FALSE)</f>
        <v>0</v>
      </c>
      <c r="J21" s="2" t="b">
        <f>IF(F21 = "B", TRUE, FALSE)</f>
        <v>0</v>
      </c>
      <c r="K21" s="27" t="b">
        <f>IF(AND(IF(G21 = FALSE, TRUE, FALSE), IF(H21 = FALSE, TRUE, FALSE), IF(I21 = FALSE, TRUE, FALSE), IF(J21 = FALSE, TRUE, FALSE)) = TRUE, TRUE, FALSE)</f>
        <v>1</v>
      </c>
      <c r="L21" s="415" t="str">
        <f>IF(P21, "", IF(AND(P22, P23), AND(T21, T22, T23, T24), AND(NOT(P24), T21, T22, T23, T24)))</f>
        <v/>
      </c>
      <c r="O21" s="1" t="s">
        <v>232</v>
      </c>
      <c r="P21" s="1" t="b">
        <f t="shared" ref="P21" si="239">AND(K21, K22, K23, K24)</f>
        <v>1</v>
      </c>
      <c r="Q21" s="1">
        <f t="shared" si="33"/>
        <v>0</v>
      </c>
      <c r="T21" s="2" t="b">
        <f t="shared" ref="T21" si="240">IF(D21 = 0, FALSE, IF(C21 = 1, CHOOSE(D21, W21, X21, Y21, Z21), IF(C21 = 2, CHOOSE(D21, AC21, AD21, AE21, AF21), IF(C21 = 2.1, CHOOSE(D21, AC21, AD21, AE21, AF21), IF(C21 = 3, CHOOSE(D21, AI21, AJ21, AK21), IF(C21 = 4, CHOOSE(D21, AN21, AO21), IF(C21 = 5, CHOOSE(D21, AR21, AS21, AT21), IF(C21 = 7, CHOOSE(D21, AW21, AX21, AY21), FALSE))))))))</f>
        <v>0</v>
      </c>
      <c r="W21" s="2" t="b">
        <f t="shared" ref="W21" si="241">AND(NOT(I21), NOT(K21), NOT(J21))</f>
        <v>0</v>
      </c>
      <c r="X21" s="2" t="b">
        <f t="shared" ref="X21" si="242">AND(NOT(I21), NOT(K21), NOT(J21))</f>
        <v>0</v>
      </c>
      <c r="Y21" s="2" t="b">
        <f t="shared" ref="Y21" si="243">AND(NOT(I21), NOT(K21), NOT(J21))</f>
        <v>0</v>
      </c>
      <c r="Z21" s="2" t="b">
        <f t="shared" ref="Z21" si="244">AND(NOT(I21), NOT(K21), NOT(J21))</f>
        <v>0</v>
      </c>
      <c r="AC21" s="2" t="b">
        <f t="shared" ref="AC21" si="245">AND(NOT(I21), NOT(K21), NOT(J21))</f>
        <v>0</v>
      </c>
      <c r="AD21" s="2" t="b">
        <f t="shared" ref="AD21" si="246">AND(NOT(G21), NOT(K21), NOT(J21))</f>
        <v>0</v>
      </c>
      <c r="AE21" s="2" t="b">
        <f t="shared" ref="AE21" si="247">AND(NOT(I21), NOT(K21), NOT(J21))</f>
        <v>0</v>
      </c>
      <c r="AF21" s="2" t="b">
        <f t="shared" ref="AF21" si="248">AND(NOT(I21), NOT(K21), NOT(J21))</f>
        <v>0</v>
      </c>
      <c r="AI21" s="2" t="b">
        <f t="shared" ref="AI21" si="249">AND(NOT(I21), NOT(K21), NOT(J21))</f>
        <v>0</v>
      </c>
      <c r="AJ21" s="2" t="b">
        <f t="shared" ref="AJ21" si="250">AND(NOT(J21), NOT(K21))</f>
        <v>0</v>
      </c>
      <c r="AK21" s="2" t="b">
        <f t="shared" ref="AK21" si="251">AND(NOT(I21), NOT(K21), NOT(J21))</f>
        <v>0</v>
      </c>
      <c r="AN21" s="2" t="b">
        <f t="shared" ref="AN21" si="252">AND(NOT(I21), NOT(K21), NOT(J21))</f>
        <v>0</v>
      </c>
      <c r="AO21" s="2" t="b">
        <f t="shared" ref="AO21" si="253">AND(NOT(G21), NOT(J21), NOT(K21))</f>
        <v>0</v>
      </c>
      <c r="AR21" s="2" t="b">
        <f t="shared" ref="AR21:AR23" si="254">AND(NOT(J21), NOT(K21))</f>
        <v>0</v>
      </c>
      <c r="AS21" s="2" t="b">
        <f t="shared" ref="AS21" si="255">AND(NOT(I21), NOT(K21), NOT(J21))</f>
        <v>0</v>
      </c>
      <c r="AT21" s="2" t="b">
        <f t="shared" ref="AT21" si="256">AND(NOT(G21), NOT(J21), NOT(K21))</f>
        <v>0</v>
      </c>
      <c r="AW21" s="2" t="b">
        <f t="shared" ref="AW21" si="257">AND(NOT(G21), NOT(J21), NOT(K21))</f>
        <v>0</v>
      </c>
      <c r="AX21" s="2" t="b">
        <f t="shared" ref="AX21" si="258">AND(NOT(J21), NOT(K21))</f>
        <v>0</v>
      </c>
      <c r="AY21" s="2" t="b">
        <f t="shared" ref="AY21" si="259">AND(NOT(G21), NOT(J21), NOT(K21))</f>
        <v>0</v>
      </c>
    </row>
    <row r="22" spans="2:51" ht="18" customHeight="1" x14ac:dyDescent="0.3">
      <c r="B22" s="416"/>
      <c r="C22" s="332"/>
      <c r="D22" s="332"/>
      <c r="E22" s="2" t="s">
        <v>234</v>
      </c>
      <c r="F22" s="2" t="str">
        <f>IF('Full Season Entries'!L10 &lt;&gt; "", LEFT('Full Season Entries'!L10, 1), "")</f>
        <v/>
      </c>
      <c r="G22" s="2" t="b">
        <f t="shared" si="0"/>
        <v>0</v>
      </c>
      <c r="H22" s="2" t="b">
        <f t="shared" ref="H22:H24" si="260">IF(F22 = "G", TRUE, FALSE)</f>
        <v>0</v>
      </c>
      <c r="I22" s="2" t="b">
        <f t="shared" ref="I22:I24" si="261">IF(F22 = "S", TRUE, FALSE)</f>
        <v>0</v>
      </c>
      <c r="J22" s="2" t="b">
        <f t="shared" ref="J22:J24" si="262">IF(F22 = "B", TRUE, FALSE)</f>
        <v>0</v>
      </c>
      <c r="K22" s="27" t="b">
        <f t="shared" ref="K22:K24" si="263">IF(AND(IF(G22 = FALSE, TRUE, FALSE), IF(H22 = FALSE, TRUE, FALSE), IF(I22 = FALSE, TRUE, FALSE), IF(J22 = FALSE, TRUE, FALSE)) = TRUE, TRUE, FALSE)</f>
        <v>1</v>
      </c>
      <c r="L22" s="416"/>
      <c r="O22" s="1" t="s">
        <v>386</v>
      </c>
      <c r="P22" s="1" t="b">
        <f t="shared" ref="P22" si="264">OR(IF(C21 = 2, TRUE, FALSE), IF(C21 = 2.2, TRUE, FALSE))</f>
        <v>0</v>
      </c>
      <c r="Q22" s="1">
        <f t="shared" si="33"/>
        <v>0</v>
      </c>
      <c r="T22" s="2" t="b">
        <f t="shared" ref="T22" si="265">IF(D21 = 0, FALSE, IF(C21 = 1, CHOOSE(D21, W22, X22, Y22, Z22), IF(C21 = 2, CHOOSE(D21, AC22, AD22, AE22, AF22), IF(C21 = 2.1, CHOOSE(D21, AC22, AD22, AE22, AF22), IF(C21 = 3, CHOOSE(D21, AI22, AJ22, AK22), IF(C21 = 4, CHOOSE(D21, AN22, AO22), IF(C21 = 5, CHOOSE(D21, AR22, AS22, AT22), IF(C21 = 7, CHOOSE(D21, AW22, AX22, AY22), FALSE))))))))</f>
        <v>0</v>
      </c>
      <c r="W22" s="2" t="b">
        <f t="shared" ref="W22:W23" si="266">AND(NOT(K22), NOT(J22))</f>
        <v>0</v>
      </c>
      <c r="X22" s="2" t="b">
        <f t="shared" ref="X22" si="267">NOT(K21)</f>
        <v>0</v>
      </c>
      <c r="Y22" s="2" t="b">
        <f t="shared" ref="Y22:Y23" si="268">AND(NOT(K22), NOT(J22))</f>
        <v>0</v>
      </c>
      <c r="Z22" s="2" t="b">
        <f t="shared" ref="Z22" si="269">OR(I22, J22)</f>
        <v>0</v>
      </c>
      <c r="AC22" s="2" t="b">
        <f t="shared" ref="AC22" si="270">AND(NOT(K22), NOT(J22))</f>
        <v>0</v>
      </c>
      <c r="AD22" s="2" t="b">
        <f t="shared" ref="AD22" si="271">J22</f>
        <v>0</v>
      </c>
      <c r="AE22" s="2" t="b">
        <f t="shared" ref="AE22" si="272">AND(NOT(K22), NOT(J22))</f>
        <v>0</v>
      </c>
      <c r="AF22" s="2" t="b">
        <f t="shared" ref="AF22" si="273">J22</f>
        <v>0</v>
      </c>
      <c r="AI22" s="2" t="b">
        <f t="shared" ref="AI22" si="274">AND(NOT(J22), NOT(K22))</f>
        <v>0</v>
      </c>
      <c r="AJ22" s="2" t="b">
        <f t="shared" ref="AJ22" si="275">OR(I22, J22)</f>
        <v>0</v>
      </c>
      <c r="AK22" s="2" t="b">
        <f t="shared" ref="AK22" si="276">OR(I22, J22)</f>
        <v>0</v>
      </c>
      <c r="AN22" s="2" t="b">
        <f t="shared" ref="AN22" si="277">OR(I22, J22)</f>
        <v>0</v>
      </c>
      <c r="AO22" s="2" t="b">
        <f t="shared" ref="AO22" si="278">J22</f>
        <v>0</v>
      </c>
      <c r="AR22" s="2" t="b">
        <f t="shared" si="254"/>
        <v>0</v>
      </c>
      <c r="AS22" s="2" t="b">
        <f t="shared" ref="AS22" si="279">OR(I22, J22)</f>
        <v>0</v>
      </c>
      <c r="AT22" s="2" t="b">
        <f t="shared" ref="AT22" si="280">OR(I22, J22)</f>
        <v>0</v>
      </c>
      <c r="AW22" s="2" t="b">
        <f t="shared" ref="AW22" si="281">J22</f>
        <v>0</v>
      </c>
      <c r="AX22" s="2" t="b">
        <f t="shared" ref="AX22" si="282">J22</f>
        <v>0</v>
      </c>
      <c r="AY22" s="2" t="b">
        <f t="shared" ref="AY22" si="283">J22</f>
        <v>0</v>
      </c>
    </row>
    <row r="23" spans="2:51" ht="18" customHeight="1" x14ac:dyDescent="0.3">
      <c r="B23" s="416"/>
      <c r="C23" s="332"/>
      <c r="D23" s="332"/>
      <c r="E23" s="2" t="s">
        <v>235</v>
      </c>
      <c r="F23" s="2" t="str">
        <f>IF('Full Season Entries'!M10 &lt;&gt; "", LEFT('Full Season Entries'!M10, 1), "")</f>
        <v/>
      </c>
      <c r="G23" s="2" t="b">
        <f t="shared" si="0"/>
        <v>0</v>
      </c>
      <c r="H23" s="2" t="b">
        <f t="shared" si="260"/>
        <v>0</v>
      </c>
      <c r="I23" s="2" t="b">
        <f t="shared" si="261"/>
        <v>0</v>
      </c>
      <c r="J23" s="2" t="b">
        <f t="shared" si="262"/>
        <v>0</v>
      </c>
      <c r="K23" s="27" t="b">
        <f t="shared" si="263"/>
        <v>1</v>
      </c>
      <c r="L23" s="416"/>
      <c r="O23" s="1" t="s">
        <v>387</v>
      </c>
      <c r="P23" s="1" t="b">
        <f t="shared" ref="P23" si="284">OR(IF(D21 = 2, TRUE, FALSE), IF(D21 = 4, TRUE, FALSE))</f>
        <v>0</v>
      </c>
      <c r="Q23" s="1">
        <f t="shared" si="33"/>
        <v>0</v>
      </c>
      <c r="T23" s="2" t="b">
        <f t="shared" ref="T23" si="285">IF(D21 = 0, FALSE, IF(C21 = 1, CHOOSE(D21, W23, X23, Y23, Z23), IF(C21 = 2, CHOOSE(D21, AC23, AD23, AE23, AF23), IF(C21 = 2.1, K23, IF(C21 = 3, CHOOSE(D21, AI23, AJ23, AK23), IF(C21 = 4, CHOOSE(D21, AN23, AO23), IF(C21 = 5, CHOOSE(D21, AR23, AS23, AT23), IF(C21 = 7, CHOOSE(D21, AW23, AX23, AY23), FALSE))))))))</f>
        <v>0</v>
      </c>
      <c r="W23" s="2" t="b">
        <f t="shared" si="266"/>
        <v>0</v>
      </c>
      <c r="X23" s="2" t="b">
        <f t="shared" ref="X23" si="286">OR(I23, J23)</f>
        <v>0</v>
      </c>
      <c r="Y23" s="2" t="b">
        <f t="shared" si="268"/>
        <v>0</v>
      </c>
      <c r="Z23" s="2" t="b">
        <f t="shared" ref="Z23" si="287">J23</f>
        <v>0</v>
      </c>
      <c r="AC23" s="2" t="b">
        <f t="shared" ref="AC23" si="288">NOT(K23)</f>
        <v>0</v>
      </c>
      <c r="AD23" s="2" t="b">
        <f t="shared" ref="AD23" si="289">OR(I23, J23)</f>
        <v>0</v>
      </c>
      <c r="AE23" s="2" t="b">
        <f t="shared" ref="AE23" si="290">NOT(K23)</f>
        <v>0</v>
      </c>
      <c r="AF23" s="2" t="b">
        <f t="shared" ref="AF23" si="291">OR(I23, J23)</f>
        <v>0</v>
      </c>
      <c r="AI23" s="2" t="b">
        <f t="shared" ref="AI23" si="292">AND(OR(I23, J23), NOT(K23))</f>
        <v>0</v>
      </c>
      <c r="AJ23" s="2" t="b">
        <f t="shared" ref="AJ23" si="293">J23</f>
        <v>0</v>
      </c>
      <c r="AK23" s="2" t="b">
        <f t="shared" ref="AK23" si="294">J23</f>
        <v>0</v>
      </c>
      <c r="AN23" s="2" t="b">
        <f t="shared" ref="AN23:AN24" si="295">K23</f>
        <v>1</v>
      </c>
      <c r="AO23" s="2" t="b">
        <f t="shared" ref="AO23:AO24" si="296">K23</f>
        <v>1</v>
      </c>
      <c r="AR23" s="2" t="b">
        <f t="shared" si="254"/>
        <v>0</v>
      </c>
      <c r="AS23" s="2" t="b">
        <f t="shared" ref="AS23" si="297">J23</f>
        <v>0</v>
      </c>
      <c r="AT23" s="2" t="b">
        <f t="shared" ref="AT23" si="298">J23</f>
        <v>0</v>
      </c>
      <c r="AW23" s="2" t="b">
        <f t="shared" ref="AW23:AW24" si="299">K23</f>
        <v>1</v>
      </c>
      <c r="AX23" s="2" t="b">
        <f t="shared" ref="AX23:AX24" si="300">K23</f>
        <v>1</v>
      </c>
      <c r="AY23" s="2" t="b">
        <f t="shared" ref="AY23:AY24" si="301">K23</f>
        <v>1</v>
      </c>
    </row>
    <row r="24" spans="2:51" ht="18" customHeight="1" x14ac:dyDescent="0.3">
      <c r="B24" s="412"/>
      <c r="C24" s="332"/>
      <c r="D24" s="332"/>
      <c r="E24" s="2" t="s">
        <v>236</v>
      </c>
      <c r="F24" s="2" t="str">
        <f>IF('Full Season Entries'!N10 &lt;&gt; "", LEFT('Full Season Entries'!N10, 1), "")</f>
        <v/>
      </c>
      <c r="G24" s="2" t="b">
        <f t="shared" si="0"/>
        <v>0</v>
      </c>
      <c r="H24" s="2" t="b">
        <f t="shared" si="260"/>
        <v>0</v>
      </c>
      <c r="I24" s="2" t="b">
        <f t="shared" si="261"/>
        <v>0</v>
      </c>
      <c r="J24" s="2" t="b">
        <f t="shared" si="262"/>
        <v>0</v>
      </c>
      <c r="K24" s="27" t="b">
        <f t="shared" si="263"/>
        <v>1</v>
      </c>
      <c r="L24" s="412"/>
      <c r="O24" s="1" t="s">
        <v>388</v>
      </c>
      <c r="P24" s="1" t="b">
        <f t="shared" ref="P24" si="302">IF(SUM(Q21:Q24) &gt; 1, TRUE, FALSE)</f>
        <v>0</v>
      </c>
      <c r="Q24" s="1">
        <f t="shared" si="33"/>
        <v>0</v>
      </c>
      <c r="T24" s="2" t="b">
        <f t="shared" ref="T24" si="303">IF(D21 = 0, FALSE, IF(C21 = 1, CHOOSE(D21, W24, X24, Y24, Z24), IF(C21 = 2, CHOOSE(D21, AC24, AD24, AE24, AF24), IF(C21 = 2.1, K24, IF(C21 = 3, CHOOSE(D21, AI24, AJ24, AK24), IF(C21 = 4, CHOOSE(D21, AN24, AO24), IF(C21 = 5, CHOOSE(D21, AR24, AS24, AT24), IF(C21 = 7, CHOOSE(D21, AW24, AX24, AY24), FALSE))))))))</f>
        <v>0</v>
      </c>
      <c r="W24" s="2" t="b">
        <f t="shared" ref="W24" si="304">K24</f>
        <v>1</v>
      </c>
      <c r="X24" s="2" t="b">
        <f t="shared" ref="X24" si="305">K24</f>
        <v>1</v>
      </c>
      <c r="Y24" s="2" t="b">
        <f t="shared" ref="Y24" si="306">K24</f>
        <v>1</v>
      </c>
      <c r="Z24" s="2" t="b">
        <f t="shared" ref="Z24" si="307">K24</f>
        <v>1</v>
      </c>
      <c r="AC24" s="2" t="b">
        <v>1</v>
      </c>
      <c r="AD24" s="2" t="b">
        <f t="shared" ref="AD24" si="308">NOT(K24)</f>
        <v>0</v>
      </c>
      <c r="AE24" s="2" t="b">
        <v>1</v>
      </c>
      <c r="AF24" s="2" t="b">
        <f t="shared" ref="AF24" si="309">NOT(K24)</f>
        <v>0</v>
      </c>
      <c r="AI24" s="2" t="b">
        <f t="shared" ref="AI24" si="310">K24</f>
        <v>1</v>
      </c>
      <c r="AJ24" s="2" t="b">
        <f t="shared" ref="AJ24" si="311">K24</f>
        <v>1</v>
      </c>
      <c r="AK24" s="2" t="b">
        <f t="shared" ref="AK24" si="312">K24</f>
        <v>1</v>
      </c>
      <c r="AN24" s="2" t="b">
        <f t="shared" si="295"/>
        <v>1</v>
      </c>
      <c r="AO24" s="2" t="b">
        <f t="shared" si="296"/>
        <v>1</v>
      </c>
      <c r="AR24" s="2" t="b">
        <f t="shared" ref="AR24" si="313">K24</f>
        <v>1</v>
      </c>
      <c r="AS24" s="2" t="b">
        <f t="shared" ref="AS24" si="314">K24</f>
        <v>1</v>
      </c>
      <c r="AT24" s="2" t="b">
        <f t="shared" ref="AT24" si="315">K24</f>
        <v>1</v>
      </c>
      <c r="AW24" s="2" t="b">
        <f t="shared" si="299"/>
        <v>1</v>
      </c>
      <c r="AX24" s="2" t="b">
        <f t="shared" si="300"/>
        <v>1</v>
      </c>
      <c r="AY24" s="2" t="b">
        <f t="shared" si="301"/>
        <v>1</v>
      </c>
    </row>
    <row r="25" spans="2:51" ht="18" customHeight="1" x14ac:dyDescent="0.3">
      <c r="B25" s="415">
        <v>6</v>
      </c>
      <c r="C25" s="332">
        <f>IF('Full Season Entries'!AF11 = 2.2, 2, 'Full Season Entries'!AF11)</f>
        <v>0</v>
      </c>
      <c r="D25" s="332">
        <f>'Full Season Entries'!AG11</f>
        <v>0</v>
      </c>
      <c r="E25" s="2" t="s">
        <v>233</v>
      </c>
      <c r="F25" s="2" t="str">
        <f>IF('Full Season Entries'!K11 &lt;&gt; "", LEFT('Full Season Entries'!K11, 1), "")</f>
        <v/>
      </c>
      <c r="G25" s="2" t="b">
        <f>IF(F25 = "P", TRUE, FALSE)</f>
        <v>0</v>
      </c>
      <c r="H25" s="2" t="b">
        <f>IF(F25 = "G", TRUE, FALSE)</f>
        <v>0</v>
      </c>
      <c r="I25" s="2" t="b">
        <f>IF(F25 = "S", TRUE, FALSE)</f>
        <v>0</v>
      </c>
      <c r="J25" s="2" t="b">
        <f>IF(F25 = "B", TRUE, FALSE)</f>
        <v>0</v>
      </c>
      <c r="K25" s="27" t="b">
        <f>IF(AND(IF(G25 = FALSE, TRUE, FALSE), IF(H25 = FALSE, TRUE, FALSE), IF(I25 = FALSE, TRUE, FALSE), IF(J25 = FALSE, TRUE, FALSE)) = TRUE, TRUE, FALSE)</f>
        <v>1</v>
      </c>
      <c r="L25" s="415" t="str">
        <f>IF(P25, "", IF(AND(P26, P27), AND(T25, T26, T27, T28), AND(NOT(P28), T25, T26, T27, T28)))</f>
        <v/>
      </c>
      <c r="O25" s="1" t="s">
        <v>232</v>
      </c>
      <c r="P25" s="1" t="b">
        <f t="shared" ref="P25" si="316">AND(K25, K26, K27, K28)</f>
        <v>1</v>
      </c>
      <c r="Q25" s="1">
        <f t="shared" si="33"/>
        <v>0</v>
      </c>
      <c r="T25" s="2" t="b">
        <f t="shared" ref="T25" si="317">IF(D25 = 0, FALSE, IF(C25 = 1, CHOOSE(D25, W25, X25, Y25, Z25), IF(C25 = 2, CHOOSE(D25, AC25, AD25, AE25, AF25), IF(C25 = 2.1, CHOOSE(D25, AC25, AD25, AE25, AF25), IF(C25 = 3, CHOOSE(D25, AI25, AJ25, AK25), IF(C25 = 4, CHOOSE(D25, AN25, AO25), IF(C25 = 5, CHOOSE(D25, AR25, AS25, AT25), IF(C25 = 7, CHOOSE(D25, AW25, AX25, AY25), FALSE))))))))</f>
        <v>0</v>
      </c>
      <c r="W25" s="2" t="b">
        <f t="shared" ref="W25" si="318">AND(NOT(I25), NOT(K25), NOT(J25))</f>
        <v>0</v>
      </c>
      <c r="X25" s="2" t="b">
        <f t="shared" ref="X25" si="319">AND(NOT(I25), NOT(K25), NOT(J25))</f>
        <v>0</v>
      </c>
      <c r="Y25" s="2" t="b">
        <f t="shared" ref="Y25" si="320">AND(NOT(I25), NOT(K25), NOT(J25))</f>
        <v>0</v>
      </c>
      <c r="Z25" s="2" t="b">
        <f t="shared" ref="Z25" si="321">AND(NOT(I25), NOT(K25), NOT(J25))</f>
        <v>0</v>
      </c>
      <c r="AC25" s="2" t="b">
        <f t="shared" ref="AC25" si="322">AND(NOT(I25), NOT(K25), NOT(J25))</f>
        <v>0</v>
      </c>
      <c r="AD25" s="2" t="b">
        <f t="shared" ref="AD25" si="323">AND(NOT(G25), NOT(K25), NOT(J25))</f>
        <v>0</v>
      </c>
      <c r="AE25" s="2" t="b">
        <f t="shared" ref="AE25" si="324">AND(NOT(I25), NOT(K25), NOT(J25))</f>
        <v>0</v>
      </c>
      <c r="AF25" s="2" t="b">
        <f t="shared" ref="AF25" si="325">AND(NOT(I25), NOT(K25), NOT(J25))</f>
        <v>0</v>
      </c>
      <c r="AI25" s="2" t="b">
        <f t="shared" ref="AI25" si="326">AND(NOT(I25), NOT(K25), NOT(J25))</f>
        <v>0</v>
      </c>
      <c r="AJ25" s="2" t="b">
        <f t="shared" ref="AJ25" si="327">AND(NOT(J25), NOT(K25))</f>
        <v>0</v>
      </c>
      <c r="AK25" s="2" t="b">
        <f t="shared" ref="AK25" si="328">AND(NOT(I25), NOT(K25), NOT(J25))</f>
        <v>0</v>
      </c>
      <c r="AN25" s="2" t="b">
        <f t="shared" ref="AN25" si="329">AND(NOT(I25), NOT(K25), NOT(J25))</f>
        <v>0</v>
      </c>
      <c r="AO25" s="2" t="b">
        <f t="shared" ref="AO25" si="330">AND(NOT(G25), NOT(J25), NOT(K25))</f>
        <v>0</v>
      </c>
      <c r="AR25" s="2" t="b">
        <f t="shared" ref="AR25:AR27" si="331">AND(NOT(J25), NOT(K25))</f>
        <v>0</v>
      </c>
      <c r="AS25" s="2" t="b">
        <f t="shared" ref="AS25" si="332">AND(NOT(I25), NOT(K25), NOT(J25))</f>
        <v>0</v>
      </c>
      <c r="AT25" s="2" t="b">
        <f t="shared" ref="AT25" si="333">AND(NOT(G25), NOT(J25), NOT(K25))</f>
        <v>0</v>
      </c>
      <c r="AW25" s="2" t="b">
        <f t="shared" ref="AW25" si="334">AND(NOT(G25), NOT(J25), NOT(K25))</f>
        <v>0</v>
      </c>
      <c r="AX25" s="2" t="b">
        <f t="shared" ref="AX25" si="335">AND(NOT(J25), NOT(K25))</f>
        <v>0</v>
      </c>
      <c r="AY25" s="2" t="b">
        <f t="shared" ref="AY25" si="336">AND(NOT(G25), NOT(J25), NOT(K25))</f>
        <v>0</v>
      </c>
    </row>
    <row r="26" spans="2:51" ht="18" customHeight="1" x14ac:dyDescent="0.3">
      <c r="B26" s="416"/>
      <c r="C26" s="332"/>
      <c r="D26" s="332"/>
      <c r="E26" s="2" t="s">
        <v>234</v>
      </c>
      <c r="F26" s="2" t="str">
        <f>IF('Full Season Entries'!L11 &lt;&gt; "", LEFT('Full Season Entries'!L11, 1), "")</f>
        <v/>
      </c>
      <c r="G26" s="2" t="b">
        <f t="shared" si="0"/>
        <v>0</v>
      </c>
      <c r="H26" s="2" t="b">
        <f t="shared" ref="H26:H28" si="337">IF(F26 = "G", TRUE, FALSE)</f>
        <v>0</v>
      </c>
      <c r="I26" s="2" t="b">
        <f t="shared" ref="I26:I28" si="338">IF(F26 = "S", TRUE, FALSE)</f>
        <v>0</v>
      </c>
      <c r="J26" s="2" t="b">
        <f t="shared" ref="J26:J28" si="339">IF(F26 = "B", TRUE, FALSE)</f>
        <v>0</v>
      </c>
      <c r="K26" s="27" t="b">
        <f t="shared" ref="K26:K28" si="340">IF(AND(IF(G26 = FALSE, TRUE, FALSE), IF(H26 = FALSE, TRUE, FALSE), IF(I26 = FALSE, TRUE, FALSE), IF(J26 = FALSE, TRUE, FALSE)) = TRUE, TRUE, FALSE)</f>
        <v>1</v>
      </c>
      <c r="L26" s="416"/>
      <c r="O26" s="1" t="s">
        <v>386</v>
      </c>
      <c r="P26" s="1" t="b">
        <f t="shared" ref="P26" si="341">OR(IF(C25 = 2, TRUE, FALSE), IF(C25 = 2.2, TRUE, FALSE))</f>
        <v>0</v>
      </c>
      <c r="Q26" s="1">
        <f t="shared" si="33"/>
        <v>0</v>
      </c>
      <c r="T26" s="2" t="b">
        <f t="shared" ref="T26" si="342">IF(D25 = 0, FALSE, IF(C25 = 1, CHOOSE(D25, W26, X26, Y26, Z26), IF(C25 = 2, CHOOSE(D25, AC26, AD26, AE26, AF26), IF(C25 = 2.1, CHOOSE(D25, AC26, AD26, AE26, AF26), IF(C25 = 3, CHOOSE(D25, AI26, AJ26, AK26), IF(C25 = 4, CHOOSE(D25, AN26, AO26), IF(C25 = 5, CHOOSE(D25, AR26, AS26, AT26), IF(C25 = 7, CHOOSE(D25, AW26, AX26, AY26), FALSE))))))))</f>
        <v>0</v>
      </c>
      <c r="W26" s="2" t="b">
        <f t="shared" ref="W26:W27" si="343">AND(NOT(K26), NOT(J26))</f>
        <v>0</v>
      </c>
      <c r="X26" s="2" t="b">
        <f t="shared" ref="X26" si="344">NOT(K25)</f>
        <v>0</v>
      </c>
      <c r="Y26" s="2" t="b">
        <f t="shared" ref="Y26:Y27" si="345">AND(NOT(K26), NOT(J26))</f>
        <v>0</v>
      </c>
      <c r="Z26" s="2" t="b">
        <f t="shared" ref="Z26" si="346">OR(I26, J26)</f>
        <v>0</v>
      </c>
      <c r="AC26" s="2" t="b">
        <f t="shared" ref="AC26" si="347">AND(NOT(K26), NOT(J26))</f>
        <v>0</v>
      </c>
      <c r="AD26" s="2" t="b">
        <f t="shared" ref="AD26" si="348">J26</f>
        <v>0</v>
      </c>
      <c r="AE26" s="2" t="b">
        <f t="shared" ref="AE26" si="349">AND(NOT(K26), NOT(J26))</f>
        <v>0</v>
      </c>
      <c r="AF26" s="2" t="b">
        <f t="shared" ref="AF26" si="350">J26</f>
        <v>0</v>
      </c>
      <c r="AI26" s="2" t="b">
        <f t="shared" ref="AI26" si="351">AND(NOT(J26), NOT(K26))</f>
        <v>0</v>
      </c>
      <c r="AJ26" s="2" t="b">
        <f t="shared" ref="AJ26" si="352">OR(I26, J26)</f>
        <v>0</v>
      </c>
      <c r="AK26" s="2" t="b">
        <f t="shared" ref="AK26" si="353">OR(I26, J26)</f>
        <v>0</v>
      </c>
      <c r="AN26" s="2" t="b">
        <f t="shared" ref="AN26" si="354">OR(I26, J26)</f>
        <v>0</v>
      </c>
      <c r="AO26" s="2" t="b">
        <f t="shared" ref="AO26" si="355">J26</f>
        <v>0</v>
      </c>
      <c r="AR26" s="2" t="b">
        <f t="shared" si="331"/>
        <v>0</v>
      </c>
      <c r="AS26" s="2" t="b">
        <f t="shared" ref="AS26" si="356">OR(I26, J26)</f>
        <v>0</v>
      </c>
      <c r="AT26" s="2" t="b">
        <f t="shared" ref="AT26" si="357">OR(I26, J26)</f>
        <v>0</v>
      </c>
      <c r="AW26" s="2" t="b">
        <f t="shared" ref="AW26" si="358">J26</f>
        <v>0</v>
      </c>
      <c r="AX26" s="2" t="b">
        <f t="shared" ref="AX26" si="359">J26</f>
        <v>0</v>
      </c>
      <c r="AY26" s="2" t="b">
        <f t="shared" ref="AY26" si="360">J26</f>
        <v>0</v>
      </c>
    </row>
    <row r="27" spans="2:51" ht="18" customHeight="1" x14ac:dyDescent="0.3">
      <c r="B27" s="416"/>
      <c r="C27" s="332"/>
      <c r="D27" s="332"/>
      <c r="E27" s="2" t="s">
        <v>235</v>
      </c>
      <c r="F27" s="2" t="str">
        <f>IF('Full Season Entries'!M11 &lt;&gt; "", LEFT('Full Season Entries'!M11, 1), "")</f>
        <v/>
      </c>
      <c r="G27" s="2" t="b">
        <f t="shared" si="0"/>
        <v>0</v>
      </c>
      <c r="H27" s="2" t="b">
        <f t="shared" si="337"/>
        <v>0</v>
      </c>
      <c r="I27" s="2" t="b">
        <f t="shared" si="338"/>
        <v>0</v>
      </c>
      <c r="J27" s="2" t="b">
        <f t="shared" si="339"/>
        <v>0</v>
      </c>
      <c r="K27" s="27" t="b">
        <f t="shared" si="340"/>
        <v>1</v>
      </c>
      <c r="L27" s="416"/>
      <c r="O27" s="1" t="s">
        <v>387</v>
      </c>
      <c r="P27" s="1" t="b">
        <f t="shared" ref="P27" si="361">OR(IF(D25 = 2, TRUE, FALSE), IF(D25 = 4, TRUE, FALSE))</f>
        <v>0</v>
      </c>
      <c r="Q27" s="1">
        <f t="shared" si="33"/>
        <v>0</v>
      </c>
      <c r="T27" s="2" t="b">
        <f t="shared" ref="T27" si="362">IF(D25 = 0, FALSE, IF(C25 = 1, CHOOSE(D25, W27, X27, Y27, Z27), IF(C25 = 2, CHOOSE(D25, AC27, AD27, AE27, AF27), IF(C25 = 2.1, K27, IF(C25 = 3, CHOOSE(D25, AI27, AJ27, AK27), IF(C25 = 4, CHOOSE(D25, AN27, AO27), IF(C25 = 5, CHOOSE(D25, AR27, AS27, AT27), IF(C25 = 7, CHOOSE(D25, AW27, AX27, AY27), FALSE))))))))</f>
        <v>0</v>
      </c>
      <c r="W27" s="2" t="b">
        <f t="shared" si="343"/>
        <v>0</v>
      </c>
      <c r="X27" s="2" t="b">
        <f t="shared" ref="X27" si="363">OR(I27, J27)</f>
        <v>0</v>
      </c>
      <c r="Y27" s="2" t="b">
        <f t="shared" si="345"/>
        <v>0</v>
      </c>
      <c r="Z27" s="2" t="b">
        <f t="shared" ref="Z27" si="364">J27</f>
        <v>0</v>
      </c>
      <c r="AC27" s="2" t="b">
        <f t="shared" ref="AC27" si="365">NOT(K27)</f>
        <v>0</v>
      </c>
      <c r="AD27" s="2" t="b">
        <f t="shared" ref="AD27" si="366">OR(I27, J27)</f>
        <v>0</v>
      </c>
      <c r="AE27" s="2" t="b">
        <f t="shared" ref="AE27" si="367">NOT(K27)</f>
        <v>0</v>
      </c>
      <c r="AF27" s="2" t="b">
        <f t="shared" ref="AF27" si="368">OR(I27, J27)</f>
        <v>0</v>
      </c>
      <c r="AI27" s="2" t="b">
        <f t="shared" ref="AI27" si="369">AND(OR(I27, J27), NOT(K27))</f>
        <v>0</v>
      </c>
      <c r="AJ27" s="2" t="b">
        <f t="shared" ref="AJ27" si="370">J27</f>
        <v>0</v>
      </c>
      <c r="AK27" s="2" t="b">
        <f t="shared" ref="AK27" si="371">J27</f>
        <v>0</v>
      </c>
      <c r="AN27" s="2" t="b">
        <f t="shared" ref="AN27:AN28" si="372">K27</f>
        <v>1</v>
      </c>
      <c r="AO27" s="2" t="b">
        <f t="shared" ref="AO27:AO28" si="373">K27</f>
        <v>1</v>
      </c>
      <c r="AR27" s="2" t="b">
        <f t="shared" si="331"/>
        <v>0</v>
      </c>
      <c r="AS27" s="2" t="b">
        <f t="shared" ref="AS27" si="374">J27</f>
        <v>0</v>
      </c>
      <c r="AT27" s="2" t="b">
        <f t="shared" ref="AT27" si="375">J27</f>
        <v>0</v>
      </c>
      <c r="AW27" s="2" t="b">
        <f t="shared" ref="AW27:AW28" si="376">K27</f>
        <v>1</v>
      </c>
      <c r="AX27" s="2" t="b">
        <f t="shared" ref="AX27:AX28" si="377">K27</f>
        <v>1</v>
      </c>
      <c r="AY27" s="2" t="b">
        <f t="shared" ref="AY27:AY28" si="378">K27</f>
        <v>1</v>
      </c>
    </row>
    <row r="28" spans="2:51" ht="18" customHeight="1" x14ac:dyDescent="0.3">
      <c r="B28" s="412"/>
      <c r="C28" s="332"/>
      <c r="D28" s="332"/>
      <c r="E28" s="2" t="s">
        <v>236</v>
      </c>
      <c r="F28" s="2" t="str">
        <f>IF('Full Season Entries'!N11 &lt;&gt; "", LEFT('Full Season Entries'!N11, 1), "")</f>
        <v/>
      </c>
      <c r="G28" s="2" t="b">
        <f t="shared" si="0"/>
        <v>0</v>
      </c>
      <c r="H28" s="2" t="b">
        <f t="shared" si="337"/>
        <v>0</v>
      </c>
      <c r="I28" s="2" t="b">
        <f t="shared" si="338"/>
        <v>0</v>
      </c>
      <c r="J28" s="2" t="b">
        <f t="shared" si="339"/>
        <v>0</v>
      </c>
      <c r="K28" s="27" t="b">
        <f t="shared" si="340"/>
        <v>1</v>
      </c>
      <c r="L28" s="412"/>
      <c r="O28" s="1" t="s">
        <v>388</v>
      </c>
      <c r="P28" s="1" t="b">
        <f t="shared" ref="P28" si="379">IF(SUM(Q25:Q28) &gt; 1, TRUE, FALSE)</f>
        <v>0</v>
      </c>
      <c r="Q28" s="1">
        <f t="shared" si="33"/>
        <v>0</v>
      </c>
      <c r="T28" s="2" t="b">
        <f t="shared" ref="T28" si="380">IF(D25 = 0, FALSE, IF(C25 = 1, CHOOSE(D25, W28, X28, Y28, Z28), IF(C25 = 2, CHOOSE(D25, AC28, AD28, AE28, AF28), IF(C25 = 2.1, K28, IF(C25 = 3, CHOOSE(D25, AI28, AJ28, AK28), IF(C25 = 4, CHOOSE(D25, AN28, AO28), IF(C25 = 5, CHOOSE(D25, AR28, AS28, AT28), IF(C25 = 7, CHOOSE(D25, AW28, AX28, AY28), FALSE))))))))</f>
        <v>0</v>
      </c>
      <c r="W28" s="2" t="b">
        <f t="shared" ref="W28" si="381">K28</f>
        <v>1</v>
      </c>
      <c r="X28" s="2" t="b">
        <f t="shared" ref="X28" si="382">K28</f>
        <v>1</v>
      </c>
      <c r="Y28" s="2" t="b">
        <f t="shared" ref="Y28" si="383">K28</f>
        <v>1</v>
      </c>
      <c r="Z28" s="2" t="b">
        <f t="shared" ref="Z28" si="384">K28</f>
        <v>1</v>
      </c>
      <c r="AC28" s="2" t="b">
        <v>1</v>
      </c>
      <c r="AD28" s="2" t="b">
        <f t="shared" ref="AD28" si="385">NOT(K28)</f>
        <v>0</v>
      </c>
      <c r="AE28" s="2" t="b">
        <v>1</v>
      </c>
      <c r="AF28" s="2" t="b">
        <f t="shared" ref="AF28" si="386">NOT(K28)</f>
        <v>0</v>
      </c>
      <c r="AI28" s="2" t="b">
        <f t="shared" ref="AI28" si="387">K28</f>
        <v>1</v>
      </c>
      <c r="AJ28" s="2" t="b">
        <f t="shared" ref="AJ28" si="388">K28</f>
        <v>1</v>
      </c>
      <c r="AK28" s="2" t="b">
        <f t="shared" ref="AK28" si="389">K28</f>
        <v>1</v>
      </c>
      <c r="AN28" s="2" t="b">
        <f t="shared" si="372"/>
        <v>1</v>
      </c>
      <c r="AO28" s="2" t="b">
        <f t="shared" si="373"/>
        <v>1</v>
      </c>
      <c r="AR28" s="2" t="b">
        <f t="shared" ref="AR28" si="390">K28</f>
        <v>1</v>
      </c>
      <c r="AS28" s="2" t="b">
        <f t="shared" ref="AS28" si="391">K28</f>
        <v>1</v>
      </c>
      <c r="AT28" s="2" t="b">
        <f t="shared" ref="AT28" si="392">K28</f>
        <v>1</v>
      </c>
      <c r="AW28" s="2" t="b">
        <f t="shared" si="376"/>
        <v>1</v>
      </c>
      <c r="AX28" s="2" t="b">
        <f t="shared" si="377"/>
        <v>1</v>
      </c>
      <c r="AY28" s="2" t="b">
        <f t="shared" si="378"/>
        <v>1</v>
      </c>
    </row>
    <row r="29" spans="2:51" ht="18" customHeight="1" x14ac:dyDescent="0.3">
      <c r="B29" s="415">
        <v>7</v>
      </c>
      <c r="C29" s="332">
        <f>IF('Full Season Entries'!AF12 = 2.2, 2, 'Full Season Entries'!AF12)</f>
        <v>0</v>
      </c>
      <c r="D29" s="332">
        <f>'Full Season Entries'!AG12</f>
        <v>0</v>
      </c>
      <c r="E29" s="2" t="s">
        <v>233</v>
      </c>
      <c r="F29" s="2" t="str">
        <f>IF('Full Season Entries'!K12 &lt;&gt; "", LEFT('Full Season Entries'!K12, 1), "")</f>
        <v/>
      </c>
      <c r="G29" s="2" t="b">
        <f>IF(F29 = "P", TRUE, FALSE)</f>
        <v>0</v>
      </c>
      <c r="H29" s="2" t="b">
        <f>IF(F29 = "G", TRUE, FALSE)</f>
        <v>0</v>
      </c>
      <c r="I29" s="2" t="b">
        <f>IF(F29 = "S", TRUE, FALSE)</f>
        <v>0</v>
      </c>
      <c r="J29" s="2" t="b">
        <f>IF(F29 = "B", TRUE, FALSE)</f>
        <v>0</v>
      </c>
      <c r="K29" s="27" t="b">
        <f>IF(AND(IF(G29 = FALSE, TRUE, FALSE), IF(H29 = FALSE, TRUE, FALSE), IF(I29 = FALSE, TRUE, FALSE), IF(J29 = FALSE, TRUE, FALSE)) = TRUE, TRUE, FALSE)</f>
        <v>1</v>
      </c>
      <c r="L29" s="415" t="str">
        <f>IF(P29, "", IF(AND(P30, P31), AND(T29, T30, T31, T32), AND(NOT(P32), T29, T30, T31, T32)))</f>
        <v/>
      </c>
      <c r="O29" s="1" t="s">
        <v>232</v>
      </c>
      <c r="P29" s="1" t="b">
        <f t="shared" ref="P29" si="393">AND(K29, K30, K31, K32)</f>
        <v>1</v>
      </c>
      <c r="Q29" s="1">
        <f t="shared" si="33"/>
        <v>0</v>
      </c>
      <c r="T29" s="2" t="b">
        <f t="shared" ref="T29" si="394">IF(D29 = 0, FALSE, IF(C29 = 1, CHOOSE(D29, W29, X29, Y29, Z29), IF(C29 = 2, CHOOSE(D29, AC29, AD29, AE29, AF29), IF(C29 = 2.1, CHOOSE(D29, AC29, AD29, AE29, AF29), IF(C29 = 3, CHOOSE(D29, AI29, AJ29, AK29), IF(C29 = 4, CHOOSE(D29, AN29, AO29), IF(C29 = 5, CHOOSE(D29, AR29, AS29, AT29), IF(C29 = 7, CHOOSE(D29, AW29, AX29, AY29), FALSE))))))))</f>
        <v>0</v>
      </c>
      <c r="W29" s="2" t="b">
        <f t="shared" ref="W29" si="395">AND(NOT(I29), NOT(K29), NOT(J29))</f>
        <v>0</v>
      </c>
      <c r="X29" s="2" t="b">
        <f t="shared" ref="X29" si="396">AND(NOT(I29), NOT(K29), NOT(J29))</f>
        <v>0</v>
      </c>
      <c r="Y29" s="2" t="b">
        <f t="shared" ref="Y29" si="397">AND(NOT(I29), NOT(K29), NOT(J29))</f>
        <v>0</v>
      </c>
      <c r="Z29" s="2" t="b">
        <f t="shared" ref="Z29" si="398">AND(NOT(I29), NOT(K29), NOT(J29))</f>
        <v>0</v>
      </c>
      <c r="AC29" s="2" t="b">
        <f t="shared" ref="AC29" si="399">AND(NOT(I29), NOT(K29), NOT(J29))</f>
        <v>0</v>
      </c>
      <c r="AD29" s="2" t="b">
        <f t="shared" ref="AD29" si="400">AND(NOT(G29), NOT(K29), NOT(J29))</f>
        <v>0</v>
      </c>
      <c r="AE29" s="2" t="b">
        <f t="shared" ref="AE29" si="401">AND(NOT(I29), NOT(K29), NOT(J29))</f>
        <v>0</v>
      </c>
      <c r="AF29" s="2" t="b">
        <f t="shared" ref="AF29" si="402">AND(NOT(I29), NOT(K29), NOT(J29))</f>
        <v>0</v>
      </c>
      <c r="AI29" s="2" t="b">
        <f t="shared" ref="AI29" si="403">AND(NOT(I29), NOT(K29), NOT(J29))</f>
        <v>0</v>
      </c>
      <c r="AJ29" s="2" t="b">
        <f t="shared" ref="AJ29" si="404">AND(NOT(J29), NOT(K29))</f>
        <v>0</v>
      </c>
      <c r="AK29" s="2" t="b">
        <f t="shared" ref="AK29" si="405">AND(NOT(I29), NOT(K29), NOT(J29))</f>
        <v>0</v>
      </c>
      <c r="AN29" s="2" t="b">
        <f t="shared" ref="AN29" si="406">AND(NOT(I29), NOT(K29), NOT(J29))</f>
        <v>0</v>
      </c>
      <c r="AO29" s="2" t="b">
        <f t="shared" ref="AO29" si="407">AND(NOT(G29), NOT(J29), NOT(K29))</f>
        <v>0</v>
      </c>
      <c r="AR29" s="2" t="b">
        <f t="shared" ref="AR29:AR31" si="408">AND(NOT(J29), NOT(K29))</f>
        <v>0</v>
      </c>
      <c r="AS29" s="2" t="b">
        <f t="shared" ref="AS29" si="409">AND(NOT(I29), NOT(K29), NOT(J29))</f>
        <v>0</v>
      </c>
      <c r="AT29" s="2" t="b">
        <f t="shared" ref="AT29" si="410">AND(NOT(G29), NOT(J29), NOT(K29))</f>
        <v>0</v>
      </c>
      <c r="AW29" s="2" t="b">
        <f t="shared" ref="AW29" si="411">AND(NOT(G29), NOT(J29), NOT(K29))</f>
        <v>0</v>
      </c>
      <c r="AX29" s="2" t="b">
        <f t="shared" ref="AX29" si="412">AND(NOT(J29), NOT(K29))</f>
        <v>0</v>
      </c>
      <c r="AY29" s="2" t="b">
        <f t="shared" ref="AY29" si="413">AND(NOT(G29), NOT(J29), NOT(K29))</f>
        <v>0</v>
      </c>
    </row>
    <row r="30" spans="2:51" ht="18" customHeight="1" x14ac:dyDescent="0.3">
      <c r="B30" s="416"/>
      <c r="C30" s="332"/>
      <c r="D30" s="332"/>
      <c r="E30" s="2" t="s">
        <v>234</v>
      </c>
      <c r="F30" s="2" t="str">
        <f>IF('Full Season Entries'!L12 &lt;&gt; "", LEFT('Full Season Entries'!L12, 1), "")</f>
        <v/>
      </c>
      <c r="G30" s="2" t="b">
        <f t="shared" si="0"/>
        <v>0</v>
      </c>
      <c r="H30" s="2" t="b">
        <f t="shared" ref="H30:H32" si="414">IF(F30 = "G", TRUE, FALSE)</f>
        <v>0</v>
      </c>
      <c r="I30" s="2" t="b">
        <f t="shared" ref="I30:I32" si="415">IF(F30 = "S", TRUE, FALSE)</f>
        <v>0</v>
      </c>
      <c r="J30" s="2" t="b">
        <f t="shared" ref="J30:J32" si="416">IF(F30 = "B", TRUE, FALSE)</f>
        <v>0</v>
      </c>
      <c r="K30" s="27" t="b">
        <f t="shared" ref="K30:K32" si="417">IF(AND(IF(G30 = FALSE, TRUE, FALSE), IF(H30 = FALSE, TRUE, FALSE), IF(I30 = FALSE, TRUE, FALSE), IF(J30 = FALSE, TRUE, FALSE)) = TRUE, TRUE, FALSE)</f>
        <v>1</v>
      </c>
      <c r="L30" s="416"/>
      <c r="O30" s="1" t="s">
        <v>386</v>
      </c>
      <c r="P30" s="1" t="b">
        <f t="shared" ref="P30" si="418">OR(IF(C29 = 2, TRUE, FALSE), IF(C29 = 2.2, TRUE, FALSE))</f>
        <v>0</v>
      </c>
      <c r="Q30" s="1">
        <f t="shared" si="33"/>
        <v>0</v>
      </c>
      <c r="T30" s="2" t="b">
        <f t="shared" ref="T30" si="419">IF(D29 = 0, FALSE, IF(C29 = 1, CHOOSE(D29, W30, X30, Y30, Z30), IF(C29 = 2, CHOOSE(D29, AC30, AD30, AE30, AF30), IF(C29 = 2.1, CHOOSE(D29, AC30, AD30, AE30, AF30), IF(C29 = 3, CHOOSE(D29, AI30, AJ30, AK30), IF(C29 = 4, CHOOSE(D29, AN30, AO30), IF(C29 = 5, CHOOSE(D29, AR30, AS30, AT30), IF(C29 = 7, CHOOSE(D29, AW30, AX30, AY30), FALSE))))))))</f>
        <v>0</v>
      </c>
      <c r="W30" s="2" t="b">
        <f t="shared" ref="W30:W31" si="420">AND(NOT(K30), NOT(J30))</f>
        <v>0</v>
      </c>
      <c r="X30" s="2" t="b">
        <f t="shared" ref="X30" si="421">NOT(K29)</f>
        <v>0</v>
      </c>
      <c r="Y30" s="2" t="b">
        <f t="shared" ref="Y30:Y31" si="422">AND(NOT(K30), NOT(J30))</f>
        <v>0</v>
      </c>
      <c r="Z30" s="2" t="b">
        <f t="shared" ref="Z30" si="423">OR(I30, J30)</f>
        <v>0</v>
      </c>
      <c r="AC30" s="2" t="b">
        <f t="shared" ref="AC30" si="424">AND(NOT(K30), NOT(J30))</f>
        <v>0</v>
      </c>
      <c r="AD30" s="2" t="b">
        <f t="shared" ref="AD30" si="425">J30</f>
        <v>0</v>
      </c>
      <c r="AE30" s="2" t="b">
        <f t="shared" ref="AE30" si="426">AND(NOT(K30), NOT(J30))</f>
        <v>0</v>
      </c>
      <c r="AF30" s="2" t="b">
        <f t="shared" ref="AF30" si="427">J30</f>
        <v>0</v>
      </c>
      <c r="AI30" s="2" t="b">
        <f t="shared" ref="AI30" si="428">AND(NOT(J30), NOT(K30))</f>
        <v>0</v>
      </c>
      <c r="AJ30" s="2" t="b">
        <f t="shared" ref="AJ30" si="429">OR(I30, J30)</f>
        <v>0</v>
      </c>
      <c r="AK30" s="2" t="b">
        <f t="shared" ref="AK30" si="430">OR(I30, J30)</f>
        <v>0</v>
      </c>
      <c r="AN30" s="2" t="b">
        <f t="shared" ref="AN30" si="431">OR(I30, J30)</f>
        <v>0</v>
      </c>
      <c r="AO30" s="2" t="b">
        <f t="shared" ref="AO30" si="432">J30</f>
        <v>0</v>
      </c>
      <c r="AR30" s="2" t="b">
        <f t="shared" si="408"/>
        <v>0</v>
      </c>
      <c r="AS30" s="2" t="b">
        <f t="shared" ref="AS30" si="433">OR(I30, J30)</f>
        <v>0</v>
      </c>
      <c r="AT30" s="2" t="b">
        <f t="shared" ref="AT30" si="434">OR(I30, J30)</f>
        <v>0</v>
      </c>
      <c r="AW30" s="2" t="b">
        <f t="shared" ref="AW30" si="435">J30</f>
        <v>0</v>
      </c>
      <c r="AX30" s="2" t="b">
        <f t="shared" ref="AX30" si="436">J30</f>
        <v>0</v>
      </c>
      <c r="AY30" s="2" t="b">
        <f t="shared" ref="AY30" si="437">J30</f>
        <v>0</v>
      </c>
    </row>
    <row r="31" spans="2:51" ht="18" customHeight="1" x14ac:dyDescent="0.3">
      <c r="B31" s="416"/>
      <c r="C31" s="332"/>
      <c r="D31" s="332"/>
      <c r="E31" s="2" t="s">
        <v>235</v>
      </c>
      <c r="F31" s="2" t="str">
        <f>IF('Full Season Entries'!M12 &lt;&gt; "", LEFT('Full Season Entries'!M12, 1), "")</f>
        <v/>
      </c>
      <c r="G31" s="2" t="b">
        <f t="shared" si="0"/>
        <v>0</v>
      </c>
      <c r="H31" s="2" t="b">
        <f t="shared" si="414"/>
        <v>0</v>
      </c>
      <c r="I31" s="2" t="b">
        <f t="shared" si="415"/>
        <v>0</v>
      </c>
      <c r="J31" s="2" t="b">
        <f t="shared" si="416"/>
        <v>0</v>
      </c>
      <c r="K31" s="27" t="b">
        <f t="shared" si="417"/>
        <v>1</v>
      </c>
      <c r="L31" s="416"/>
      <c r="O31" s="1" t="s">
        <v>387</v>
      </c>
      <c r="P31" s="1" t="b">
        <f t="shared" ref="P31" si="438">OR(IF(D29 = 2, TRUE, FALSE), IF(D29 = 4, TRUE, FALSE))</f>
        <v>0</v>
      </c>
      <c r="Q31" s="1">
        <f t="shared" si="33"/>
        <v>0</v>
      </c>
      <c r="T31" s="2" t="b">
        <f t="shared" ref="T31" si="439">IF(D29 = 0, FALSE, IF(C29 = 1, CHOOSE(D29, W31, X31, Y31, Z31), IF(C29 = 2, CHOOSE(D29, AC31, AD31, AE31, AF31), IF(C29 = 2.1, K31, IF(C29 = 3, CHOOSE(D29, AI31, AJ31, AK31), IF(C29 = 4, CHOOSE(D29, AN31, AO31), IF(C29 = 5, CHOOSE(D29, AR31, AS31, AT31), IF(C29 = 7, CHOOSE(D29, AW31, AX31, AY31), FALSE))))))))</f>
        <v>0</v>
      </c>
      <c r="W31" s="2" t="b">
        <f t="shared" si="420"/>
        <v>0</v>
      </c>
      <c r="X31" s="2" t="b">
        <f t="shared" ref="X31" si="440">OR(I31, J31)</f>
        <v>0</v>
      </c>
      <c r="Y31" s="2" t="b">
        <f t="shared" si="422"/>
        <v>0</v>
      </c>
      <c r="Z31" s="2" t="b">
        <f t="shared" ref="Z31" si="441">J31</f>
        <v>0</v>
      </c>
      <c r="AC31" s="2" t="b">
        <f t="shared" ref="AC31" si="442">NOT(K31)</f>
        <v>0</v>
      </c>
      <c r="AD31" s="2" t="b">
        <f t="shared" ref="AD31" si="443">OR(I31, J31)</f>
        <v>0</v>
      </c>
      <c r="AE31" s="2" t="b">
        <f t="shared" ref="AE31" si="444">NOT(K31)</f>
        <v>0</v>
      </c>
      <c r="AF31" s="2" t="b">
        <f t="shared" ref="AF31" si="445">OR(I31, J31)</f>
        <v>0</v>
      </c>
      <c r="AI31" s="2" t="b">
        <f t="shared" ref="AI31" si="446">AND(OR(I31, J31), NOT(K31))</f>
        <v>0</v>
      </c>
      <c r="AJ31" s="2" t="b">
        <f t="shared" ref="AJ31" si="447">J31</f>
        <v>0</v>
      </c>
      <c r="AK31" s="2" t="b">
        <f t="shared" ref="AK31" si="448">J31</f>
        <v>0</v>
      </c>
      <c r="AN31" s="2" t="b">
        <f t="shared" ref="AN31:AN32" si="449">K31</f>
        <v>1</v>
      </c>
      <c r="AO31" s="2" t="b">
        <f t="shared" ref="AO31:AO32" si="450">K31</f>
        <v>1</v>
      </c>
      <c r="AR31" s="2" t="b">
        <f t="shared" si="408"/>
        <v>0</v>
      </c>
      <c r="AS31" s="2" t="b">
        <f t="shared" ref="AS31" si="451">J31</f>
        <v>0</v>
      </c>
      <c r="AT31" s="2" t="b">
        <f t="shared" ref="AT31" si="452">J31</f>
        <v>0</v>
      </c>
      <c r="AW31" s="2" t="b">
        <f t="shared" ref="AW31:AW32" si="453">K31</f>
        <v>1</v>
      </c>
      <c r="AX31" s="2" t="b">
        <f t="shared" ref="AX31:AX32" si="454">K31</f>
        <v>1</v>
      </c>
      <c r="AY31" s="2" t="b">
        <f t="shared" ref="AY31:AY32" si="455">K31</f>
        <v>1</v>
      </c>
    </row>
    <row r="32" spans="2:51" ht="18" customHeight="1" x14ac:dyDescent="0.3">
      <c r="B32" s="412"/>
      <c r="C32" s="332"/>
      <c r="D32" s="332"/>
      <c r="E32" s="2" t="s">
        <v>236</v>
      </c>
      <c r="F32" s="2" t="str">
        <f>IF('Full Season Entries'!N12 &lt;&gt; "", LEFT('Full Season Entries'!N12, 1), "")</f>
        <v/>
      </c>
      <c r="G32" s="2" t="b">
        <f t="shared" si="0"/>
        <v>0</v>
      </c>
      <c r="H32" s="2" t="b">
        <f t="shared" si="414"/>
        <v>0</v>
      </c>
      <c r="I32" s="2" t="b">
        <f t="shared" si="415"/>
        <v>0</v>
      </c>
      <c r="J32" s="2" t="b">
        <f t="shared" si="416"/>
        <v>0</v>
      </c>
      <c r="K32" s="27" t="b">
        <f t="shared" si="417"/>
        <v>1</v>
      </c>
      <c r="L32" s="412"/>
      <c r="O32" s="1" t="s">
        <v>388</v>
      </c>
      <c r="P32" s="1" t="b">
        <f t="shared" ref="P32" si="456">IF(SUM(Q29:Q32) &gt; 1, TRUE, FALSE)</f>
        <v>0</v>
      </c>
      <c r="Q32" s="1">
        <f t="shared" si="33"/>
        <v>0</v>
      </c>
      <c r="T32" s="2" t="b">
        <f t="shared" ref="T32" si="457">IF(D29 = 0, FALSE, IF(C29 = 1, CHOOSE(D29, W32, X32, Y32, Z32), IF(C29 = 2, CHOOSE(D29, AC32, AD32, AE32, AF32), IF(C29 = 2.1, K32, IF(C29 = 3, CHOOSE(D29, AI32, AJ32, AK32), IF(C29 = 4, CHOOSE(D29, AN32, AO32), IF(C29 = 5, CHOOSE(D29, AR32, AS32, AT32), IF(C29 = 7, CHOOSE(D29, AW32, AX32, AY32), FALSE))))))))</f>
        <v>0</v>
      </c>
      <c r="W32" s="2" t="b">
        <f t="shared" ref="W32" si="458">K32</f>
        <v>1</v>
      </c>
      <c r="X32" s="2" t="b">
        <f t="shared" ref="X32" si="459">K32</f>
        <v>1</v>
      </c>
      <c r="Y32" s="2" t="b">
        <f t="shared" ref="Y32" si="460">K32</f>
        <v>1</v>
      </c>
      <c r="Z32" s="2" t="b">
        <f t="shared" ref="Z32" si="461">K32</f>
        <v>1</v>
      </c>
      <c r="AC32" s="2" t="b">
        <v>1</v>
      </c>
      <c r="AD32" s="2" t="b">
        <f t="shared" ref="AD32" si="462">NOT(K32)</f>
        <v>0</v>
      </c>
      <c r="AE32" s="2" t="b">
        <v>1</v>
      </c>
      <c r="AF32" s="2" t="b">
        <f t="shared" ref="AF32" si="463">NOT(K32)</f>
        <v>0</v>
      </c>
      <c r="AI32" s="2" t="b">
        <f t="shared" ref="AI32" si="464">K32</f>
        <v>1</v>
      </c>
      <c r="AJ32" s="2" t="b">
        <f t="shared" ref="AJ32" si="465">K32</f>
        <v>1</v>
      </c>
      <c r="AK32" s="2" t="b">
        <f t="shared" ref="AK32" si="466">K32</f>
        <v>1</v>
      </c>
      <c r="AN32" s="2" t="b">
        <f t="shared" si="449"/>
        <v>1</v>
      </c>
      <c r="AO32" s="2" t="b">
        <f t="shared" si="450"/>
        <v>1</v>
      </c>
      <c r="AR32" s="2" t="b">
        <f t="shared" ref="AR32" si="467">K32</f>
        <v>1</v>
      </c>
      <c r="AS32" s="2" t="b">
        <f t="shared" ref="AS32" si="468">K32</f>
        <v>1</v>
      </c>
      <c r="AT32" s="2" t="b">
        <f t="shared" ref="AT32" si="469">K32</f>
        <v>1</v>
      </c>
      <c r="AW32" s="2" t="b">
        <f t="shared" si="453"/>
        <v>1</v>
      </c>
      <c r="AX32" s="2" t="b">
        <f t="shared" si="454"/>
        <v>1</v>
      </c>
      <c r="AY32" s="2" t="b">
        <f t="shared" si="455"/>
        <v>1</v>
      </c>
    </row>
    <row r="33" spans="2:51" ht="18" customHeight="1" x14ac:dyDescent="0.3">
      <c r="B33" s="415">
        <v>8</v>
      </c>
      <c r="C33" s="332">
        <f>IF('Full Season Entries'!AF13 = 2.2, 2, 'Full Season Entries'!AF13)</f>
        <v>0</v>
      </c>
      <c r="D33" s="332">
        <f>'Full Season Entries'!AG13</f>
        <v>0</v>
      </c>
      <c r="E33" s="2" t="s">
        <v>233</v>
      </c>
      <c r="F33" s="2" t="str">
        <f>IF('Full Season Entries'!K13 &lt;&gt; "", LEFT('Full Season Entries'!K13, 1), "")</f>
        <v/>
      </c>
      <c r="G33" s="2" t="b">
        <f>IF(F33 = "P", TRUE, FALSE)</f>
        <v>0</v>
      </c>
      <c r="H33" s="2" t="b">
        <f>IF(F33 = "G", TRUE, FALSE)</f>
        <v>0</v>
      </c>
      <c r="I33" s="2" t="b">
        <f>IF(F33 = "S", TRUE, FALSE)</f>
        <v>0</v>
      </c>
      <c r="J33" s="2" t="b">
        <f>IF(F33 = "B", TRUE, FALSE)</f>
        <v>0</v>
      </c>
      <c r="K33" s="27" t="b">
        <f>IF(AND(IF(G33 = FALSE, TRUE, FALSE), IF(H33 = FALSE, TRUE, FALSE), IF(I33 = FALSE, TRUE, FALSE), IF(J33 = FALSE, TRUE, FALSE)) = TRUE, TRUE, FALSE)</f>
        <v>1</v>
      </c>
      <c r="L33" s="415" t="str">
        <f>IF(P33, "", IF(AND(P34, P35), AND(T33, T34, T35, T36), AND(NOT(P36), T33, T34, T35, T36)))</f>
        <v/>
      </c>
      <c r="O33" s="1" t="s">
        <v>232</v>
      </c>
      <c r="P33" s="1" t="b">
        <f t="shared" ref="P33" si="470">AND(K33, K34, K35, K36)</f>
        <v>1</v>
      </c>
      <c r="Q33" s="1">
        <f t="shared" si="33"/>
        <v>0</v>
      </c>
      <c r="T33" s="2" t="b">
        <f t="shared" ref="T33" si="471">IF(D33 = 0, FALSE, IF(C33 = 1, CHOOSE(D33, W33, X33, Y33, Z33), IF(C33 = 2, CHOOSE(D33, AC33, AD33, AE33, AF33), IF(C33 = 2.1, CHOOSE(D33, AC33, AD33, AE33, AF33), IF(C33 = 3, CHOOSE(D33, AI33, AJ33, AK33), IF(C33 = 4, CHOOSE(D33, AN33, AO33), IF(C33 = 5, CHOOSE(D33, AR33, AS33, AT33), IF(C33 = 7, CHOOSE(D33, AW33, AX33, AY33), FALSE))))))))</f>
        <v>0</v>
      </c>
      <c r="W33" s="2" t="b">
        <f t="shared" ref="W33" si="472">AND(NOT(I33), NOT(K33), NOT(J33))</f>
        <v>0</v>
      </c>
      <c r="X33" s="2" t="b">
        <f t="shared" ref="X33" si="473">AND(NOT(I33), NOT(K33), NOT(J33))</f>
        <v>0</v>
      </c>
      <c r="Y33" s="2" t="b">
        <f t="shared" ref="Y33" si="474">AND(NOT(I33), NOT(K33), NOT(J33))</f>
        <v>0</v>
      </c>
      <c r="Z33" s="2" t="b">
        <f t="shared" ref="Z33" si="475">AND(NOT(I33), NOT(K33), NOT(J33))</f>
        <v>0</v>
      </c>
      <c r="AC33" s="2" t="b">
        <f t="shared" ref="AC33" si="476">AND(NOT(I33), NOT(K33), NOT(J33))</f>
        <v>0</v>
      </c>
      <c r="AD33" s="2" t="b">
        <f t="shared" ref="AD33" si="477">AND(NOT(G33), NOT(K33), NOT(J33))</f>
        <v>0</v>
      </c>
      <c r="AE33" s="2" t="b">
        <f t="shared" ref="AE33" si="478">AND(NOT(I33), NOT(K33), NOT(J33))</f>
        <v>0</v>
      </c>
      <c r="AF33" s="2" t="b">
        <f t="shared" ref="AF33" si="479">AND(NOT(I33), NOT(K33), NOT(J33))</f>
        <v>0</v>
      </c>
      <c r="AI33" s="2" t="b">
        <f t="shared" ref="AI33" si="480">AND(NOT(I33), NOT(K33), NOT(J33))</f>
        <v>0</v>
      </c>
      <c r="AJ33" s="2" t="b">
        <f t="shared" ref="AJ33" si="481">AND(NOT(J33), NOT(K33))</f>
        <v>0</v>
      </c>
      <c r="AK33" s="2" t="b">
        <f t="shared" ref="AK33" si="482">AND(NOT(I33), NOT(K33), NOT(J33))</f>
        <v>0</v>
      </c>
      <c r="AN33" s="2" t="b">
        <f t="shared" ref="AN33" si="483">AND(NOT(I33), NOT(K33), NOT(J33))</f>
        <v>0</v>
      </c>
      <c r="AO33" s="2" t="b">
        <f t="shared" ref="AO33" si="484">AND(NOT(G33), NOT(J33), NOT(K33))</f>
        <v>0</v>
      </c>
      <c r="AR33" s="2" t="b">
        <f t="shared" ref="AR33:AR35" si="485">AND(NOT(J33), NOT(K33))</f>
        <v>0</v>
      </c>
      <c r="AS33" s="2" t="b">
        <f t="shared" ref="AS33" si="486">AND(NOT(I33), NOT(K33), NOT(J33))</f>
        <v>0</v>
      </c>
      <c r="AT33" s="2" t="b">
        <f t="shared" ref="AT33" si="487">AND(NOT(G33), NOT(J33), NOT(K33))</f>
        <v>0</v>
      </c>
      <c r="AW33" s="2" t="b">
        <f t="shared" ref="AW33" si="488">AND(NOT(G33), NOT(J33), NOT(K33))</f>
        <v>0</v>
      </c>
      <c r="AX33" s="2" t="b">
        <f t="shared" ref="AX33" si="489">AND(NOT(J33), NOT(K33))</f>
        <v>0</v>
      </c>
      <c r="AY33" s="2" t="b">
        <f t="shared" ref="AY33" si="490">AND(NOT(G33), NOT(J33), NOT(K33))</f>
        <v>0</v>
      </c>
    </row>
    <row r="34" spans="2:51" ht="18" customHeight="1" x14ac:dyDescent="0.3">
      <c r="B34" s="416"/>
      <c r="C34" s="332"/>
      <c r="D34" s="332"/>
      <c r="E34" s="2" t="s">
        <v>234</v>
      </c>
      <c r="F34" s="2" t="str">
        <f>IF('Full Season Entries'!L13 &lt;&gt; "", LEFT('Full Season Entries'!L13, 1), "")</f>
        <v/>
      </c>
      <c r="G34" s="2" t="b">
        <f t="shared" si="0"/>
        <v>0</v>
      </c>
      <c r="H34" s="2" t="b">
        <f t="shared" ref="H34:H36" si="491">IF(F34 = "G", TRUE, FALSE)</f>
        <v>0</v>
      </c>
      <c r="I34" s="2" t="b">
        <f t="shared" ref="I34:I36" si="492">IF(F34 = "S", TRUE, FALSE)</f>
        <v>0</v>
      </c>
      <c r="J34" s="2" t="b">
        <f t="shared" ref="J34:J36" si="493">IF(F34 = "B", TRUE, FALSE)</f>
        <v>0</v>
      </c>
      <c r="K34" s="27" t="b">
        <f t="shared" ref="K34:K36" si="494">IF(AND(IF(G34 = FALSE, TRUE, FALSE), IF(H34 = FALSE, TRUE, FALSE), IF(I34 = FALSE, TRUE, FALSE), IF(J34 = FALSE, TRUE, FALSE)) = TRUE, TRUE, FALSE)</f>
        <v>1</v>
      </c>
      <c r="L34" s="416"/>
      <c r="O34" s="1" t="s">
        <v>386</v>
      </c>
      <c r="P34" s="1" t="b">
        <f t="shared" ref="P34" si="495">OR(IF(C33 = 2, TRUE, FALSE), IF(C33 = 2.2, TRUE, FALSE))</f>
        <v>0</v>
      </c>
      <c r="Q34" s="1">
        <f t="shared" si="33"/>
        <v>0</v>
      </c>
      <c r="T34" s="2" t="b">
        <f t="shared" ref="T34" si="496">IF(D33 = 0, FALSE, IF(C33 = 1, CHOOSE(D33, W34, X34, Y34, Z34), IF(C33 = 2, CHOOSE(D33, AC34, AD34, AE34, AF34), IF(C33 = 2.1, CHOOSE(D33, AC34, AD34, AE34, AF34), IF(C33 = 3, CHOOSE(D33, AI34, AJ34, AK34), IF(C33 = 4, CHOOSE(D33, AN34, AO34), IF(C33 = 5, CHOOSE(D33, AR34, AS34, AT34), IF(C33 = 7, CHOOSE(D33, AW34, AX34, AY34), FALSE))))))))</f>
        <v>0</v>
      </c>
      <c r="W34" s="2" t="b">
        <f t="shared" ref="W34:W35" si="497">AND(NOT(K34), NOT(J34))</f>
        <v>0</v>
      </c>
      <c r="X34" s="2" t="b">
        <f t="shared" ref="X34" si="498">NOT(K33)</f>
        <v>0</v>
      </c>
      <c r="Y34" s="2" t="b">
        <f t="shared" ref="Y34:Y35" si="499">AND(NOT(K34), NOT(J34))</f>
        <v>0</v>
      </c>
      <c r="Z34" s="2" t="b">
        <f t="shared" ref="Z34" si="500">OR(I34, J34)</f>
        <v>0</v>
      </c>
      <c r="AC34" s="2" t="b">
        <f t="shared" ref="AC34" si="501">AND(NOT(K34), NOT(J34))</f>
        <v>0</v>
      </c>
      <c r="AD34" s="2" t="b">
        <f t="shared" ref="AD34" si="502">J34</f>
        <v>0</v>
      </c>
      <c r="AE34" s="2" t="b">
        <f t="shared" ref="AE34" si="503">AND(NOT(K34), NOT(J34))</f>
        <v>0</v>
      </c>
      <c r="AF34" s="2" t="b">
        <f t="shared" ref="AF34" si="504">J34</f>
        <v>0</v>
      </c>
      <c r="AI34" s="2" t="b">
        <f t="shared" ref="AI34" si="505">AND(NOT(J34), NOT(K34))</f>
        <v>0</v>
      </c>
      <c r="AJ34" s="2" t="b">
        <f t="shared" ref="AJ34" si="506">OR(I34, J34)</f>
        <v>0</v>
      </c>
      <c r="AK34" s="2" t="b">
        <f t="shared" ref="AK34" si="507">OR(I34, J34)</f>
        <v>0</v>
      </c>
      <c r="AN34" s="2" t="b">
        <f t="shared" ref="AN34" si="508">OR(I34, J34)</f>
        <v>0</v>
      </c>
      <c r="AO34" s="2" t="b">
        <f t="shared" ref="AO34" si="509">J34</f>
        <v>0</v>
      </c>
      <c r="AR34" s="2" t="b">
        <f t="shared" si="485"/>
        <v>0</v>
      </c>
      <c r="AS34" s="2" t="b">
        <f t="shared" ref="AS34" si="510">OR(I34, J34)</f>
        <v>0</v>
      </c>
      <c r="AT34" s="2" t="b">
        <f t="shared" ref="AT34" si="511">OR(I34, J34)</f>
        <v>0</v>
      </c>
      <c r="AW34" s="2" t="b">
        <f t="shared" ref="AW34" si="512">J34</f>
        <v>0</v>
      </c>
      <c r="AX34" s="2" t="b">
        <f t="shared" ref="AX34" si="513">J34</f>
        <v>0</v>
      </c>
      <c r="AY34" s="2" t="b">
        <f t="shared" ref="AY34" si="514">J34</f>
        <v>0</v>
      </c>
    </row>
    <row r="35" spans="2:51" ht="18" customHeight="1" x14ac:dyDescent="0.3">
      <c r="B35" s="416"/>
      <c r="C35" s="332"/>
      <c r="D35" s="332"/>
      <c r="E35" s="2" t="s">
        <v>235</v>
      </c>
      <c r="F35" s="2" t="str">
        <f>IF('Full Season Entries'!M13 &lt;&gt; "", LEFT('Full Season Entries'!M13, 1), "")</f>
        <v/>
      </c>
      <c r="G35" s="2" t="b">
        <f t="shared" si="0"/>
        <v>0</v>
      </c>
      <c r="H35" s="2" t="b">
        <f t="shared" si="491"/>
        <v>0</v>
      </c>
      <c r="I35" s="2" t="b">
        <f t="shared" si="492"/>
        <v>0</v>
      </c>
      <c r="J35" s="2" t="b">
        <f t="shared" si="493"/>
        <v>0</v>
      </c>
      <c r="K35" s="27" t="b">
        <f t="shared" si="494"/>
        <v>1</v>
      </c>
      <c r="L35" s="416"/>
      <c r="O35" s="1" t="s">
        <v>387</v>
      </c>
      <c r="P35" s="1" t="b">
        <f t="shared" ref="P35" si="515">OR(IF(D33 = 2, TRUE, FALSE), IF(D33 = 4, TRUE, FALSE))</f>
        <v>0</v>
      </c>
      <c r="Q35" s="1">
        <f t="shared" si="33"/>
        <v>0</v>
      </c>
      <c r="T35" s="2" t="b">
        <f t="shared" ref="T35" si="516">IF(D33 = 0, FALSE, IF(C33 = 1, CHOOSE(D33, W35, X35, Y35, Z35), IF(C33 = 2, CHOOSE(D33, AC35, AD35, AE35, AF35), IF(C33 = 2.1, K35, IF(C33 = 3, CHOOSE(D33, AI35, AJ35, AK35), IF(C33 = 4, CHOOSE(D33, AN35, AO35), IF(C33 = 5, CHOOSE(D33, AR35, AS35, AT35), IF(C33 = 7, CHOOSE(D33, AW35, AX35, AY35), FALSE))))))))</f>
        <v>0</v>
      </c>
      <c r="W35" s="2" t="b">
        <f t="shared" si="497"/>
        <v>0</v>
      </c>
      <c r="X35" s="2" t="b">
        <f t="shared" ref="X35" si="517">OR(I35, J35)</f>
        <v>0</v>
      </c>
      <c r="Y35" s="2" t="b">
        <f t="shared" si="499"/>
        <v>0</v>
      </c>
      <c r="Z35" s="2" t="b">
        <f t="shared" ref="Z35" si="518">J35</f>
        <v>0</v>
      </c>
      <c r="AC35" s="2" t="b">
        <f t="shared" ref="AC35" si="519">NOT(K35)</f>
        <v>0</v>
      </c>
      <c r="AD35" s="2" t="b">
        <f t="shared" ref="AD35" si="520">OR(I35, J35)</f>
        <v>0</v>
      </c>
      <c r="AE35" s="2" t="b">
        <f t="shared" ref="AE35" si="521">NOT(K35)</f>
        <v>0</v>
      </c>
      <c r="AF35" s="2" t="b">
        <f t="shared" ref="AF35" si="522">OR(I35, J35)</f>
        <v>0</v>
      </c>
      <c r="AI35" s="2" t="b">
        <f t="shared" ref="AI35" si="523">AND(OR(I35, J35), NOT(K35))</f>
        <v>0</v>
      </c>
      <c r="AJ35" s="2" t="b">
        <f t="shared" ref="AJ35" si="524">J35</f>
        <v>0</v>
      </c>
      <c r="AK35" s="2" t="b">
        <f t="shared" ref="AK35" si="525">J35</f>
        <v>0</v>
      </c>
      <c r="AN35" s="2" t="b">
        <f t="shared" ref="AN35:AN36" si="526">K35</f>
        <v>1</v>
      </c>
      <c r="AO35" s="2" t="b">
        <f t="shared" ref="AO35:AO36" si="527">K35</f>
        <v>1</v>
      </c>
      <c r="AR35" s="2" t="b">
        <f t="shared" si="485"/>
        <v>0</v>
      </c>
      <c r="AS35" s="2" t="b">
        <f t="shared" ref="AS35" si="528">J35</f>
        <v>0</v>
      </c>
      <c r="AT35" s="2" t="b">
        <f t="shared" ref="AT35" si="529">J35</f>
        <v>0</v>
      </c>
      <c r="AW35" s="2" t="b">
        <f t="shared" ref="AW35:AW36" si="530">K35</f>
        <v>1</v>
      </c>
      <c r="AX35" s="2" t="b">
        <f t="shared" ref="AX35:AX36" si="531">K35</f>
        <v>1</v>
      </c>
      <c r="AY35" s="2" t="b">
        <f t="shared" ref="AY35:AY36" si="532">K35</f>
        <v>1</v>
      </c>
    </row>
    <row r="36" spans="2:51" ht="18" customHeight="1" x14ac:dyDescent="0.3">
      <c r="B36" s="412"/>
      <c r="C36" s="332"/>
      <c r="D36" s="332"/>
      <c r="E36" s="2" t="s">
        <v>236</v>
      </c>
      <c r="F36" s="2" t="str">
        <f>IF('Full Season Entries'!N13 &lt;&gt; "", LEFT('Full Season Entries'!N13, 1), "")</f>
        <v/>
      </c>
      <c r="G36" s="2" t="b">
        <f t="shared" si="0"/>
        <v>0</v>
      </c>
      <c r="H36" s="2" t="b">
        <f t="shared" si="491"/>
        <v>0</v>
      </c>
      <c r="I36" s="2" t="b">
        <f t="shared" si="492"/>
        <v>0</v>
      </c>
      <c r="J36" s="2" t="b">
        <f t="shared" si="493"/>
        <v>0</v>
      </c>
      <c r="K36" s="27" t="b">
        <f t="shared" si="494"/>
        <v>1</v>
      </c>
      <c r="L36" s="412"/>
      <c r="O36" s="1" t="s">
        <v>388</v>
      </c>
      <c r="P36" s="1" t="b">
        <f t="shared" ref="P36" si="533">IF(SUM(Q33:Q36) &gt; 1, TRUE, FALSE)</f>
        <v>0</v>
      </c>
      <c r="Q36" s="1">
        <f t="shared" si="33"/>
        <v>0</v>
      </c>
      <c r="T36" s="2" t="b">
        <f t="shared" ref="T36" si="534">IF(D33 = 0, FALSE, IF(C33 = 1, CHOOSE(D33, W36, X36, Y36, Z36), IF(C33 = 2, CHOOSE(D33, AC36, AD36, AE36, AF36), IF(C33 = 2.1, K36, IF(C33 = 3, CHOOSE(D33, AI36, AJ36, AK36), IF(C33 = 4, CHOOSE(D33, AN36, AO36), IF(C33 = 5, CHOOSE(D33, AR36, AS36, AT36), IF(C33 = 7, CHOOSE(D33, AW36, AX36, AY36), FALSE))))))))</f>
        <v>0</v>
      </c>
      <c r="W36" s="2" t="b">
        <f t="shared" ref="W36" si="535">K36</f>
        <v>1</v>
      </c>
      <c r="X36" s="2" t="b">
        <f t="shared" ref="X36" si="536">K36</f>
        <v>1</v>
      </c>
      <c r="Y36" s="2" t="b">
        <f t="shared" ref="Y36" si="537">K36</f>
        <v>1</v>
      </c>
      <c r="Z36" s="2" t="b">
        <f t="shared" ref="Z36" si="538">K36</f>
        <v>1</v>
      </c>
      <c r="AC36" s="2" t="b">
        <v>1</v>
      </c>
      <c r="AD36" s="2" t="b">
        <f t="shared" ref="AD36" si="539">NOT(K36)</f>
        <v>0</v>
      </c>
      <c r="AE36" s="2" t="b">
        <v>1</v>
      </c>
      <c r="AF36" s="2" t="b">
        <f t="shared" ref="AF36" si="540">NOT(K36)</f>
        <v>0</v>
      </c>
      <c r="AI36" s="2" t="b">
        <f t="shared" ref="AI36" si="541">K36</f>
        <v>1</v>
      </c>
      <c r="AJ36" s="2" t="b">
        <f t="shared" ref="AJ36" si="542">K36</f>
        <v>1</v>
      </c>
      <c r="AK36" s="2" t="b">
        <f t="shared" ref="AK36" si="543">K36</f>
        <v>1</v>
      </c>
      <c r="AN36" s="2" t="b">
        <f t="shared" si="526"/>
        <v>1</v>
      </c>
      <c r="AO36" s="2" t="b">
        <f t="shared" si="527"/>
        <v>1</v>
      </c>
      <c r="AR36" s="2" t="b">
        <f t="shared" ref="AR36" si="544">K36</f>
        <v>1</v>
      </c>
      <c r="AS36" s="2" t="b">
        <f t="shared" ref="AS36" si="545">K36</f>
        <v>1</v>
      </c>
      <c r="AT36" s="2" t="b">
        <f t="shared" ref="AT36" si="546">K36</f>
        <v>1</v>
      </c>
      <c r="AW36" s="2" t="b">
        <f t="shared" si="530"/>
        <v>1</v>
      </c>
      <c r="AX36" s="2" t="b">
        <f t="shared" si="531"/>
        <v>1</v>
      </c>
      <c r="AY36" s="2" t="b">
        <f t="shared" si="532"/>
        <v>1</v>
      </c>
    </row>
    <row r="37" spans="2:51" ht="18" customHeight="1" x14ac:dyDescent="0.3">
      <c r="B37" s="415">
        <v>9</v>
      </c>
      <c r="C37" s="332">
        <f>IF('Full Season Entries'!AF14 = 2.2, 2, 'Full Season Entries'!AF14)</f>
        <v>0</v>
      </c>
      <c r="D37" s="332">
        <f>'Full Season Entries'!AG14</f>
        <v>0</v>
      </c>
      <c r="E37" s="2" t="s">
        <v>233</v>
      </c>
      <c r="F37" s="2" t="str">
        <f>IF('Full Season Entries'!K14 &lt;&gt; "", LEFT('Full Season Entries'!K14, 1), "")</f>
        <v/>
      </c>
      <c r="G37" s="2" t="b">
        <f>IF(F37 = "P", TRUE, FALSE)</f>
        <v>0</v>
      </c>
      <c r="H37" s="2" t="b">
        <f>IF(F37 = "G", TRUE, FALSE)</f>
        <v>0</v>
      </c>
      <c r="I37" s="2" t="b">
        <f>IF(F37 = "S", TRUE, FALSE)</f>
        <v>0</v>
      </c>
      <c r="J37" s="2" t="b">
        <f>IF(F37 = "B", TRUE, FALSE)</f>
        <v>0</v>
      </c>
      <c r="K37" s="27" t="b">
        <f>IF(AND(IF(G37 = FALSE, TRUE, FALSE), IF(H37 = FALSE, TRUE, FALSE), IF(I37 = FALSE, TRUE, FALSE), IF(J37 = FALSE, TRUE, FALSE)) = TRUE, TRUE, FALSE)</f>
        <v>1</v>
      </c>
      <c r="L37" s="415" t="str">
        <f>IF(P37, "", IF(AND(P38, P39), AND(T37, T38, T39, T40), AND(NOT(P40), T37, T38, T39, T40)))</f>
        <v/>
      </c>
      <c r="O37" s="1" t="s">
        <v>232</v>
      </c>
      <c r="P37" s="1" t="b">
        <f t="shared" ref="P37" si="547">AND(K37, K38, K39, K40)</f>
        <v>1</v>
      </c>
      <c r="Q37" s="1">
        <f t="shared" si="33"/>
        <v>0</v>
      </c>
      <c r="T37" s="2" t="b">
        <f t="shared" ref="T37" si="548">IF(D37 = 0, FALSE, IF(C37 = 1, CHOOSE(D37, W37, X37, Y37, Z37), IF(C37 = 2, CHOOSE(D37, AC37, AD37, AE37, AF37), IF(C37 = 2.1, CHOOSE(D37, AC37, AD37, AE37, AF37), IF(C37 = 3, CHOOSE(D37, AI37, AJ37, AK37), IF(C37 = 4, CHOOSE(D37, AN37, AO37), IF(C37 = 5, CHOOSE(D37, AR37, AS37, AT37), IF(C37 = 7, CHOOSE(D37, AW37, AX37, AY37), FALSE))))))))</f>
        <v>0</v>
      </c>
      <c r="W37" s="2" t="b">
        <f t="shared" ref="W37" si="549">AND(NOT(I37), NOT(K37), NOT(J37))</f>
        <v>0</v>
      </c>
      <c r="X37" s="2" t="b">
        <f t="shared" ref="X37" si="550">AND(NOT(I37), NOT(K37), NOT(J37))</f>
        <v>0</v>
      </c>
      <c r="Y37" s="2" t="b">
        <f t="shared" ref="Y37" si="551">AND(NOT(I37), NOT(K37), NOT(J37))</f>
        <v>0</v>
      </c>
      <c r="Z37" s="2" t="b">
        <f t="shared" ref="Z37" si="552">AND(NOT(I37), NOT(K37), NOT(J37))</f>
        <v>0</v>
      </c>
      <c r="AC37" s="2" t="b">
        <f t="shared" ref="AC37" si="553">AND(NOT(I37), NOT(K37), NOT(J37))</f>
        <v>0</v>
      </c>
      <c r="AD37" s="2" t="b">
        <f t="shared" ref="AD37" si="554">AND(NOT(G37), NOT(K37), NOT(J37))</f>
        <v>0</v>
      </c>
      <c r="AE37" s="2" t="b">
        <f t="shared" ref="AE37" si="555">AND(NOT(I37), NOT(K37), NOT(J37))</f>
        <v>0</v>
      </c>
      <c r="AF37" s="2" t="b">
        <f t="shared" ref="AF37" si="556">AND(NOT(I37), NOT(K37), NOT(J37))</f>
        <v>0</v>
      </c>
      <c r="AI37" s="2" t="b">
        <f t="shared" ref="AI37" si="557">AND(NOT(I37), NOT(K37), NOT(J37))</f>
        <v>0</v>
      </c>
      <c r="AJ37" s="2" t="b">
        <f t="shared" ref="AJ37" si="558">AND(NOT(J37), NOT(K37))</f>
        <v>0</v>
      </c>
      <c r="AK37" s="2" t="b">
        <f t="shared" ref="AK37" si="559">AND(NOT(I37), NOT(K37), NOT(J37))</f>
        <v>0</v>
      </c>
      <c r="AN37" s="2" t="b">
        <f t="shared" ref="AN37" si="560">AND(NOT(I37), NOT(K37), NOT(J37))</f>
        <v>0</v>
      </c>
      <c r="AO37" s="2" t="b">
        <f t="shared" ref="AO37" si="561">AND(NOT(G37), NOT(J37), NOT(K37))</f>
        <v>0</v>
      </c>
      <c r="AR37" s="2" t="b">
        <f t="shared" ref="AR37:AR39" si="562">AND(NOT(J37), NOT(K37))</f>
        <v>0</v>
      </c>
      <c r="AS37" s="2" t="b">
        <f t="shared" ref="AS37" si="563">AND(NOT(I37), NOT(K37), NOT(J37))</f>
        <v>0</v>
      </c>
      <c r="AT37" s="2" t="b">
        <f t="shared" ref="AT37" si="564">AND(NOT(G37), NOT(J37), NOT(K37))</f>
        <v>0</v>
      </c>
      <c r="AW37" s="2" t="b">
        <f t="shared" ref="AW37" si="565">AND(NOT(G37), NOT(J37), NOT(K37))</f>
        <v>0</v>
      </c>
      <c r="AX37" s="2" t="b">
        <f t="shared" ref="AX37" si="566">AND(NOT(J37), NOT(K37))</f>
        <v>0</v>
      </c>
      <c r="AY37" s="2" t="b">
        <f t="shared" ref="AY37" si="567">AND(NOT(G37), NOT(J37), NOT(K37))</f>
        <v>0</v>
      </c>
    </row>
    <row r="38" spans="2:51" ht="18" customHeight="1" x14ac:dyDescent="0.3">
      <c r="B38" s="416"/>
      <c r="C38" s="332"/>
      <c r="D38" s="332"/>
      <c r="E38" s="2" t="s">
        <v>234</v>
      </c>
      <c r="F38" s="2" t="str">
        <f>IF('Full Season Entries'!L14 &lt;&gt; "", LEFT('Full Season Entries'!L14, 1), "")</f>
        <v/>
      </c>
      <c r="G38" s="2" t="b">
        <f t="shared" si="0"/>
        <v>0</v>
      </c>
      <c r="H38" s="2" t="b">
        <f t="shared" ref="H38:H40" si="568">IF(F38 = "G", TRUE, FALSE)</f>
        <v>0</v>
      </c>
      <c r="I38" s="2" t="b">
        <f t="shared" ref="I38:I40" si="569">IF(F38 = "S", TRUE, FALSE)</f>
        <v>0</v>
      </c>
      <c r="J38" s="2" t="b">
        <f t="shared" ref="J38:J40" si="570">IF(F38 = "B", TRUE, FALSE)</f>
        <v>0</v>
      </c>
      <c r="K38" s="27" t="b">
        <f t="shared" ref="K38:K40" si="571">IF(AND(IF(G38 = FALSE, TRUE, FALSE), IF(H38 = FALSE, TRUE, FALSE), IF(I38 = FALSE, TRUE, FALSE), IF(J38 = FALSE, TRUE, FALSE)) = TRUE, TRUE, FALSE)</f>
        <v>1</v>
      </c>
      <c r="L38" s="416"/>
      <c r="O38" s="1" t="s">
        <v>386</v>
      </c>
      <c r="P38" s="1" t="b">
        <f t="shared" ref="P38" si="572">OR(IF(C37 = 2, TRUE, FALSE), IF(C37 = 2.2, TRUE, FALSE))</f>
        <v>0</v>
      </c>
      <c r="Q38" s="1">
        <f t="shared" si="33"/>
        <v>0</v>
      </c>
      <c r="T38" s="2" t="b">
        <f t="shared" ref="T38" si="573">IF(D37 = 0, FALSE, IF(C37 = 1, CHOOSE(D37, W38, X38, Y38, Z38), IF(C37 = 2, CHOOSE(D37, AC38, AD38, AE38, AF38), IF(C37 = 2.1, CHOOSE(D37, AC38, AD38, AE38, AF38), IF(C37 = 3, CHOOSE(D37, AI38, AJ38, AK38), IF(C37 = 4, CHOOSE(D37, AN38, AO38), IF(C37 = 5, CHOOSE(D37, AR38, AS38, AT38), IF(C37 = 7, CHOOSE(D37, AW38, AX38, AY38), FALSE))))))))</f>
        <v>0</v>
      </c>
      <c r="W38" s="2" t="b">
        <f t="shared" ref="W38:W39" si="574">AND(NOT(K38), NOT(J38))</f>
        <v>0</v>
      </c>
      <c r="X38" s="2" t="b">
        <f t="shared" ref="X38" si="575">NOT(K37)</f>
        <v>0</v>
      </c>
      <c r="Y38" s="2" t="b">
        <f t="shared" ref="Y38:Y39" si="576">AND(NOT(K38), NOT(J38))</f>
        <v>0</v>
      </c>
      <c r="Z38" s="2" t="b">
        <f t="shared" ref="Z38" si="577">OR(I38, J38)</f>
        <v>0</v>
      </c>
      <c r="AC38" s="2" t="b">
        <f t="shared" ref="AC38" si="578">AND(NOT(K38), NOT(J38))</f>
        <v>0</v>
      </c>
      <c r="AD38" s="2" t="b">
        <f t="shared" ref="AD38" si="579">J38</f>
        <v>0</v>
      </c>
      <c r="AE38" s="2" t="b">
        <f t="shared" ref="AE38" si="580">AND(NOT(K38), NOT(J38))</f>
        <v>0</v>
      </c>
      <c r="AF38" s="2" t="b">
        <f t="shared" ref="AF38" si="581">J38</f>
        <v>0</v>
      </c>
      <c r="AI38" s="2" t="b">
        <f t="shared" ref="AI38" si="582">AND(NOT(J38), NOT(K38))</f>
        <v>0</v>
      </c>
      <c r="AJ38" s="2" t="b">
        <f t="shared" ref="AJ38" si="583">OR(I38, J38)</f>
        <v>0</v>
      </c>
      <c r="AK38" s="2" t="b">
        <f t="shared" ref="AK38" si="584">OR(I38, J38)</f>
        <v>0</v>
      </c>
      <c r="AN38" s="2" t="b">
        <f t="shared" ref="AN38" si="585">OR(I38, J38)</f>
        <v>0</v>
      </c>
      <c r="AO38" s="2" t="b">
        <f t="shared" ref="AO38" si="586">J38</f>
        <v>0</v>
      </c>
      <c r="AR38" s="2" t="b">
        <f t="shared" si="562"/>
        <v>0</v>
      </c>
      <c r="AS38" s="2" t="b">
        <f t="shared" ref="AS38" si="587">OR(I38, J38)</f>
        <v>0</v>
      </c>
      <c r="AT38" s="2" t="b">
        <f t="shared" ref="AT38" si="588">OR(I38, J38)</f>
        <v>0</v>
      </c>
      <c r="AW38" s="2" t="b">
        <f t="shared" ref="AW38" si="589">J38</f>
        <v>0</v>
      </c>
      <c r="AX38" s="2" t="b">
        <f t="shared" ref="AX38" si="590">J38</f>
        <v>0</v>
      </c>
      <c r="AY38" s="2" t="b">
        <f t="shared" ref="AY38" si="591">J38</f>
        <v>0</v>
      </c>
    </row>
    <row r="39" spans="2:51" ht="18" customHeight="1" x14ac:dyDescent="0.3">
      <c r="B39" s="416"/>
      <c r="C39" s="332"/>
      <c r="D39" s="332"/>
      <c r="E39" s="2" t="s">
        <v>235</v>
      </c>
      <c r="F39" s="2" t="str">
        <f>IF('Full Season Entries'!M14 &lt;&gt; "", LEFT('Full Season Entries'!M14, 1), "")</f>
        <v/>
      </c>
      <c r="G39" s="2" t="b">
        <f t="shared" si="0"/>
        <v>0</v>
      </c>
      <c r="H39" s="2" t="b">
        <f t="shared" si="568"/>
        <v>0</v>
      </c>
      <c r="I39" s="2" t="b">
        <f t="shared" si="569"/>
        <v>0</v>
      </c>
      <c r="J39" s="2" t="b">
        <f t="shared" si="570"/>
        <v>0</v>
      </c>
      <c r="K39" s="27" t="b">
        <f t="shared" si="571"/>
        <v>1</v>
      </c>
      <c r="L39" s="416"/>
      <c r="O39" s="1" t="s">
        <v>387</v>
      </c>
      <c r="P39" s="1" t="b">
        <f t="shared" ref="P39" si="592">OR(IF(D37 = 2, TRUE, FALSE), IF(D37 = 4, TRUE, FALSE))</f>
        <v>0</v>
      </c>
      <c r="Q39" s="1">
        <f t="shared" si="33"/>
        <v>0</v>
      </c>
      <c r="T39" s="2" t="b">
        <f t="shared" ref="T39" si="593">IF(D37 = 0, FALSE, IF(C37 = 1, CHOOSE(D37, W39, X39, Y39, Z39), IF(C37 = 2, CHOOSE(D37, AC39, AD39, AE39, AF39), IF(C37 = 2.1, K39, IF(C37 = 3, CHOOSE(D37, AI39, AJ39, AK39), IF(C37 = 4, CHOOSE(D37, AN39, AO39), IF(C37 = 5, CHOOSE(D37, AR39, AS39, AT39), IF(C37 = 7, CHOOSE(D37, AW39, AX39, AY39), FALSE))))))))</f>
        <v>0</v>
      </c>
      <c r="W39" s="2" t="b">
        <f t="shared" si="574"/>
        <v>0</v>
      </c>
      <c r="X39" s="2" t="b">
        <f t="shared" ref="X39" si="594">OR(I39, J39)</f>
        <v>0</v>
      </c>
      <c r="Y39" s="2" t="b">
        <f t="shared" si="576"/>
        <v>0</v>
      </c>
      <c r="Z39" s="2" t="b">
        <f t="shared" ref="Z39" si="595">J39</f>
        <v>0</v>
      </c>
      <c r="AC39" s="2" t="b">
        <f t="shared" ref="AC39" si="596">NOT(K39)</f>
        <v>0</v>
      </c>
      <c r="AD39" s="2" t="b">
        <f t="shared" ref="AD39" si="597">OR(I39, J39)</f>
        <v>0</v>
      </c>
      <c r="AE39" s="2" t="b">
        <f t="shared" ref="AE39" si="598">NOT(K39)</f>
        <v>0</v>
      </c>
      <c r="AF39" s="2" t="b">
        <f t="shared" ref="AF39" si="599">OR(I39, J39)</f>
        <v>0</v>
      </c>
      <c r="AI39" s="2" t="b">
        <f t="shared" ref="AI39" si="600">AND(OR(I39, J39), NOT(K39))</f>
        <v>0</v>
      </c>
      <c r="AJ39" s="2" t="b">
        <f t="shared" ref="AJ39" si="601">J39</f>
        <v>0</v>
      </c>
      <c r="AK39" s="2" t="b">
        <f t="shared" ref="AK39" si="602">J39</f>
        <v>0</v>
      </c>
      <c r="AN39" s="2" t="b">
        <f t="shared" ref="AN39:AN40" si="603">K39</f>
        <v>1</v>
      </c>
      <c r="AO39" s="2" t="b">
        <f t="shared" ref="AO39:AO40" si="604">K39</f>
        <v>1</v>
      </c>
      <c r="AR39" s="2" t="b">
        <f t="shared" si="562"/>
        <v>0</v>
      </c>
      <c r="AS39" s="2" t="b">
        <f t="shared" ref="AS39" si="605">J39</f>
        <v>0</v>
      </c>
      <c r="AT39" s="2" t="b">
        <f t="shared" ref="AT39" si="606">J39</f>
        <v>0</v>
      </c>
      <c r="AW39" s="2" t="b">
        <f t="shared" ref="AW39:AW40" si="607">K39</f>
        <v>1</v>
      </c>
      <c r="AX39" s="2" t="b">
        <f t="shared" ref="AX39:AX40" si="608">K39</f>
        <v>1</v>
      </c>
      <c r="AY39" s="2" t="b">
        <f t="shared" ref="AY39:AY40" si="609">K39</f>
        <v>1</v>
      </c>
    </row>
    <row r="40" spans="2:51" ht="18" customHeight="1" x14ac:dyDescent="0.3">
      <c r="B40" s="412"/>
      <c r="C40" s="332"/>
      <c r="D40" s="332"/>
      <c r="E40" s="2" t="s">
        <v>236</v>
      </c>
      <c r="F40" s="2" t="str">
        <f>IF('Full Season Entries'!N14 &lt;&gt; "", LEFT('Full Season Entries'!N14, 1), "")</f>
        <v/>
      </c>
      <c r="G40" s="2" t="b">
        <f t="shared" si="0"/>
        <v>0</v>
      </c>
      <c r="H40" s="2" t="b">
        <f t="shared" si="568"/>
        <v>0</v>
      </c>
      <c r="I40" s="2" t="b">
        <f t="shared" si="569"/>
        <v>0</v>
      </c>
      <c r="J40" s="2" t="b">
        <f t="shared" si="570"/>
        <v>0</v>
      </c>
      <c r="K40" s="27" t="b">
        <f t="shared" si="571"/>
        <v>1</v>
      </c>
      <c r="L40" s="412"/>
      <c r="O40" s="1" t="s">
        <v>388</v>
      </c>
      <c r="P40" s="1" t="b">
        <f t="shared" ref="P40" si="610">IF(SUM(Q37:Q40) &gt; 1, TRUE, FALSE)</f>
        <v>0</v>
      </c>
      <c r="Q40" s="1">
        <f t="shared" si="33"/>
        <v>0</v>
      </c>
      <c r="T40" s="2" t="b">
        <f t="shared" ref="T40" si="611">IF(D37 = 0, FALSE, IF(C37 = 1, CHOOSE(D37, W40, X40, Y40, Z40), IF(C37 = 2, CHOOSE(D37, AC40, AD40, AE40, AF40), IF(C37 = 2.1, K40, IF(C37 = 3, CHOOSE(D37, AI40, AJ40, AK40), IF(C37 = 4, CHOOSE(D37, AN40, AO40), IF(C37 = 5, CHOOSE(D37, AR40, AS40, AT40), IF(C37 = 7, CHOOSE(D37, AW40, AX40, AY40), FALSE))))))))</f>
        <v>0</v>
      </c>
      <c r="W40" s="2" t="b">
        <f t="shared" ref="W40" si="612">K40</f>
        <v>1</v>
      </c>
      <c r="X40" s="2" t="b">
        <f t="shared" ref="X40" si="613">K40</f>
        <v>1</v>
      </c>
      <c r="Y40" s="2" t="b">
        <f t="shared" ref="Y40" si="614">K40</f>
        <v>1</v>
      </c>
      <c r="Z40" s="2" t="b">
        <f t="shared" ref="Z40" si="615">K40</f>
        <v>1</v>
      </c>
      <c r="AC40" s="2" t="b">
        <v>1</v>
      </c>
      <c r="AD40" s="2" t="b">
        <f t="shared" ref="AD40" si="616">NOT(K40)</f>
        <v>0</v>
      </c>
      <c r="AE40" s="2" t="b">
        <v>1</v>
      </c>
      <c r="AF40" s="2" t="b">
        <f t="shared" ref="AF40" si="617">NOT(K40)</f>
        <v>0</v>
      </c>
      <c r="AI40" s="2" t="b">
        <f t="shared" ref="AI40" si="618">K40</f>
        <v>1</v>
      </c>
      <c r="AJ40" s="2" t="b">
        <f t="shared" ref="AJ40" si="619">K40</f>
        <v>1</v>
      </c>
      <c r="AK40" s="2" t="b">
        <f t="shared" ref="AK40" si="620">K40</f>
        <v>1</v>
      </c>
      <c r="AN40" s="2" t="b">
        <f t="shared" si="603"/>
        <v>1</v>
      </c>
      <c r="AO40" s="2" t="b">
        <f t="shared" si="604"/>
        <v>1</v>
      </c>
      <c r="AR40" s="2" t="b">
        <f t="shared" ref="AR40" si="621">K40</f>
        <v>1</v>
      </c>
      <c r="AS40" s="2" t="b">
        <f t="shared" ref="AS40" si="622">K40</f>
        <v>1</v>
      </c>
      <c r="AT40" s="2" t="b">
        <f t="shared" ref="AT40" si="623">K40</f>
        <v>1</v>
      </c>
      <c r="AW40" s="2" t="b">
        <f t="shared" si="607"/>
        <v>1</v>
      </c>
      <c r="AX40" s="2" t="b">
        <f t="shared" si="608"/>
        <v>1</v>
      </c>
      <c r="AY40" s="2" t="b">
        <f t="shared" si="609"/>
        <v>1</v>
      </c>
    </row>
    <row r="41" spans="2:51" ht="18" customHeight="1" x14ac:dyDescent="0.3">
      <c r="B41" s="415">
        <v>10</v>
      </c>
      <c r="C41" s="332">
        <f>IF('Full Season Entries'!AF15 = 2.2, 2, 'Full Season Entries'!AF15)</f>
        <v>0</v>
      </c>
      <c r="D41" s="332">
        <f>'Full Season Entries'!AG15</f>
        <v>0</v>
      </c>
      <c r="E41" s="2" t="s">
        <v>233</v>
      </c>
      <c r="F41" s="2" t="str">
        <f>IF('Full Season Entries'!K15 &lt;&gt; "", LEFT('Full Season Entries'!K15, 1), "")</f>
        <v/>
      </c>
      <c r="G41" s="2" t="b">
        <f>IF(F41 = "P", TRUE, FALSE)</f>
        <v>0</v>
      </c>
      <c r="H41" s="2" t="b">
        <f>IF(F41 = "G", TRUE, FALSE)</f>
        <v>0</v>
      </c>
      <c r="I41" s="2" t="b">
        <f>IF(F41 = "S", TRUE, FALSE)</f>
        <v>0</v>
      </c>
      <c r="J41" s="2" t="b">
        <f>IF(F41 = "B", TRUE, FALSE)</f>
        <v>0</v>
      </c>
      <c r="K41" s="27" t="b">
        <f>IF(AND(IF(G41 = FALSE, TRUE, FALSE), IF(H41 = FALSE, TRUE, FALSE), IF(I41 = FALSE, TRUE, FALSE), IF(J41 = FALSE, TRUE, FALSE)) = TRUE, TRUE, FALSE)</f>
        <v>1</v>
      </c>
      <c r="L41" s="415" t="str">
        <f>IF(P41, "", IF(AND(P42, P43), AND(T41, T42, T43, T44), AND(NOT(P44), T41, T42, T43, T44)))</f>
        <v/>
      </c>
      <c r="O41" s="1" t="s">
        <v>232</v>
      </c>
      <c r="P41" s="1" t="b">
        <f t="shared" ref="P41" si="624">AND(K41, K42, K43, K44)</f>
        <v>1</v>
      </c>
      <c r="Q41" s="1">
        <f t="shared" si="33"/>
        <v>0</v>
      </c>
      <c r="T41" s="2" t="b">
        <f t="shared" ref="T41" si="625">IF(D41 = 0, FALSE, IF(C41 = 1, CHOOSE(D41, W41, X41, Y41, Z41), IF(C41 = 2, CHOOSE(D41, AC41, AD41, AE41, AF41), IF(C41 = 2.1, CHOOSE(D41, AC41, AD41, AE41, AF41), IF(C41 = 3, CHOOSE(D41, AI41, AJ41, AK41), IF(C41 = 4, CHOOSE(D41, AN41, AO41), IF(C41 = 5, CHOOSE(D41, AR41, AS41, AT41), IF(C41 = 7, CHOOSE(D41, AW41, AX41, AY41), FALSE))))))))</f>
        <v>0</v>
      </c>
      <c r="W41" s="2" t="b">
        <f t="shared" ref="W41" si="626">AND(NOT(I41), NOT(K41), NOT(J41))</f>
        <v>0</v>
      </c>
      <c r="X41" s="2" t="b">
        <f t="shared" ref="X41" si="627">AND(NOT(I41), NOT(K41), NOT(J41))</f>
        <v>0</v>
      </c>
      <c r="Y41" s="2" t="b">
        <f t="shared" ref="Y41" si="628">AND(NOT(I41), NOT(K41), NOT(J41))</f>
        <v>0</v>
      </c>
      <c r="Z41" s="2" t="b">
        <f t="shared" ref="Z41" si="629">AND(NOT(I41), NOT(K41), NOT(J41))</f>
        <v>0</v>
      </c>
      <c r="AC41" s="2" t="b">
        <f t="shared" ref="AC41" si="630">AND(NOT(I41), NOT(K41), NOT(J41))</f>
        <v>0</v>
      </c>
      <c r="AD41" s="2" t="b">
        <f t="shared" ref="AD41" si="631">AND(NOT(G41), NOT(K41), NOT(J41))</f>
        <v>0</v>
      </c>
      <c r="AE41" s="2" t="b">
        <f t="shared" ref="AE41" si="632">AND(NOT(I41), NOT(K41), NOT(J41))</f>
        <v>0</v>
      </c>
      <c r="AF41" s="2" t="b">
        <f t="shared" ref="AF41" si="633">AND(NOT(I41), NOT(K41), NOT(J41))</f>
        <v>0</v>
      </c>
      <c r="AI41" s="2" t="b">
        <f t="shared" ref="AI41" si="634">AND(NOT(I41), NOT(K41), NOT(J41))</f>
        <v>0</v>
      </c>
      <c r="AJ41" s="2" t="b">
        <f t="shared" ref="AJ41" si="635">AND(NOT(J41), NOT(K41))</f>
        <v>0</v>
      </c>
      <c r="AK41" s="2" t="b">
        <f t="shared" ref="AK41" si="636">AND(NOT(I41), NOT(K41), NOT(J41))</f>
        <v>0</v>
      </c>
      <c r="AN41" s="2" t="b">
        <f t="shared" ref="AN41" si="637">AND(NOT(I41), NOT(K41), NOT(J41))</f>
        <v>0</v>
      </c>
      <c r="AO41" s="2" t="b">
        <f t="shared" ref="AO41" si="638">AND(NOT(G41), NOT(J41), NOT(K41))</f>
        <v>0</v>
      </c>
      <c r="AR41" s="2" t="b">
        <f t="shared" ref="AR41:AR43" si="639">AND(NOT(J41), NOT(K41))</f>
        <v>0</v>
      </c>
      <c r="AS41" s="2" t="b">
        <f t="shared" ref="AS41" si="640">AND(NOT(I41), NOT(K41), NOT(J41))</f>
        <v>0</v>
      </c>
      <c r="AT41" s="2" t="b">
        <f t="shared" ref="AT41" si="641">AND(NOT(G41), NOT(J41), NOT(K41))</f>
        <v>0</v>
      </c>
      <c r="AW41" s="2" t="b">
        <f t="shared" ref="AW41" si="642">AND(NOT(G41), NOT(J41), NOT(K41))</f>
        <v>0</v>
      </c>
      <c r="AX41" s="2" t="b">
        <f t="shared" ref="AX41" si="643">AND(NOT(J41), NOT(K41))</f>
        <v>0</v>
      </c>
      <c r="AY41" s="2" t="b">
        <f t="shared" ref="AY41" si="644">AND(NOT(G41), NOT(J41), NOT(K41))</f>
        <v>0</v>
      </c>
    </row>
    <row r="42" spans="2:51" ht="18" customHeight="1" x14ac:dyDescent="0.3">
      <c r="B42" s="416"/>
      <c r="C42" s="332"/>
      <c r="D42" s="332"/>
      <c r="E42" s="2" t="s">
        <v>234</v>
      </c>
      <c r="F42" s="2" t="str">
        <f>IF('Full Season Entries'!L15 &lt;&gt; "", LEFT('Full Season Entries'!L15, 1), "")</f>
        <v/>
      </c>
      <c r="G42" s="2" t="b">
        <f t="shared" si="0"/>
        <v>0</v>
      </c>
      <c r="H42" s="2" t="b">
        <f t="shared" ref="H42:H44" si="645">IF(F42 = "G", TRUE, FALSE)</f>
        <v>0</v>
      </c>
      <c r="I42" s="2" t="b">
        <f t="shared" ref="I42:I44" si="646">IF(F42 = "S", TRUE, FALSE)</f>
        <v>0</v>
      </c>
      <c r="J42" s="2" t="b">
        <f t="shared" ref="J42:J44" si="647">IF(F42 = "B", TRUE, FALSE)</f>
        <v>0</v>
      </c>
      <c r="K42" s="27" t="b">
        <f t="shared" ref="K42:K44" si="648">IF(AND(IF(G42 = FALSE, TRUE, FALSE), IF(H42 = FALSE, TRUE, FALSE), IF(I42 = FALSE, TRUE, FALSE), IF(J42 = FALSE, TRUE, FALSE)) = TRUE, TRUE, FALSE)</f>
        <v>1</v>
      </c>
      <c r="L42" s="416"/>
      <c r="O42" s="1" t="s">
        <v>386</v>
      </c>
      <c r="P42" s="1" t="b">
        <f t="shared" ref="P42" si="649">OR(IF(C41 = 2, TRUE, FALSE), IF(C41 = 2.2, TRUE, FALSE))</f>
        <v>0</v>
      </c>
      <c r="Q42" s="1">
        <f t="shared" si="33"/>
        <v>0</v>
      </c>
      <c r="T42" s="2" t="b">
        <f t="shared" ref="T42" si="650">IF(D41 = 0, FALSE, IF(C41 = 1, CHOOSE(D41, W42, X42, Y42, Z42), IF(C41 = 2, CHOOSE(D41, AC42, AD42, AE42, AF42), IF(C41 = 2.1, CHOOSE(D41, AC42, AD42, AE42, AF42), IF(C41 = 3, CHOOSE(D41, AI42, AJ42, AK42), IF(C41 = 4, CHOOSE(D41, AN42, AO42), IF(C41 = 5, CHOOSE(D41, AR42, AS42, AT42), IF(C41 = 7, CHOOSE(D41, AW42, AX42, AY42), FALSE))))))))</f>
        <v>0</v>
      </c>
      <c r="W42" s="2" t="b">
        <f t="shared" ref="W42:W43" si="651">AND(NOT(K42), NOT(J42))</f>
        <v>0</v>
      </c>
      <c r="X42" s="2" t="b">
        <f t="shared" ref="X42" si="652">NOT(K41)</f>
        <v>0</v>
      </c>
      <c r="Y42" s="2" t="b">
        <f t="shared" ref="Y42:Y43" si="653">AND(NOT(K42), NOT(J42))</f>
        <v>0</v>
      </c>
      <c r="Z42" s="2" t="b">
        <f t="shared" ref="Z42" si="654">OR(I42, J42)</f>
        <v>0</v>
      </c>
      <c r="AC42" s="2" t="b">
        <f t="shared" ref="AC42" si="655">AND(NOT(K42), NOT(J42))</f>
        <v>0</v>
      </c>
      <c r="AD42" s="2" t="b">
        <f t="shared" ref="AD42" si="656">J42</f>
        <v>0</v>
      </c>
      <c r="AE42" s="2" t="b">
        <f t="shared" ref="AE42" si="657">AND(NOT(K42), NOT(J42))</f>
        <v>0</v>
      </c>
      <c r="AF42" s="2" t="b">
        <f t="shared" ref="AF42" si="658">J42</f>
        <v>0</v>
      </c>
      <c r="AI42" s="2" t="b">
        <f t="shared" ref="AI42" si="659">AND(NOT(J42), NOT(K42))</f>
        <v>0</v>
      </c>
      <c r="AJ42" s="2" t="b">
        <f t="shared" ref="AJ42" si="660">OR(I42, J42)</f>
        <v>0</v>
      </c>
      <c r="AK42" s="2" t="b">
        <f t="shared" ref="AK42" si="661">OR(I42, J42)</f>
        <v>0</v>
      </c>
      <c r="AN42" s="2" t="b">
        <f t="shared" ref="AN42" si="662">OR(I42, J42)</f>
        <v>0</v>
      </c>
      <c r="AO42" s="2" t="b">
        <f t="shared" ref="AO42" si="663">J42</f>
        <v>0</v>
      </c>
      <c r="AR42" s="2" t="b">
        <f t="shared" si="639"/>
        <v>0</v>
      </c>
      <c r="AS42" s="2" t="b">
        <f t="shared" ref="AS42" si="664">OR(I42, J42)</f>
        <v>0</v>
      </c>
      <c r="AT42" s="2" t="b">
        <f t="shared" ref="AT42" si="665">OR(I42, J42)</f>
        <v>0</v>
      </c>
      <c r="AW42" s="2" t="b">
        <f t="shared" ref="AW42" si="666">J42</f>
        <v>0</v>
      </c>
      <c r="AX42" s="2" t="b">
        <f t="shared" ref="AX42" si="667">J42</f>
        <v>0</v>
      </c>
      <c r="AY42" s="2" t="b">
        <f t="shared" ref="AY42" si="668">J42</f>
        <v>0</v>
      </c>
    </row>
    <row r="43" spans="2:51" ht="18" customHeight="1" x14ac:dyDescent="0.3">
      <c r="B43" s="416"/>
      <c r="C43" s="332"/>
      <c r="D43" s="332"/>
      <c r="E43" s="2" t="s">
        <v>235</v>
      </c>
      <c r="F43" s="2" t="str">
        <f>IF('Full Season Entries'!M15 &lt;&gt; "", LEFT('Full Season Entries'!M15, 1), "")</f>
        <v/>
      </c>
      <c r="G43" s="2" t="b">
        <f t="shared" si="0"/>
        <v>0</v>
      </c>
      <c r="H43" s="2" t="b">
        <f t="shared" si="645"/>
        <v>0</v>
      </c>
      <c r="I43" s="2" t="b">
        <f t="shared" si="646"/>
        <v>0</v>
      </c>
      <c r="J43" s="2" t="b">
        <f t="shared" si="647"/>
        <v>0</v>
      </c>
      <c r="K43" s="27" t="b">
        <f t="shared" si="648"/>
        <v>1</v>
      </c>
      <c r="L43" s="416"/>
      <c r="O43" s="1" t="s">
        <v>387</v>
      </c>
      <c r="P43" s="1" t="b">
        <f t="shared" ref="P43" si="669">OR(IF(D41 = 2, TRUE, FALSE), IF(D41 = 4, TRUE, FALSE))</f>
        <v>0</v>
      </c>
      <c r="Q43" s="1">
        <f t="shared" si="33"/>
        <v>0</v>
      </c>
      <c r="T43" s="2" t="b">
        <f t="shared" ref="T43" si="670">IF(D41 = 0, FALSE, IF(C41 = 1, CHOOSE(D41, W43, X43, Y43, Z43), IF(C41 = 2, CHOOSE(D41, AC43, AD43, AE43, AF43), IF(C41 = 2.1, K43, IF(C41 = 3, CHOOSE(D41, AI43, AJ43, AK43), IF(C41 = 4, CHOOSE(D41, AN43, AO43), IF(C41 = 5, CHOOSE(D41, AR43, AS43, AT43), IF(C41 = 7, CHOOSE(D41, AW43, AX43, AY43), FALSE))))))))</f>
        <v>0</v>
      </c>
      <c r="W43" s="2" t="b">
        <f t="shared" si="651"/>
        <v>0</v>
      </c>
      <c r="X43" s="2" t="b">
        <f t="shared" ref="X43" si="671">OR(I43, J43)</f>
        <v>0</v>
      </c>
      <c r="Y43" s="2" t="b">
        <f t="shared" si="653"/>
        <v>0</v>
      </c>
      <c r="Z43" s="2" t="b">
        <f t="shared" ref="Z43" si="672">J43</f>
        <v>0</v>
      </c>
      <c r="AC43" s="2" t="b">
        <f t="shared" ref="AC43" si="673">NOT(K43)</f>
        <v>0</v>
      </c>
      <c r="AD43" s="2" t="b">
        <f t="shared" ref="AD43" si="674">OR(I43, J43)</f>
        <v>0</v>
      </c>
      <c r="AE43" s="2" t="b">
        <f t="shared" ref="AE43" si="675">NOT(K43)</f>
        <v>0</v>
      </c>
      <c r="AF43" s="2" t="b">
        <f t="shared" ref="AF43" si="676">OR(I43, J43)</f>
        <v>0</v>
      </c>
      <c r="AI43" s="2" t="b">
        <f t="shared" ref="AI43" si="677">AND(OR(I43, J43), NOT(K43))</f>
        <v>0</v>
      </c>
      <c r="AJ43" s="2" t="b">
        <f t="shared" ref="AJ43" si="678">J43</f>
        <v>0</v>
      </c>
      <c r="AK43" s="2" t="b">
        <f t="shared" ref="AK43" si="679">J43</f>
        <v>0</v>
      </c>
      <c r="AN43" s="2" t="b">
        <f t="shared" ref="AN43:AN44" si="680">K43</f>
        <v>1</v>
      </c>
      <c r="AO43" s="2" t="b">
        <f t="shared" ref="AO43:AO44" si="681">K43</f>
        <v>1</v>
      </c>
      <c r="AR43" s="2" t="b">
        <f t="shared" si="639"/>
        <v>0</v>
      </c>
      <c r="AS43" s="2" t="b">
        <f t="shared" ref="AS43" si="682">J43</f>
        <v>0</v>
      </c>
      <c r="AT43" s="2" t="b">
        <f t="shared" ref="AT43" si="683">J43</f>
        <v>0</v>
      </c>
      <c r="AW43" s="2" t="b">
        <f t="shared" ref="AW43:AW44" si="684">K43</f>
        <v>1</v>
      </c>
      <c r="AX43" s="2" t="b">
        <f t="shared" ref="AX43:AX44" si="685">K43</f>
        <v>1</v>
      </c>
      <c r="AY43" s="2" t="b">
        <f t="shared" ref="AY43:AY44" si="686">K43</f>
        <v>1</v>
      </c>
    </row>
    <row r="44" spans="2:51" ht="18" customHeight="1" x14ac:dyDescent="0.3">
      <c r="B44" s="412"/>
      <c r="C44" s="332"/>
      <c r="D44" s="332"/>
      <c r="E44" s="2" t="s">
        <v>236</v>
      </c>
      <c r="F44" s="2" t="str">
        <f>IF('Full Season Entries'!N15 &lt;&gt; "", LEFT('Full Season Entries'!N15, 1), "")</f>
        <v/>
      </c>
      <c r="G44" s="2" t="b">
        <f t="shared" si="0"/>
        <v>0</v>
      </c>
      <c r="H44" s="2" t="b">
        <f t="shared" si="645"/>
        <v>0</v>
      </c>
      <c r="I44" s="2" t="b">
        <f t="shared" si="646"/>
        <v>0</v>
      </c>
      <c r="J44" s="2" t="b">
        <f t="shared" si="647"/>
        <v>0</v>
      </c>
      <c r="K44" s="27" t="b">
        <f t="shared" si="648"/>
        <v>1</v>
      </c>
      <c r="L44" s="412"/>
      <c r="O44" s="1" t="s">
        <v>388</v>
      </c>
      <c r="P44" s="1" t="b">
        <f t="shared" ref="P44" si="687">IF(SUM(Q41:Q44) &gt; 1, TRUE, FALSE)</f>
        <v>0</v>
      </c>
      <c r="Q44" s="1">
        <f t="shared" si="33"/>
        <v>0</v>
      </c>
      <c r="T44" s="2" t="b">
        <f t="shared" ref="T44" si="688">IF(D41 = 0, FALSE, IF(C41 = 1, CHOOSE(D41, W44, X44, Y44, Z44), IF(C41 = 2, CHOOSE(D41, AC44, AD44, AE44, AF44), IF(C41 = 2.1, K44, IF(C41 = 3, CHOOSE(D41, AI44, AJ44, AK44), IF(C41 = 4, CHOOSE(D41, AN44, AO44), IF(C41 = 5, CHOOSE(D41, AR44, AS44, AT44), IF(C41 = 7, CHOOSE(D41, AW44, AX44, AY44), FALSE))))))))</f>
        <v>0</v>
      </c>
      <c r="W44" s="2" t="b">
        <f t="shared" ref="W44" si="689">K44</f>
        <v>1</v>
      </c>
      <c r="X44" s="2" t="b">
        <f t="shared" ref="X44" si="690">K44</f>
        <v>1</v>
      </c>
      <c r="Y44" s="2" t="b">
        <f t="shared" ref="Y44" si="691">K44</f>
        <v>1</v>
      </c>
      <c r="Z44" s="2" t="b">
        <f t="shared" ref="Z44" si="692">K44</f>
        <v>1</v>
      </c>
      <c r="AC44" s="2" t="b">
        <v>1</v>
      </c>
      <c r="AD44" s="2" t="b">
        <f t="shared" ref="AD44" si="693">NOT(K44)</f>
        <v>0</v>
      </c>
      <c r="AE44" s="2" t="b">
        <v>1</v>
      </c>
      <c r="AF44" s="2" t="b">
        <f t="shared" ref="AF44" si="694">NOT(K44)</f>
        <v>0</v>
      </c>
      <c r="AI44" s="2" t="b">
        <f t="shared" ref="AI44" si="695">K44</f>
        <v>1</v>
      </c>
      <c r="AJ44" s="2" t="b">
        <f t="shared" ref="AJ44" si="696">K44</f>
        <v>1</v>
      </c>
      <c r="AK44" s="2" t="b">
        <f t="shared" ref="AK44" si="697">K44</f>
        <v>1</v>
      </c>
      <c r="AN44" s="2" t="b">
        <f t="shared" si="680"/>
        <v>1</v>
      </c>
      <c r="AO44" s="2" t="b">
        <f t="shared" si="681"/>
        <v>1</v>
      </c>
      <c r="AR44" s="2" t="b">
        <f t="shared" ref="AR44" si="698">K44</f>
        <v>1</v>
      </c>
      <c r="AS44" s="2" t="b">
        <f t="shared" ref="AS44" si="699">K44</f>
        <v>1</v>
      </c>
      <c r="AT44" s="2" t="b">
        <f t="shared" ref="AT44" si="700">K44</f>
        <v>1</v>
      </c>
      <c r="AW44" s="2" t="b">
        <f t="shared" si="684"/>
        <v>1</v>
      </c>
      <c r="AX44" s="2" t="b">
        <f t="shared" si="685"/>
        <v>1</v>
      </c>
      <c r="AY44" s="2" t="b">
        <f t="shared" si="686"/>
        <v>1</v>
      </c>
    </row>
    <row r="45" spans="2:51" ht="18" customHeight="1" x14ac:dyDescent="0.3">
      <c r="B45" s="415">
        <v>11</v>
      </c>
      <c r="C45" s="332">
        <f>IF('Full Season Entries'!AF16 = 2.2, 2, 'Full Season Entries'!AF16)</f>
        <v>0</v>
      </c>
      <c r="D45" s="332">
        <f>'Full Season Entries'!AG16</f>
        <v>0</v>
      </c>
      <c r="E45" s="2" t="s">
        <v>233</v>
      </c>
      <c r="F45" s="2" t="str">
        <f>IF('Full Season Entries'!K16 &lt;&gt; "", LEFT('Full Season Entries'!K16, 1), "")</f>
        <v/>
      </c>
      <c r="G45" s="2" t="b">
        <f>IF(F45 = "P", TRUE, FALSE)</f>
        <v>0</v>
      </c>
      <c r="H45" s="2" t="b">
        <f>IF(F45 = "G", TRUE, FALSE)</f>
        <v>0</v>
      </c>
      <c r="I45" s="2" t="b">
        <f>IF(F45 = "S", TRUE, FALSE)</f>
        <v>0</v>
      </c>
      <c r="J45" s="2" t="b">
        <f>IF(F45 = "B", TRUE, FALSE)</f>
        <v>0</v>
      </c>
      <c r="K45" s="27" t="b">
        <f>IF(AND(IF(G45 = FALSE, TRUE, FALSE), IF(H45 = FALSE, TRUE, FALSE), IF(I45 = FALSE, TRUE, FALSE), IF(J45 = FALSE, TRUE, FALSE)) = TRUE, TRUE, FALSE)</f>
        <v>1</v>
      </c>
      <c r="L45" s="415" t="str">
        <f>IF(P45, "", IF(AND(P46, P47), AND(T45, T46, T47, T48), AND(NOT(P48), T45, T46, T47, T48)))</f>
        <v/>
      </c>
      <c r="O45" s="1" t="s">
        <v>232</v>
      </c>
      <c r="P45" s="1" t="b">
        <f t="shared" ref="P45" si="701">AND(K45, K46, K47, K48)</f>
        <v>1</v>
      </c>
      <c r="Q45" s="1">
        <f t="shared" si="33"/>
        <v>0</v>
      </c>
      <c r="T45" s="2" t="b">
        <f t="shared" ref="T45" si="702">IF(D45 = 0, FALSE, IF(C45 = 1, CHOOSE(D45, W45, X45, Y45, Z45), IF(C45 = 2, CHOOSE(D45, AC45, AD45, AE45, AF45), IF(C45 = 2.1, CHOOSE(D45, AC45, AD45, AE45, AF45), IF(C45 = 3, CHOOSE(D45, AI45, AJ45, AK45), IF(C45 = 4, CHOOSE(D45, AN45, AO45), IF(C45 = 5, CHOOSE(D45, AR45, AS45, AT45), IF(C45 = 7, CHOOSE(D45, AW45, AX45, AY45), FALSE))))))))</f>
        <v>0</v>
      </c>
      <c r="W45" s="2" t="b">
        <f t="shared" ref="W45" si="703">AND(NOT(I45), NOT(K45), NOT(J45))</f>
        <v>0</v>
      </c>
      <c r="X45" s="2" t="b">
        <f t="shared" ref="X45" si="704">AND(NOT(I45), NOT(K45), NOT(J45))</f>
        <v>0</v>
      </c>
      <c r="Y45" s="2" t="b">
        <f t="shared" ref="Y45" si="705">AND(NOT(I45), NOT(K45), NOT(J45))</f>
        <v>0</v>
      </c>
      <c r="Z45" s="2" t="b">
        <f t="shared" ref="Z45" si="706">AND(NOT(I45), NOT(K45), NOT(J45))</f>
        <v>0</v>
      </c>
      <c r="AC45" s="2" t="b">
        <f t="shared" ref="AC45" si="707">AND(NOT(I45), NOT(K45), NOT(J45))</f>
        <v>0</v>
      </c>
      <c r="AD45" s="2" t="b">
        <f t="shared" ref="AD45" si="708">AND(NOT(G45), NOT(K45), NOT(J45))</f>
        <v>0</v>
      </c>
      <c r="AE45" s="2" t="b">
        <f t="shared" ref="AE45" si="709">AND(NOT(I45), NOT(K45), NOT(J45))</f>
        <v>0</v>
      </c>
      <c r="AF45" s="2" t="b">
        <f t="shared" ref="AF45" si="710">AND(NOT(I45), NOT(K45), NOT(J45))</f>
        <v>0</v>
      </c>
      <c r="AI45" s="2" t="b">
        <f t="shared" ref="AI45" si="711">AND(NOT(I45), NOT(K45), NOT(J45))</f>
        <v>0</v>
      </c>
      <c r="AJ45" s="2" t="b">
        <f t="shared" ref="AJ45" si="712">AND(NOT(J45), NOT(K45))</f>
        <v>0</v>
      </c>
      <c r="AK45" s="2" t="b">
        <f t="shared" ref="AK45" si="713">AND(NOT(I45), NOT(K45), NOT(J45))</f>
        <v>0</v>
      </c>
      <c r="AN45" s="2" t="b">
        <f t="shared" ref="AN45" si="714">AND(NOT(I45), NOT(K45), NOT(J45))</f>
        <v>0</v>
      </c>
      <c r="AO45" s="2" t="b">
        <f t="shared" ref="AO45" si="715">AND(NOT(G45), NOT(J45), NOT(K45))</f>
        <v>0</v>
      </c>
      <c r="AR45" s="2" t="b">
        <f t="shared" ref="AR45:AR47" si="716">AND(NOT(J45), NOT(K45))</f>
        <v>0</v>
      </c>
      <c r="AS45" s="2" t="b">
        <f t="shared" ref="AS45" si="717">AND(NOT(I45), NOT(K45), NOT(J45))</f>
        <v>0</v>
      </c>
      <c r="AT45" s="2" t="b">
        <f t="shared" ref="AT45" si="718">AND(NOT(G45), NOT(J45), NOT(K45))</f>
        <v>0</v>
      </c>
      <c r="AW45" s="2" t="b">
        <f t="shared" ref="AW45" si="719">AND(NOT(G45), NOT(J45), NOT(K45))</f>
        <v>0</v>
      </c>
      <c r="AX45" s="2" t="b">
        <f t="shared" ref="AX45" si="720">AND(NOT(J45), NOT(K45))</f>
        <v>0</v>
      </c>
      <c r="AY45" s="2" t="b">
        <f t="shared" ref="AY45" si="721">AND(NOT(G45), NOT(J45), NOT(K45))</f>
        <v>0</v>
      </c>
    </row>
    <row r="46" spans="2:51" ht="18" customHeight="1" x14ac:dyDescent="0.3">
      <c r="B46" s="416"/>
      <c r="C46" s="332"/>
      <c r="D46" s="332"/>
      <c r="E46" s="2" t="s">
        <v>234</v>
      </c>
      <c r="F46" s="2" t="str">
        <f>IF('Full Season Entries'!L16 &lt;&gt; "", LEFT('Full Season Entries'!L16, 1), "")</f>
        <v/>
      </c>
      <c r="G46" s="2" t="b">
        <f t="shared" si="0"/>
        <v>0</v>
      </c>
      <c r="H46" s="2" t="b">
        <f t="shared" ref="H46:H48" si="722">IF(F46 = "G", TRUE, FALSE)</f>
        <v>0</v>
      </c>
      <c r="I46" s="2" t="b">
        <f t="shared" ref="I46:I48" si="723">IF(F46 = "S", TRUE, FALSE)</f>
        <v>0</v>
      </c>
      <c r="J46" s="2" t="b">
        <f t="shared" ref="J46:J48" si="724">IF(F46 = "B", TRUE, FALSE)</f>
        <v>0</v>
      </c>
      <c r="K46" s="27" t="b">
        <f t="shared" ref="K46:K48" si="725">IF(AND(IF(G46 = FALSE, TRUE, FALSE), IF(H46 = FALSE, TRUE, FALSE), IF(I46 = FALSE, TRUE, FALSE), IF(J46 = FALSE, TRUE, FALSE)) = TRUE, TRUE, FALSE)</f>
        <v>1</v>
      </c>
      <c r="L46" s="416"/>
      <c r="O46" s="1" t="s">
        <v>386</v>
      </c>
      <c r="P46" s="1" t="b">
        <f t="shared" ref="P46" si="726">OR(IF(C45 = 2, TRUE, FALSE), IF(C45 = 2.2, TRUE, FALSE))</f>
        <v>0</v>
      </c>
      <c r="Q46" s="1">
        <f t="shared" si="33"/>
        <v>0</v>
      </c>
      <c r="T46" s="2" t="b">
        <f t="shared" ref="T46" si="727">IF(D45 = 0, FALSE, IF(C45 = 1, CHOOSE(D45, W46, X46, Y46, Z46), IF(C45 = 2, CHOOSE(D45, AC46, AD46, AE46, AF46), IF(C45 = 2.1, CHOOSE(D45, AC46, AD46, AE46, AF46), IF(C45 = 3, CHOOSE(D45, AI46, AJ46, AK46), IF(C45 = 4, CHOOSE(D45, AN46, AO46), IF(C45 = 5, CHOOSE(D45, AR46, AS46, AT46), IF(C45 = 7, CHOOSE(D45, AW46, AX46, AY46), FALSE))))))))</f>
        <v>0</v>
      </c>
      <c r="W46" s="2" t="b">
        <f t="shared" ref="W46:W47" si="728">AND(NOT(K46), NOT(J46))</f>
        <v>0</v>
      </c>
      <c r="X46" s="2" t="b">
        <f t="shared" ref="X46" si="729">NOT(K45)</f>
        <v>0</v>
      </c>
      <c r="Y46" s="2" t="b">
        <f t="shared" ref="Y46:Y47" si="730">AND(NOT(K46), NOT(J46))</f>
        <v>0</v>
      </c>
      <c r="Z46" s="2" t="b">
        <f t="shared" ref="Z46" si="731">OR(I46, J46)</f>
        <v>0</v>
      </c>
      <c r="AC46" s="2" t="b">
        <f t="shared" ref="AC46" si="732">AND(NOT(K46), NOT(J46))</f>
        <v>0</v>
      </c>
      <c r="AD46" s="2" t="b">
        <f t="shared" ref="AD46" si="733">J46</f>
        <v>0</v>
      </c>
      <c r="AE46" s="2" t="b">
        <f t="shared" ref="AE46" si="734">AND(NOT(K46), NOT(J46))</f>
        <v>0</v>
      </c>
      <c r="AF46" s="2" t="b">
        <f t="shared" ref="AF46" si="735">J46</f>
        <v>0</v>
      </c>
      <c r="AI46" s="2" t="b">
        <f t="shared" ref="AI46" si="736">AND(NOT(J46), NOT(K46))</f>
        <v>0</v>
      </c>
      <c r="AJ46" s="2" t="b">
        <f t="shared" ref="AJ46" si="737">OR(I46, J46)</f>
        <v>0</v>
      </c>
      <c r="AK46" s="2" t="b">
        <f t="shared" ref="AK46" si="738">OR(I46, J46)</f>
        <v>0</v>
      </c>
      <c r="AN46" s="2" t="b">
        <f t="shared" ref="AN46" si="739">OR(I46, J46)</f>
        <v>0</v>
      </c>
      <c r="AO46" s="2" t="b">
        <f t="shared" ref="AO46" si="740">J46</f>
        <v>0</v>
      </c>
      <c r="AR46" s="2" t="b">
        <f t="shared" si="716"/>
        <v>0</v>
      </c>
      <c r="AS46" s="2" t="b">
        <f t="shared" ref="AS46" si="741">OR(I46, J46)</f>
        <v>0</v>
      </c>
      <c r="AT46" s="2" t="b">
        <f t="shared" ref="AT46" si="742">OR(I46, J46)</f>
        <v>0</v>
      </c>
      <c r="AW46" s="2" t="b">
        <f t="shared" ref="AW46" si="743">J46</f>
        <v>0</v>
      </c>
      <c r="AX46" s="2" t="b">
        <f t="shared" ref="AX46" si="744">J46</f>
        <v>0</v>
      </c>
      <c r="AY46" s="2" t="b">
        <f t="shared" ref="AY46" si="745">J46</f>
        <v>0</v>
      </c>
    </row>
    <row r="47" spans="2:51" ht="18" customHeight="1" x14ac:dyDescent="0.3">
      <c r="B47" s="416"/>
      <c r="C47" s="332"/>
      <c r="D47" s="332"/>
      <c r="E47" s="2" t="s">
        <v>235</v>
      </c>
      <c r="F47" s="2" t="str">
        <f>IF('Full Season Entries'!M16 &lt;&gt; "", LEFT('Full Season Entries'!M16, 1), "")</f>
        <v/>
      </c>
      <c r="G47" s="2" t="b">
        <f t="shared" si="0"/>
        <v>0</v>
      </c>
      <c r="H47" s="2" t="b">
        <f t="shared" si="722"/>
        <v>0</v>
      </c>
      <c r="I47" s="2" t="b">
        <f t="shared" si="723"/>
        <v>0</v>
      </c>
      <c r="J47" s="2" t="b">
        <f t="shared" si="724"/>
        <v>0</v>
      </c>
      <c r="K47" s="27" t="b">
        <f t="shared" si="725"/>
        <v>1</v>
      </c>
      <c r="L47" s="416"/>
      <c r="O47" s="1" t="s">
        <v>387</v>
      </c>
      <c r="P47" s="1" t="b">
        <f t="shared" ref="P47" si="746">OR(IF(D45 = 2, TRUE, FALSE), IF(D45 = 4, TRUE, FALSE))</f>
        <v>0</v>
      </c>
      <c r="Q47" s="1">
        <f t="shared" si="33"/>
        <v>0</v>
      </c>
      <c r="T47" s="2" t="b">
        <f t="shared" ref="T47" si="747">IF(D45 = 0, FALSE, IF(C45 = 1, CHOOSE(D45, W47, X47, Y47, Z47), IF(C45 = 2, CHOOSE(D45, AC47, AD47, AE47, AF47), IF(C45 = 2.1, K47, IF(C45 = 3, CHOOSE(D45, AI47, AJ47, AK47), IF(C45 = 4, CHOOSE(D45, AN47, AO47), IF(C45 = 5, CHOOSE(D45, AR47, AS47, AT47), IF(C45 = 7, CHOOSE(D45, AW47, AX47, AY47), FALSE))))))))</f>
        <v>0</v>
      </c>
      <c r="W47" s="2" t="b">
        <f t="shared" si="728"/>
        <v>0</v>
      </c>
      <c r="X47" s="2" t="b">
        <f t="shared" ref="X47" si="748">OR(I47, J47)</f>
        <v>0</v>
      </c>
      <c r="Y47" s="2" t="b">
        <f t="shared" si="730"/>
        <v>0</v>
      </c>
      <c r="Z47" s="2" t="b">
        <f t="shared" ref="Z47" si="749">J47</f>
        <v>0</v>
      </c>
      <c r="AC47" s="2" t="b">
        <f t="shared" ref="AC47" si="750">NOT(K47)</f>
        <v>0</v>
      </c>
      <c r="AD47" s="2" t="b">
        <f t="shared" ref="AD47" si="751">OR(I47, J47)</f>
        <v>0</v>
      </c>
      <c r="AE47" s="2" t="b">
        <f t="shared" ref="AE47" si="752">NOT(K47)</f>
        <v>0</v>
      </c>
      <c r="AF47" s="2" t="b">
        <f t="shared" ref="AF47" si="753">OR(I47, J47)</f>
        <v>0</v>
      </c>
      <c r="AI47" s="2" t="b">
        <f t="shared" ref="AI47" si="754">AND(OR(I47, J47), NOT(K47))</f>
        <v>0</v>
      </c>
      <c r="AJ47" s="2" t="b">
        <f t="shared" ref="AJ47" si="755">J47</f>
        <v>0</v>
      </c>
      <c r="AK47" s="2" t="b">
        <f t="shared" ref="AK47" si="756">J47</f>
        <v>0</v>
      </c>
      <c r="AN47" s="2" t="b">
        <f t="shared" ref="AN47:AN48" si="757">K47</f>
        <v>1</v>
      </c>
      <c r="AO47" s="2" t="b">
        <f t="shared" ref="AO47:AO48" si="758">K47</f>
        <v>1</v>
      </c>
      <c r="AR47" s="2" t="b">
        <f t="shared" si="716"/>
        <v>0</v>
      </c>
      <c r="AS47" s="2" t="b">
        <f t="shared" ref="AS47" si="759">J47</f>
        <v>0</v>
      </c>
      <c r="AT47" s="2" t="b">
        <f t="shared" ref="AT47" si="760">J47</f>
        <v>0</v>
      </c>
      <c r="AW47" s="2" t="b">
        <f t="shared" ref="AW47:AW48" si="761">K47</f>
        <v>1</v>
      </c>
      <c r="AX47" s="2" t="b">
        <f t="shared" ref="AX47:AX48" si="762">K47</f>
        <v>1</v>
      </c>
      <c r="AY47" s="2" t="b">
        <f t="shared" ref="AY47:AY48" si="763">K47</f>
        <v>1</v>
      </c>
    </row>
    <row r="48" spans="2:51" ht="18" customHeight="1" x14ac:dyDescent="0.3">
      <c r="B48" s="412"/>
      <c r="C48" s="332"/>
      <c r="D48" s="332"/>
      <c r="E48" s="2" t="s">
        <v>236</v>
      </c>
      <c r="F48" s="2" t="str">
        <f>IF('Full Season Entries'!N16 &lt;&gt; "", LEFT('Full Season Entries'!N16, 1), "")</f>
        <v/>
      </c>
      <c r="G48" s="2" t="b">
        <f t="shared" si="0"/>
        <v>0</v>
      </c>
      <c r="H48" s="2" t="b">
        <f t="shared" si="722"/>
        <v>0</v>
      </c>
      <c r="I48" s="2" t="b">
        <f t="shared" si="723"/>
        <v>0</v>
      </c>
      <c r="J48" s="2" t="b">
        <f t="shared" si="724"/>
        <v>0</v>
      </c>
      <c r="K48" s="27" t="b">
        <f t="shared" si="725"/>
        <v>1</v>
      </c>
      <c r="L48" s="412"/>
      <c r="O48" s="1" t="s">
        <v>388</v>
      </c>
      <c r="P48" s="1" t="b">
        <f t="shared" ref="P48" si="764">IF(SUM(Q45:Q48) &gt; 1, TRUE, FALSE)</f>
        <v>0</v>
      </c>
      <c r="Q48" s="1">
        <f t="shared" si="33"/>
        <v>0</v>
      </c>
      <c r="T48" s="2" t="b">
        <f t="shared" ref="T48" si="765">IF(D45 = 0, FALSE, IF(C45 = 1, CHOOSE(D45, W48, X48, Y48, Z48), IF(C45 = 2, CHOOSE(D45, AC48, AD48, AE48, AF48), IF(C45 = 2.1, K48, IF(C45 = 3, CHOOSE(D45, AI48, AJ48, AK48), IF(C45 = 4, CHOOSE(D45, AN48, AO48), IF(C45 = 5, CHOOSE(D45, AR48, AS48, AT48), IF(C45 = 7, CHOOSE(D45, AW48, AX48, AY48), FALSE))))))))</f>
        <v>0</v>
      </c>
      <c r="W48" s="2" t="b">
        <f t="shared" ref="W48" si="766">K48</f>
        <v>1</v>
      </c>
      <c r="X48" s="2" t="b">
        <f t="shared" ref="X48" si="767">K48</f>
        <v>1</v>
      </c>
      <c r="Y48" s="2" t="b">
        <f t="shared" ref="Y48" si="768">K48</f>
        <v>1</v>
      </c>
      <c r="Z48" s="2" t="b">
        <f t="shared" ref="Z48" si="769">K48</f>
        <v>1</v>
      </c>
      <c r="AC48" s="2" t="b">
        <v>1</v>
      </c>
      <c r="AD48" s="2" t="b">
        <f t="shared" ref="AD48" si="770">NOT(K48)</f>
        <v>0</v>
      </c>
      <c r="AE48" s="2" t="b">
        <v>1</v>
      </c>
      <c r="AF48" s="2" t="b">
        <f t="shared" ref="AF48" si="771">NOT(K48)</f>
        <v>0</v>
      </c>
      <c r="AI48" s="2" t="b">
        <f t="shared" ref="AI48" si="772">K48</f>
        <v>1</v>
      </c>
      <c r="AJ48" s="2" t="b">
        <f t="shared" ref="AJ48" si="773">K48</f>
        <v>1</v>
      </c>
      <c r="AK48" s="2" t="b">
        <f t="shared" ref="AK48" si="774">K48</f>
        <v>1</v>
      </c>
      <c r="AN48" s="2" t="b">
        <f t="shared" si="757"/>
        <v>1</v>
      </c>
      <c r="AO48" s="2" t="b">
        <f t="shared" si="758"/>
        <v>1</v>
      </c>
      <c r="AR48" s="2" t="b">
        <f t="shared" ref="AR48" si="775">K48</f>
        <v>1</v>
      </c>
      <c r="AS48" s="2" t="b">
        <f t="shared" ref="AS48" si="776">K48</f>
        <v>1</v>
      </c>
      <c r="AT48" s="2" t="b">
        <f t="shared" ref="AT48" si="777">K48</f>
        <v>1</v>
      </c>
      <c r="AW48" s="2" t="b">
        <f t="shared" si="761"/>
        <v>1</v>
      </c>
      <c r="AX48" s="2" t="b">
        <f t="shared" si="762"/>
        <v>1</v>
      </c>
      <c r="AY48" s="2" t="b">
        <f t="shared" si="763"/>
        <v>1</v>
      </c>
    </row>
    <row r="49" spans="2:51" ht="18" customHeight="1" x14ac:dyDescent="0.3">
      <c r="B49" s="415">
        <v>12</v>
      </c>
      <c r="C49" s="332">
        <f>IF('Full Season Entries'!AF17 = 2.2, 2, 'Full Season Entries'!AF17)</f>
        <v>0</v>
      </c>
      <c r="D49" s="332">
        <f>'Full Season Entries'!AG17</f>
        <v>0</v>
      </c>
      <c r="E49" s="2" t="s">
        <v>233</v>
      </c>
      <c r="F49" s="2" t="str">
        <f>IF('Full Season Entries'!K17 &lt;&gt; "", LEFT('Full Season Entries'!K17, 1), "")</f>
        <v/>
      </c>
      <c r="G49" s="2" t="b">
        <f>IF(F49 = "P", TRUE, FALSE)</f>
        <v>0</v>
      </c>
      <c r="H49" s="2" t="b">
        <f>IF(F49 = "G", TRUE, FALSE)</f>
        <v>0</v>
      </c>
      <c r="I49" s="2" t="b">
        <f>IF(F49 = "S", TRUE, FALSE)</f>
        <v>0</v>
      </c>
      <c r="J49" s="2" t="b">
        <f>IF(F49 = "B", TRUE, FALSE)</f>
        <v>0</v>
      </c>
      <c r="K49" s="27" t="b">
        <f>IF(AND(IF(G49 = FALSE, TRUE, FALSE), IF(H49 = FALSE, TRUE, FALSE), IF(I49 = FALSE, TRUE, FALSE), IF(J49 = FALSE, TRUE, FALSE)) = TRUE, TRUE, FALSE)</f>
        <v>1</v>
      </c>
      <c r="L49" s="415" t="str">
        <f>IF(P49, "", IF(AND(P50, P51), AND(T49, T50, T51, T52), AND(NOT(P52), T49, T50, T51, T52)))</f>
        <v/>
      </c>
      <c r="O49" s="1" t="s">
        <v>232</v>
      </c>
      <c r="P49" s="1" t="b">
        <f t="shared" ref="P49" si="778">AND(K49, K50, K51, K52)</f>
        <v>1</v>
      </c>
      <c r="Q49" s="1">
        <f t="shared" si="33"/>
        <v>0</v>
      </c>
      <c r="T49" s="2" t="b">
        <f t="shared" ref="T49" si="779">IF(D49 = 0, FALSE, IF(C49 = 1, CHOOSE(D49, W49, X49, Y49, Z49), IF(C49 = 2, CHOOSE(D49, AC49, AD49, AE49, AF49), IF(C49 = 2.1, CHOOSE(D49, AC49, AD49, AE49, AF49), IF(C49 = 3, CHOOSE(D49, AI49, AJ49, AK49), IF(C49 = 4, CHOOSE(D49, AN49, AO49), IF(C49 = 5, CHOOSE(D49, AR49, AS49, AT49), IF(C49 = 7, CHOOSE(D49, AW49, AX49, AY49), FALSE))))))))</f>
        <v>0</v>
      </c>
      <c r="W49" s="2" t="b">
        <f t="shared" ref="W49" si="780">AND(NOT(I49), NOT(K49), NOT(J49))</f>
        <v>0</v>
      </c>
      <c r="X49" s="2" t="b">
        <f t="shared" ref="X49" si="781">AND(NOT(I49), NOT(K49), NOT(J49))</f>
        <v>0</v>
      </c>
      <c r="Y49" s="2" t="b">
        <f t="shared" ref="Y49" si="782">AND(NOT(I49), NOT(K49), NOT(J49))</f>
        <v>0</v>
      </c>
      <c r="Z49" s="2" t="b">
        <f t="shared" ref="Z49" si="783">AND(NOT(I49), NOT(K49), NOT(J49))</f>
        <v>0</v>
      </c>
      <c r="AC49" s="2" t="b">
        <f t="shared" ref="AC49" si="784">AND(NOT(I49), NOT(K49), NOT(J49))</f>
        <v>0</v>
      </c>
      <c r="AD49" s="2" t="b">
        <f t="shared" ref="AD49" si="785">AND(NOT(G49), NOT(K49), NOT(J49))</f>
        <v>0</v>
      </c>
      <c r="AE49" s="2" t="b">
        <f t="shared" ref="AE49" si="786">AND(NOT(I49), NOT(K49), NOT(J49))</f>
        <v>0</v>
      </c>
      <c r="AF49" s="2" t="b">
        <f t="shared" ref="AF49" si="787">AND(NOT(I49), NOT(K49), NOT(J49))</f>
        <v>0</v>
      </c>
      <c r="AI49" s="2" t="b">
        <f t="shared" ref="AI49" si="788">AND(NOT(I49), NOT(K49), NOT(J49))</f>
        <v>0</v>
      </c>
      <c r="AJ49" s="2" t="b">
        <f t="shared" ref="AJ49" si="789">AND(NOT(J49), NOT(K49))</f>
        <v>0</v>
      </c>
      <c r="AK49" s="2" t="b">
        <f t="shared" ref="AK49" si="790">AND(NOT(I49), NOT(K49), NOT(J49))</f>
        <v>0</v>
      </c>
      <c r="AN49" s="2" t="b">
        <f t="shared" ref="AN49" si="791">AND(NOT(I49), NOT(K49), NOT(J49))</f>
        <v>0</v>
      </c>
      <c r="AO49" s="2" t="b">
        <f t="shared" ref="AO49" si="792">AND(NOT(G49), NOT(J49), NOT(K49))</f>
        <v>0</v>
      </c>
      <c r="AR49" s="2" t="b">
        <f t="shared" ref="AR49:AR51" si="793">AND(NOT(J49), NOT(K49))</f>
        <v>0</v>
      </c>
      <c r="AS49" s="2" t="b">
        <f t="shared" ref="AS49" si="794">AND(NOT(I49), NOT(K49), NOT(J49))</f>
        <v>0</v>
      </c>
      <c r="AT49" s="2" t="b">
        <f t="shared" ref="AT49" si="795">AND(NOT(G49), NOT(J49), NOT(K49))</f>
        <v>0</v>
      </c>
      <c r="AW49" s="2" t="b">
        <f t="shared" ref="AW49" si="796">AND(NOT(G49), NOT(J49), NOT(K49))</f>
        <v>0</v>
      </c>
      <c r="AX49" s="2" t="b">
        <f t="shared" ref="AX49" si="797">AND(NOT(J49), NOT(K49))</f>
        <v>0</v>
      </c>
      <c r="AY49" s="2" t="b">
        <f t="shared" ref="AY49" si="798">AND(NOT(G49), NOT(J49), NOT(K49))</f>
        <v>0</v>
      </c>
    </row>
    <row r="50" spans="2:51" ht="18" customHeight="1" x14ac:dyDescent="0.3">
      <c r="B50" s="416"/>
      <c r="C50" s="332"/>
      <c r="D50" s="332"/>
      <c r="E50" s="2" t="s">
        <v>234</v>
      </c>
      <c r="F50" s="2" t="str">
        <f>IF('Full Season Entries'!L17 &lt;&gt; "", LEFT('Full Season Entries'!L17, 1), "")</f>
        <v/>
      </c>
      <c r="G50" s="2" t="b">
        <f t="shared" si="0"/>
        <v>0</v>
      </c>
      <c r="H50" s="2" t="b">
        <f t="shared" ref="H50:H52" si="799">IF(F50 = "G", TRUE, FALSE)</f>
        <v>0</v>
      </c>
      <c r="I50" s="2" t="b">
        <f t="shared" ref="I50:I52" si="800">IF(F50 = "S", TRUE, FALSE)</f>
        <v>0</v>
      </c>
      <c r="J50" s="2" t="b">
        <f t="shared" ref="J50:J52" si="801">IF(F50 = "B", TRUE, FALSE)</f>
        <v>0</v>
      </c>
      <c r="K50" s="27" t="b">
        <f t="shared" ref="K50:K52" si="802">IF(AND(IF(G50 = FALSE, TRUE, FALSE), IF(H50 = FALSE, TRUE, FALSE), IF(I50 = FALSE, TRUE, FALSE), IF(J50 = FALSE, TRUE, FALSE)) = TRUE, TRUE, FALSE)</f>
        <v>1</v>
      </c>
      <c r="L50" s="416"/>
      <c r="O50" s="1" t="s">
        <v>386</v>
      </c>
      <c r="P50" s="1" t="b">
        <f t="shared" ref="P50" si="803">OR(IF(C49 = 2, TRUE, FALSE), IF(C49 = 2.2, TRUE, FALSE))</f>
        <v>0</v>
      </c>
      <c r="Q50" s="1">
        <f t="shared" si="33"/>
        <v>0</v>
      </c>
      <c r="T50" s="2" t="b">
        <f t="shared" ref="T50" si="804">IF(D49 = 0, FALSE, IF(C49 = 1, CHOOSE(D49, W50, X50, Y50, Z50), IF(C49 = 2, CHOOSE(D49, AC50, AD50, AE50, AF50), IF(C49 = 2.1, CHOOSE(D49, AC50, AD50, AE50, AF50), IF(C49 = 3, CHOOSE(D49, AI50, AJ50, AK50), IF(C49 = 4, CHOOSE(D49, AN50, AO50), IF(C49 = 5, CHOOSE(D49, AR50, AS50, AT50), IF(C49 = 7, CHOOSE(D49, AW50, AX50, AY50), FALSE))))))))</f>
        <v>0</v>
      </c>
      <c r="W50" s="2" t="b">
        <f t="shared" ref="W50:W51" si="805">AND(NOT(K50), NOT(J50))</f>
        <v>0</v>
      </c>
      <c r="X50" s="2" t="b">
        <f t="shared" ref="X50" si="806">NOT(K49)</f>
        <v>0</v>
      </c>
      <c r="Y50" s="2" t="b">
        <f t="shared" ref="Y50:Y51" si="807">AND(NOT(K50), NOT(J50))</f>
        <v>0</v>
      </c>
      <c r="Z50" s="2" t="b">
        <f t="shared" ref="Z50" si="808">OR(I50, J50)</f>
        <v>0</v>
      </c>
      <c r="AC50" s="2" t="b">
        <f t="shared" ref="AC50" si="809">AND(NOT(K50), NOT(J50))</f>
        <v>0</v>
      </c>
      <c r="AD50" s="2" t="b">
        <f t="shared" ref="AD50" si="810">J50</f>
        <v>0</v>
      </c>
      <c r="AE50" s="2" t="b">
        <f t="shared" ref="AE50" si="811">AND(NOT(K50), NOT(J50))</f>
        <v>0</v>
      </c>
      <c r="AF50" s="2" t="b">
        <f t="shared" ref="AF50" si="812">J50</f>
        <v>0</v>
      </c>
      <c r="AI50" s="2" t="b">
        <f t="shared" ref="AI50" si="813">AND(NOT(J50), NOT(K50))</f>
        <v>0</v>
      </c>
      <c r="AJ50" s="2" t="b">
        <f t="shared" ref="AJ50" si="814">OR(I50, J50)</f>
        <v>0</v>
      </c>
      <c r="AK50" s="2" t="b">
        <f t="shared" ref="AK50" si="815">OR(I50, J50)</f>
        <v>0</v>
      </c>
      <c r="AN50" s="2" t="b">
        <f t="shared" ref="AN50" si="816">OR(I50, J50)</f>
        <v>0</v>
      </c>
      <c r="AO50" s="2" t="b">
        <f t="shared" ref="AO50" si="817">J50</f>
        <v>0</v>
      </c>
      <c r="AR50" s="2" t="b">
        <f t="shared" si="793"/>
        <v>0</v>
      </c>
      <c r="AS50" s="2" t="b">
        <f t="shared" ref="AS50" si="818">OR(I50, J50)</f>
        <v>0</v>
      </c>
      <c r="AT50" s="2" t="b">
        <f t="shared" ref="AT50" si="819">OR(I50, J50)</f>
        <v>0</v>
      </c>
      <c r="AW50" s="2" t="b">
        <f t="shared" ref="AW50" si="820">J50</f>
        <v>0</v>
      </c>
      <c r="AX50" s="2" t="b">
        <f t="shared" ref="AX50" si="821">J50</f>
        <v>0</v>
      </c>
      <c r="AY50" s="2" t="b">
        <f t="shared" ref="AY50" si="822">J50</f>
        <v>0</v>
      </c>
    </row>
    <row r="51" spans="2:51" ht="18" customHeight="1" x14ac:dyDescent="0.3">
      <c r="B51" s="416"/>
      <c r="C51" s="332"/>
      <c r="D51" s="332"/>
      <c r="E51" s="2" t="s">
        <v>235</v>
      </c>
      <c r="F51" s="2" t="str">
        <f>IF('Full Season Entries'!M17 &lt;&gt; "", LEFT('Full Season Entries'!M17, 1), "")</f>
        <v/>
      </c>
      <c r="G51" s="2" t="b">
        <f t="shared" si="0"/>
        <v>0</v>
      </c>
      <c r="H51" s="2" t="b">
        <f t="shared" si="799"/>
        <v>0</v>
      </c>
      <c r="I51" s="2" t="b">
        <f t="shared" si="800"/>
        <v>0</v>
      </c>
      <c r="J51" s="2" t="b">
        <f t="shared" si="801"/>
        <v>0</v>
      </c>
      <c r="K51" s="27" t="b">
        <f t="shared" si="802"/>
        <v>1</v>
      </c>
      <c r="L51" s="416"/>
      <c r="O51" s="1" t="s">
        <v>387</v>
      </c>
      <c r="P51" s="1" t="b">
        <f t="shared" ref="P51" si="823">OR(IF(D49 = 2, TRUE, FALSE), IF(D49 = 4, TRUE, FALSE))</f>
        <v>0</v>
      </c>
      <c r="Q51" s="1">
        <f t="shared" si="33"/>
        <v>0</v>
      </c>
      <c r="T51" s="2" t="b">
        <f t="shared" ref="T51" si="824">IF(D49 = 0, FALSE, IF(C49 = 1, CHOOSE(D49, W51, X51, Y51, Z51), IF(C49 = 2, CHOOSE(D49, AC51, AD51, AE51, AF51), IF(C49 = 2.1, K51, IF(C49 = 3, CHOOSE(D49, AI51, AJ51, AK51), IF(C49 = 4, CHOOSE(D49, AN51, AO51), IF(C49 = 5, CHOOSE(D49, AR51, AS51, AT51), IF(C49 = 7, CHOOSE(D49, AW51, AX51, AY51), FALSE))))))))</f>
        <v>0</v>
      </c>
      <c r="W51" s="2" t="b">
        <f t="shared" si="805"/>
        <v>0</v>
      </c>
      <c r="X51" s="2" t="b">
        <f t="shared" ref="X51" si="825">OR(I51, J51)</f>
        <v>0</v>
      </c>
      <c r="Y51" s="2" t="b">
        <f t="shared" si="807"/>
        <v>0</v>
      </c>
      <c r="Z51" s="2" t="b">
        <f t="shared" ref="Z51" si="826">J51</f>
        <v>0</v>
      </c>
      <c r="AC51" s="2" t="b">
        <f t="shared" ref="AC51" si="827">NOT(K51)</f>
        <v>0</v>
      </c>
      <c r="AD51" s="2" t="b">
        <f t="shared" ref="AD51" si="828">OR(I51, J51)</f>
        <v>0</v>
      </c>
      <c r="AE51" s="2" t="b">
        <f t="shared" ref="AE51" si="829">NOT(K51)</f>
        <v>0</v>
      </c>
      <c r="AF51" s="2" t="b">
        <f t="shared" ref="AF51" si="830">OR(I51, J51)</f>
        <v>0</v>
      </c>
      <c r="AI51" s="2" t="b">
        <f t="shared" ref="AI51" si="831">AND(OR(I51, J51), NOT(K51))</f>
        <v>0</v>
      </c>
      <c r="AJ51" s="2" t="b">
        <f t="shared" ref="AJ51" si="832">J51</f>
        <v>0</v>
      </c>
      <c r="AK51" s="2" t="b">
        <f t="shared" ref="AK51" si="833">J51</f>
        <v>0</v>
      </c>
      <c r="AN51" s="2" t="b">
        <f t="shared" ref="AN51:AN52" si="834">K51</f>
        <v>1</v>
      </c>
      <c r="AO51" s="2" t="b">
        <f t="shared" ref="AO51:AO52" si="835">K51</f>
        <v>1</v>
      </c>
      <c r="AR51" s="2" t="b">
        <f t="shared" si="793"/>
        <v>0</v>
      </c>
      <c r="AS51" s="2" t="b">
        <f t="shared" ref="AS51" si="836">J51</f>
        <v>0</v>
      </c>
      <c r="AT51" s="2" t="b">
        <f t="shared" ref="AT51" si="837">J51</f>
        <v>0</v>
      </c>
      <c r="AW51" s="2" t="b">
        <f t="shared" ref="AW51:AW52" si="838">K51</f>
        <v>1</v>
      </c>
      <c r="AX51" s="2" t="b">
        <f t="shared" ref="AX51:AX52" si="839">K51</f>
        <v>1</v>
      </c>
      <c r="AY51" s="2" t="b">
        <f t="shared" ref="AY51:AY52" si="840">K51</f>
        <v>1</v>
      </c>
    </row>
    <row r="52" spans="2:51" ht="18" customHeight="1" x14ac:dyDescent="0.3">
      <c r="B52" s="412"/>
      <c r="C52" s="332"/>
      <c r="D52" s="332"/>
      <c r="E52" s="2" t="s">
        <v>236</v>
      </c>
      <c r="F52" s="2" t="str">
        <f>IF('Full Season Entries'!N17 &lt;&gt; "", LEFT('Full Season Entries'!N17, 1), "")</f>
        <v/>
      </c>
      <c r="G52" s="2" t="b">
        <f t="shared" si="0"/>
        <v>0</v>
      </c>
      <c r="H52" s="2" t="b">
        <f t="shared" si="799"/>
        <v>0</v>
      </c>
      <c r="I52" s="2" t="b">
        <f t="shared" si="800"/>
        <v>0</v>
      </c>
      <c r="J52" s="2" t="b">
        <f t="shared" si="801"/>
        <v>0</v>
      </c>
      <c r="K52" s="27" t="b">
        <f t="shared" si="802"/>
        <v>1</v>
      </c>
      <c r="L52" s="412"/>
      <c r="O52" s="1" t="s">
        <v>388</v>
      </c>
      <c r="P52" s="1" t="b">
        <f t="shared" ref="P52" si="841">IF(SUM(Q49:Q52) &gt; 1, TRUE, FALSE)</f>
        <v>0</v>
      </c>
      <c r="Q52" s="1">
        <f t="shared" si="33"/>
        <v>0</v>
      </c>
      <c r="T52" s="2" t="b">
        <f t="shared" ref="T52" si="842">IF(D49 = 0, FALSE, IF(C49 = 1, CHOOSE(D49, W52, X52, Y52, Z52), IF(C49 = 2, CHOOSE(D49, AC52, AD52, AE52, AF52), IF(C49 = 2.1, K52, IF(C49 = 3, CHOOSE(D49, AI52, AJ52, AK52), IF(C49 = 4, CHOOSE(D49, AN52, AO52), IF(C49 = 5, CHOOSE(D49, AR52, AS52, AT52), IF(C49 = 7, CHOOSE(D49, AW52, AX52, AY52), FALSE))))))))</f>
        <v>0</v>
      </c>
      <c r="W52" s="2" t="b">
        <f t="shared" ref="W52" si="843">K52</f>
        <v>1</v>
      </c>
      <c r="X52" s="2" t="b">
        <f t="shared" ref="X52" si="844">K52</f>
        <v>1</v>
      </c>
      <c r="Y52" s="2" t="b">
        <f t="shared" ref="Y52" si="845">K52</f>
        <v>1</v>
      </c>
      <c r="Z52" s="2" t="b">
        <f t="shared" ref="Z52" si="846">K52</f>
        <v>1</v>
      </c>
      <c r="AC52" s="2" t="b">
        <v>1</v>
      </c>
      <c r="AD52" s="2" t="b">
        <f t="shared" ref="AD52" si="847">NOT(K52)</f>
        <v>0</v>
      </c>
      <c r="AE52" s="2" t="b">
        <v>1</v>
      </c>
      <c r="AF52" s="2" t="b">
        <f t="shared" ref="AF52" si="848">NOT(K52)</f>
        <v>0</v>
      </c>
      <c r="AI52" s="2" t="b">
        <f t="shared" ref="AI52" si="849">K52</f>
        <v>1</v>
      </c>
      <c r="AJ52" s="2" t="b">
        <f t="shared" ref="AJ52" si="850">K52</f>
        <v>1</v>
      </c>
      <c r="AK52" s="2" t="b">
        <f t="shared" ref="AK52" si="851">K52</f>
        <v>1</v>
      </c>
      <c r="AN52" s="2" t="b">
        <f t="shared" si="834"/>
        <v>1</v>
      </c>
      <c r="AO52" s="2" t="b">
        <f t="shared" si="835"/>
        <v>1</v>
      </c>
      <c r="AR52" s="2" t="b">
        <f t="shared" ref="AR52" si="852">K52</f>
        <v>1</v>
      </c>
      <c r="AS52" s="2" t="b">
        <f t="shared" ref="AS52" si="853">K52</f>
        <v>1</v>
      </c>
      <c r="AT52" s="2" t="b">
        <f t="shared" ref="AT52" si="854">K52</f>
        <v>1</v>
      </c>
      <c r="AW52" s="2" t="b">
        <f t="shared" si="838"/>
        <v>1</v>
      </c>
      <c r="AX52" s="2" t="b">
        <f t="shared" si="839"/>
        <v>1</v>
      </c>
      <c r="AY52" s="2" t="b">
        <f t="shared" si="840"/>
        <v>1</v>
      </c>
    </row>
    <row r="53" spans="2:51" ht="18" customHeight="1" x14ac:dyDescent="0.3">
      <c r="B53" s="415">
        <v>13</v>
      </c>
      <c r="C53" s="332">
        <f>IF('Full Season Entries'!AF18 = 2.2, 2, 'Full Season Entries'!AF18)</f>
        <v>0</v>
      </c>
      <c r="D53" s="332">
        <f>'Full Season Entries'!AG18</f>
        <v>0</v>
      </c>
      <c r="E53" s="2" t="s">
        <v>233</v>
      </c>
      <c r="F53" s="2" t="str">
        <f>IF('Full Season Entries'!K18 &lt;&gt; "", LEFT('Full Season Entries'!K18, 1), "")</f>
        <v/>
      </c>
      <c r="G53" s="2" t="b">
        <f>IF(F53 = "P", TRUE, FALSE)</f>
        <v>0</v>
      </c>
      <c r="H53" s="2" t="b">
        <f>IF(F53 = "G", TRUE, FALSE)</f>
        <v>0</v>
      </c>
      <c r="I53" s="2" t="b">
        <f>IF(F53 = "S", TRUE, FALSE)</f>
        <v>0</v>
      </c>
      <c r="J53" s="2" t="b">
        <f>IF(F53 = "B", TRUE, FALSE)</f>
        <v>0</v>
      </c>
      <c r="K53" s="27" t="b">
        <f>IF(AND(IF(G53 = FALSE, TRUE, FALSE), IF(H53 = FALSE, TRUE, FALSE), IF(I53 = FALSE, TRUE, FALSE), IF(J53 = FALSE, TRUE, FALSE)) = TRUE, TRUE, FALSE)</f>
        <v>1</v>
      </c>
      <c r="L53" s="415" t="str">
        <f>IF(P53, "", IF(AND(P54, P55), AND(T53, T54, T55, T56), AND(NOT(P56), T53, T54, T55, T56)))</f>
        <v/>
      </c>
      <c r="O53" s="1" t="s">
        <v>232</v>
      </c>
      <c r="P53" s="1" t="b">
        <f t="shared" ref="P53" si="855">AND(K53, K54, K55, K56)</f>
        <v>1</v>
      </c>
      <c r="Q53" s="1">
        <f t="shared" si="33"/>
        <v>0</v>
      </c>
      <c r="T53" s="2" t="b">
        <f t="shared" ref="T53" si="856">IF(D53 = 0, FALSE, IF(C53 = 1, CHOOSE(D53, W53, X53, Y53, Z53), IF(C53 = 2, CHOOSE(D53, AC53, AD53, AE53, AF53), IF(C53 = 2.1, CHOOSE(D53, AC53, AD53, AE53, AF53), IF(C53 = 3, CHOOSE(D53, AI53, AJ53, AK53), IF(C53 = 4, CHOOSE(D53, AN53, AO53), IF(C53 = 5, CHOOSE(D53, AR53, AS53, AT53), IF(C53 = 7, CHOOSE(D53, AW53, AX53, AY53), FALSE))))))))</f>
        <v>0</v>
      </c>
      <c r="W53" s="2" t="b">
        <f t="shared" ref="W53" si="857">AND(NOT(I53), NOT(K53), NOT(J53))</f>
        <v>0</v>
      </c>
      <c r="X53" s="2" t="b">
        <f t="shared" ref="X53" si="858">AND(NOT(I53), NOT(K53), NOT(J53))</f>
        <v>0</v>
      </c>
      <c r="Y53" s="2" t="b">
        <f t="shared" ref="Y53" si="859">AND(NOT(I53), NOT(K53), NOT(J53))</f>
        <v>0</v>
      </c>
      <c r="Z53" s="2" t="b">
        <f t="shared" ref="Z53" si="860">AND(NOT(I53), NOT(K53), NOT(J53))</f>
        <v>0</v>
      </c>
      <c r="AC53" s="2" t="b">
        <f t="shared" ref="AC53" si="861">AND(NOT(I53), NOT(K53), NOT(J53))</f>
        <v>0</v>
      </c>
      <c r="AD53" s="2" t="b">
        <f t="shared" ref="AD53" si="862">AND(NOT(G53), NOT(K53), NOT(J53))</f>
        <v>0</v>
      </c>
      <c r="AE53" s="2" t="b">
        <f t="shared" ref="AE53" si="863">AND(NOT(I53), NOT(K53), NOT(J53))</f>
        <v>0</v>
      </c>
      <c r="AF53" s="2" t="b">
        <f t="shared" ref="AF53" si="864">AND(NOT(I53), NOT(K53), NOT(J53))</f>
        <v>0</v>
      </c>
      <c r="AI53" s="2" t="b">
        <f t="shared" ref="AI53" si="865">AND(NOT(I53), NOT(K53), NOT(J53))</f>
        <v>0</v>
      </c>
      <c r="AJ53" s="2" t="b">
        <f t="shared" ref="AJ53" si="866">AND(NOT(J53), NOT(K53))</f>
        <v>0</v>
      </c>
      <c r="AK53" s="2" t="b">
        <f t="shared" ref="AK53" si="867">AND(NOT(I53), NOT(K53), NOT(J53))</f>
        <v>0</v>
      </c>
      <c r="AN53" s="2" t="b">
        <f t="shared" ref="AN53" si="868">AND(NOT(I53), NOT(K53), NOT(J53))</f>
        <v>0</v>
      </c>
      <c r="AO53" s="2" t="b">
        <f t="shared" ref="AO53" si="869">AND(NOT(G53), NOT(J53), NOT(K53))</f>
        <v>0</v>
      </c>
      <c r="AR53" s="2" t="b">
        <f t="shared" ref="AR53:AR55" si="870">AND(NOT(J53), NOT(K53))</f>
        <v>0</v>
      </c>
      <c r="AS53" s="2" t="b">
        <f t="shared" ref="AS53" si="871">AND(NOT(I53), NOT(K53), NOT(J53))</f>
        <v>0</v>
      </c>
      <c r="AT53" s="2" t="b">
        <f t="shared" ref="AT53" si="872">AND(NOT(G53), NOT(J53), NOT(K53))</f>
        <v>0</v>
      </c>
      <c r="AW53" s="2" t="b">
        <f t="shared" ref="AW53" si="873">AND(NOT(G53), NOT(J53), NOT(K53))</f>
        <v>0</v>
      </c>
      <c r="AX53" s="2" t="b">
        <f t="shared" ref="AX53" si="874">AND(NOT(J53), NOT(K53))</f>
        <v>0</v>
      </c>
      <c r="AY53" s="2" t="b">
        <f t="shared" ref="AY53" si="875">AND(NOT(G53), NOT(J53), NOT(K53))</f>
        <v>0</v>
      </c>
    </row>
    <row r="54" spans="2:51" ht="18" customHeight="1" x14ac:dyDescent="0.3">
      <c r="B54" s="416"/>
      <c r="C54" s="332"/>
      <c r="D54" s="332"/>
      <c r="E54" s="2" t="s">
        <v>234</v>
      </c>
      <c r="F54" s="2" t="str">
        <f>IF('Full Season Entries'!L18 &lt;&gt; "", LEFT('Full Season Entries'!L18, 1), "")</f>
        <v/>
      </c>
      <c r="G54" s="2" t="b">
        <f t="shared" si="0"/>
        <v>0</v>
      </c>
      <c r="H54" s="2" t="b">
        <f t="shared" ref="H54:H56" si="876">IF(F54 = "G", TRUE, FALSE)</f>
        <v>0</v>
      </c>
      <c r="I54" s="2" t="b">
        <f t="shared" ref="I54:I56" si="877">IF(F54 = "S", TRUE, FALSE)</f>
        <v>0</v>
      </c>
      <c r="J54" s="2" t="b">
        <f t="shared" ref="J54:J56" si="878">IF(F54 = "B", TRUE, FALSE)</f>
        <v>0</v>
      </c>
      <c r="K54" s="27" t="b">
        <f t="shared" ref="K54:K56" si="879">IF(AND(IF(G54 = FALSE, TRUE, FALSE), IF(H54 = FALSE, TRUE, FALSE), IF(I54 = FALSE, TRUE, FALSE), IF(J54 = FALSE, TRUE, FALSE)) = TRUE, TRUE, FALSE)</f>
        <v>1</v>
      </c>
      <c r="L54" s="416"/>
      <c r="O54" s="1" t="s">
        <v>386</v>
      </c>
      <c r="P54" s="1" t="b">
        <f t="shared" ref="P54" si="880">OR(IF(C53 = 2, TRUE, FALSE), IF(C53 = 2.2, TRUE, FALSE))</f>
        <v>0</v>
      </c>
      <c r="Q54" s="1">
        <f t="shared" si="33"/>
        <v>0</v>
      </c>
      <c r="T54" s="2" t="b">
        <f t="shared" ref="T54" si="881">IF(D53 = 0, FALSE, IF(C53 = 1, CHOOSE(D53, W54, X54, Y54, Z54), IF(C53 = 2, CHOOSE(D53, AC54, AD54, AE54, AF54), IF(C53 = 2.1, CHOOSE(D53, AC54, AD54, AE54, AF54), IF(C53 = 3, CHOOSE(D53, AI54, AJ54, AK54), IF(C53 = 4, CHOOSE(D53, AN54, AO54), IF(C53 = 5, CHOOSE(D53, AR54, AS54, AT54), IF(C53 = 7, CHOOSE(D53, AW54, AX54, AY54), FALSE))))))))</f>
        <v>0</v>
      </c>
      <c r="W54" s="2" t="b">
        <f t="shared" ref="W54:W55" si="882">AND(NOT(K54), NOT(J54))</f>
        <v>0</v>
      </c>
      <c r="X54" s="2" t="b">
        <f t="shared" ref="X54" si="883">NOT(K53)</f>
        <v>0</v>
      </c>
      <c r="Y54" s="2" t="b">
        <f t="shared" ref="Y54:Y55" si="884">AND(NOT(K54), NOT(J54))</f>
        <v>0</v>
      </c>
      <c r="Z54" s="2" t="b">
        <f t="shared" ref="Z54" si="885">OR(I54, J54)</f>
        <v>0</v>
      </c>
      <c r="AC54" s="2" t="b">
        <f t="shared" ref="AC54" si="886">AND(NOT(K54), NOT(J54))</f>
        <v>0</v>
      </c>
      <c r="AD54" s="2" t="b">
        <f t="shared" ref="AD54" si="887">J54</f>
        <v>0</v>
      </c>
      <c r="AE54" s="2" t="b">
        <f t="shared" ref="AE54" si="888">AND(NOT(K54), NOT(J54))</f>
        <v>0</v>
      </c>
      <c r="AF54" s="2" t="b">
        <f t="shared" ref="AF54" si="889">J54</f>
        <v>0</v>
      </c>
      <c r="AI54" s="2" t="b">
        <f t="shared" ref="AI54" si="890">AND(NOT(J54), NOT(K54))</f>
        <v>0</v>
      </c>
      <c r="AJ54" s="2" t="b">
        <f t="shared" ref="AJ54" si="891">OR(I54, J54)</f>
        <v>0</v>
      </c>
      <c r="AK54" s="2" t="b">
        <f t="shared" ref="AK54" si="892">OR(I54, J54)</f>
        <v>0</v>
      </c>
      <c r="AN54" s="2" t="b">
        <f t="shared" ref="AN54" si="893">OR(I54, J54)</f>
        <v>0</v>
      </c>
      <c r="AO54" s="2" t="b">
        <f t="shared" ref="AO54" si="894">J54</f>
        <v>0</v>
      </c>
      <c r="AR54" s="2" t="b">
        <f t="shared" si="870"/>
        <v>0</v>
      </c>
      <c r="AS54" s="2" t="b">
        <f t="shared" ref="AS54" si="895">OR(I54, J54)</f>
        <v>0</v>
      </c>
      <c r="AT54" s="2" t="b">
        <f t="shared" ref="AT54" si="896">OR(I54, J54)</f>
        <v>0</v>
      </c>
      <c r="AW54" s="2" t="b">
        <f t="shared" ref="AW54" si="897">J54</f>
        <v>0</v>
      </c>
      <c r="AX54" s="2" t="b">
        <f t="shared" ref="AX54" si="898">J54</f>
        <v>0</v>
      </c>
      <c r="AY54" s="2" t="b">
        <f t="shared" ref="AY54" si="899">J54</f>
        <v>0</v>
      </c>
    </row>
    <row r="55" spans="2:51" ht="18" customHeight="1" x14ac:dyDescent="0.3">
      <c r="B55" s="416"/>
      <c r="C55" s="332"/>
      <c r="D55" s="332"/>
      <c r="E55" s="2" t="s">
        <v>235</v>
      </c>
      <c r="F55" s="2" t="str">
        <f>IF('Full Season Entries'!M18 &lt;&gt; "", LEFT('Full Season Entries'!M18, 1), "")</f>
        <v/>
      </c>
      <c r="G55" s="2" t="b">
        <f t="shared" si="0"/>
        <v>0</v>
      </c>
      <c r="H55" s="2" t="b">
        <f t="shared" si="876"/>
        <v>0</v>
      </c>
      <c r="I55" s="2" t="b">
        <f t="shared" si="877"/>
        <v>0</v>
      </c>
      <c r="J55" s="2" t="b">
        <f t="shared" si="878"/>
        <v>0</v>
      </c>
      <c r="K55" s="27" t="b">
        <f t="shared" si="879"/>
        <v>1</v>
      </c>
      <c r="L55" s="416"/>
      <c r="O55" s="1" t="s">
        <v>387</v>
      </c>
      <c r="P55" s="1" t="b">
        <f t="shared" ref="P55" si="900">OR(IF(D53 = 2, TRUE, FALSE), IF(D53 = 4, TRUE, FALSE))</f>
        <v>0</v>
      </c>
      <c r="Q55" s="1">
        <f t="shared" si="33"/>
        <v>0</v>
      </c>
      <c r="T55" s="2" t="b">
        <f t="shared" ref="T55" si="901">IF(D53 = 0, FALSE, IF(C53 = 1, CHOOSE(D53, W55, X55, Y55, Z55), IF(C53 = 2, CHOOSE(D53, AC55, AD55, AE55, AF55), IF(C53 = 2.1, K55, IF(C53 = 3, CHOOSE(D53, AI55, AJ55, AK55), IF(C53 = 4, CHOOSE(D53, AN55, AO55), IF(C53 = 5, CHOOSE(D53, AR55, AS55, AT55), IF(C53 = 7, CHOOSE(D53, AW55, AX55, AY55), FALSE))))))))</f>
        <v>0</v>
      </c>
      <c r="W55" s="2" t="b">
        <f t="shared" si="882"/>
        <v>0</v>
      </c>
      <c r="X55" s="2" t="b">
        <f t="shared" ref="X55" si="902">OR(I55, J55)</f>
        <v>0</v>
      </c>
      <c r="Y55" s="2" t="b">
        <f t="shared" si="884"/>
        <v>0</v>
      </c>
      <c r="Z55" s="2" t="b">
        <f t="shared" ref="Z55" si="903">J55</f>
        <v>0</v>
      </c>
      <c r="AC55" s="2" t="b">
        <f t="shared" ref="AC55" si="904">NOT(K55)</f>
        <v>0</v>
      </c>
      <c r="AD55" s="2" t="b">
        <f t="shared" ref="AD55" si="905">OR(I55, J55)</f>
        <v>0</v>
      </c>
      <c r="AE55" s="2" t="b">
        <f t="shared" ref="AE55" si="906">NOT(K55)</f>
        <v>0</v>
      </c>
      <c r="AF55" s="2" t="b">
        <f t="shared" ref="AF55" si="907">OR(I55, J55)</f>
        <v>0</v>
      </c>
      <c r="AI55" s="2" t="b">
        <f t="shared" ref="AI55" si="908">AND(OR(I55, J55), NOT(K55))</f>
        <v>0</v>
      </c>
      <c r="AJ55" s="2" t="b">
        <f t="shared" ref="AJ55" si="909">J55</f>
        <v>0</v>
      </c>
      <c r="AK55" s="2" t="b">
        <f t="shared" ref="AK55" si="910">J55</f>
        <v>0</v>
      </c>
      <c r="AN55" s="2" t="b">
        <f t="shared" ref="AN55:AN56" si="911">K55</f>
        <v>1</v>
      </c>
      <c r="AO55" s="2" t="b">
        <f t="shared" ref="AO55:AO56" si="912">K55</f>
        <v>1</v>
      </c>
      <c r="AR55" s="2" t="b">
        <f t="shared" si="870"/>
        <v>0</v>
      </c>
      <c r="AS55" s="2" t="b">
        <f t="shared" ref="AS55" si="913">J55</f>
        <v>0</v>
      </c>
      <c r="AT55" s="2" t="b">
        <f t="shared" ref="AT55" si="914">J55</f>
        <v>0</v>
      </c>
      <c r="AW55" s="2" t="b">
        <f t="shared" ref="AW55:AW56" si="915">K55</f>
        <v>1</v>
      </c>
      <c r="AX55" s="2" t="b">
        <f t="shared" ref="AX55:AX56" si="916">K55</f>
        <v>1</v>
      </c>
      <c r="AY55" s="2" t="b">
        <f t="shared" ref="AY55:AY56" si="917">K55</f>
        <v>1</v>
      </c>
    </row>
    <row r="56" spans="2:51" ht="18" customHeight="1" x14ac:dyDescent="0.3">
      <c r="B56" s="412"/>
      <c r="C56" s="332"/>
      <c r="D56" s="332"/>
      <c r="E56" s="2" t="s">
        <v>236</v>
      </c>
      <c r="F56" s="2" t="str">
        <f>IF('Full Season Entries'!N18 &lt;&gt; "", LEFT('Full Season Entries'!N18, 1), "")</f>
        <v/>
      </c>
      <c r="G56" s="2" t="b">
        <f t="shared" si="0"/>
        <v>0</v>
      </c>
      <c r="H56" s="2" t="b">
        <f t="shared" si="876"/>
        <v>0</v>
      </c>
      <c r="I56" s="2" t="b">
        <f t="shared" si="877"/>
        <v>0</v>
      </c>
      <c r="J56" s="2" t="b">
        <f t="shared" si="878"/>
        <v>0</v>
      </c>
      <c r="K56" s="27" t="b">
        <f t="shared" si="879"/>
        <v>1</v>
      </c>
      <c r="L56" s="412"/>
      <c r="O56" s="1" t="s">
        <v>388</v>
      </c>
      <c r="P56" s="1" t="b">
        <f t="shared" ref="P56" si="918">IF(SUM(Q53:Q56) &gt; 1, TRUE, FALSE)</f>
        <v>0</v>
      </c>
      <c r="Q56" s="1">
        <f t="shared" si="33"/>
        <v>0</v>
      </c>
      <c r="T56" s="2" t="b">
        <f t="shared" ref="T56" si="919">IF(D53 = 0, FALSE, IF(C53 = 1, CHOOSE(D53, W56, X56, Y56, Z56), IF(C53 = 2, CHOOSE(D53, AC56, AD56, AE56, AF56), IF(C53 = 2.1, K56, IF(C53 = 3, CHOOSE(D53, AI56, AJ56, AK56), IF(C53 = 4, CHOOSE(D53, AN56, AO56), IF(C53 = 5, CHOOSE(D53, AR56, AS56, AT56), IF(C53 = 7, CHOOSE(D53, AW56, AX56, AY56), FALSE))))))))</f>
        <v>0</v>
      </c>
      <c r="W56" s="2" t="b">
        <f t="shared" ref="W56" si="920">K56</f>
        <v>1</v>
      </c>
      <c r="X56" s="2" t="b">
        <f t="shared" ref="X56" si="921">K56</f>
        <v>1</v>
      </c>
      <c r="Y56" s="2" t="b">
        <f t="shared" ref="Y56" si="922">K56</f>
        <v>1</v>
      </c>
      <c r="Z56" s="2" t="b">
        <f t="shared" ref="Z56" si="923">K56</f>
        <v>1</v>
      </c>
      <c r="AC56" s="2" t="b">
        <v>1</v>
      </c>
      <c r="AD56" s="2" t="b">
        <f t="shared" ref="AD56" si="924">NOT(K56)</f>
        <v>0</v>
      </c>
      <c r="AE56" s="2" t="b">
        <v>1</v>
      </c>
      <c r="AF56" s="2" t="b">
        <f t="shared" ref="AF56" si="925">NOT(K56)</f>
        <v>0</v>
      </c>
      <c r="AI56" s="2" t="b">
        <f t="shared" ref="AI56" si="926">K56</f>
        <v>1</v>
      </c>
      <c r="AJ56" s="2" t="b">
        <f t="shared" ref="AJ56" si="927">K56</f>
        <v>1</v>
      </c>
      <c r="AK56" s="2" t="b">
        <f t="shared" ref="AK56" si="928">K56</f>
        <v>1</v>
      </c>
      <c r="AN56" s="2" t="b">
        <f t="shared" si="911"/>
        <v>1</v>
      </c>
      <c r="AO56" s="2" t="b">
        <f t="shared" si="912"/>
        <v>1</v>
      </c>
      <c r="AR56" s="2" t="b">
        <f t="shared" ref="AR56" si="929">K56</f>
        <v>1</v>
      </c>
      <c r="AS56" s="2" t="b">
        <f t="shared" ref="AS56" si="930">K56</f>
        <v>1</v>
      </c>
      <c r="AT56" s="2" t="b">
        <f t="shared" ref="AT56" si="931">K56</f>
        <v>1</v>
      </c>
      <c r="AW56" s="2" t="b">
        <f t="shared" si="915"/>
        <v>1</v>
      </c>
      <c r="AX56" s="2" t="b">
        <f t="shared" si="916"/>
        <v>1</v>
      </c>
      <c r="AY56" s="2" t="b">
        <f t="shared" si="917"/>
        <v>1</v>
      </c>
    </row>
    <row r="57" spans="2:51" ht="18" customHeight="1" x14ac:dyDescent="0.3">
      <c r="B57" s="415">
        <v>14</v>
      </c>
      <c r="C57" s="332">
        <f>IF('Full Season Entries'!AF19 = 2.2, 2, 'Full Season Entries'!AF19)</f>
        <v>0</v>
      </c>
      <c r="D57" s="332">
        <f>'Full Season Entries'!AG19</f>
        <v>0</v>
      </c>
      <c r="E57" s="2" t="s">
        <v>233</v>
      </c>
      <c r="F57" s="2" t="str">
        <f>IF('Full Season Entries'!K19 &lt;&gt; "", LEFT('Full Season Entries'!K19, 1), "")</f>
        <v/>
      </c>
      <c r="G57" s="2" t="b">
        <f>IF(F57 = "P", TRUE, FALSE)</f>
        <v>0</v>
      </c>
      <c r="H57" s="2" t="b">
        <f>IF(F57 = "G", TRUE, FALSE)</f>
        <v>0</v>
      </c>
      <c r="I57" s="2" t="b">
        <f>IF(F57 = "S", TRUE, FALSE)</f>
        <v>0</v>
      </c>
      <c r="J57" s="2" t="b">
        <f>IF(F57 = "B", TRUE, FALSE)</f>
        <v>0</v>
      </c>
      <c r="K57" s="27" t="b">
        <f>IF(AND(IF(G57 = FALSE, TRUE, FALSE), IF(H57 = FALSE, TRUE, FALSE), IF(I57 = FALSE, TRUE, FALSE), IF(J57 = FALSE, TRUE, FALSE)) = TRUE, TRUE, FALSE)</f>
        <v>1</v>
      </c>
      <c r="L57" s="415" t="str">
        <f>IF(P57, "", IF(AND(P58, P59), AND(T57, T58, T59, T60), AND(NOT(P60), T57, T58, T59, T60)))</f>
        <v/>
      </c>
      <c r="O57" s="1" t="s">
        <v>232</v>
      </c>
      <c r="P57" s="1" t="b">
        <f t="shared" ref="P57" si="932">AND(K57, K58, K59, K60)</f>
        <v>1</v>
      </c>
      <c r="Q57" s="1">
        <f t="shared" si="33"/>
        <v>0</v>
      </c>
      <c r="T57" s="2" t="b">
        <f t="shared" ref="T57" si="933">IF(D57 = 0, FALSE, IF(C57 = 1, CHOOSE(D57, W57, X57, Y57, Z57), IF(C57 = 2, CHOOSE(D57, AC57, AD57, AE57, AF57), IF(C57 = 2.1, CHOOSE(D57, AC57, AD57, AE57, AF57), IF(C57 = 3, CHOOSE(D57, AI57, AJ57, AK57), IF(C57 = 4, CHOOSE(D57, AN57, AO57), IF(C57 = 5, CHOOSE(D57, AR57, AS57, AT57), IF(C57 = 7, CHOOSE(D57, AW57, AX57, AY57), FALSE))))))))</f>
        <v>0</v>
      </c>
      <c r="W57" s="2" t="b">
        <f t="shared" ref="W57" si="934">AND(NOT(I57), NOT(K57), NOT(J57))</f>
        <v>0</v>
      </c>
      <c r="X57" s="2" t="b">
        <f t="shared" ref="X57" si="935">AND(NOT(I57), NOT(K57), NOT(J57))</f>
        <v>0</v>
      </c>
      <c r="Y57" s="2" t="b">
        <f t="shared" ref="Y57" si="936">AND(NOT(I57), NOT(K57), NOT(J57))</f>
        <v>0</v>
      </c>
      <c r="Z57" s="2" t="b">
        <f t="shared" ref="Z57" si="937">AND(NOT(I57), NOT(K57), NOT(J57))</f>
        <v>0</v>
      </c>
      <c r="AC57" s="2" t="b">
        <f t="shared" ref="AC57" si="938">AND(NOT(I57), NOT(K57), NOT(J57))</f>
        <v>0</v>
      </c>
      <c r="AD57" s="2" t="b">
        <f t="shared" ref="AD57" si="939">AND(NOT(G57), NOT(K57), NOT(J57))</f>
        <v>0</v>
      </c>
      <c r="AE57" s="2" t="b">
        <f t="shared" ref="AE57" si="940">AND(NOT(I57), NOT(K57), NOT(J57))</f>
        <v>0</v>
      </c>
      <c r="AF57" s="2" t="b">
        <f t="shared" ref="AF57" si="941">AND(NOT(I57), NOT(K57), NOT(J57))</f>
        <v>0</v>
      </c>
      <c r="AI57" s="2" t="b">
        <f t="shared" ref="AI57" si="942">AND(NOT(I57), NOT(K57), NOT(J57))</f>
        <v>0</v>
      </c>
      <c r="AJ57" s="2" t="b">
        <f t="shared" ref="AJ57" si="943">AND(NOT(J57), NOT(K57))</f>
        <v>0</v>
      </c>
      <c r="AK57" s="2" t="b">
        <f t="shared" ref="AK57" si="944">AND(NOT(I57), NOT(K57), NOT(J57))</f>
        <v>0</v>
      </c>
      <c r="AN57" s="2" t="b">
        <f t="shared" ref="AN57" si="945">AND(NOT(I57), NOT(K57), NOT(J57))</f>
        <v>0</v>
      </c>
      <c r="AO57" s="2" t="b">
        <f t="shared" ref="AO57" si="946">AND(NOT(G57), NOT(J57), NOT(K57))</f>
        <v>0</v>
      </c>
      <c r="AR57" s="2" t="b">
        <f t="shared" ref="AR57:AR59" si="947">AND(NOT(J57), NOT(K57))</f>
        <v>0</v>
      </c>
      <c r="AS57" s="2" t="b">
        <f t="shared" ref="AS57" si="948">AND(NOT(I57), NOT(K57), NOT(J57))</f>
        <v>0</v>
      </c>
      <c r="AT57" s="2" t="b">
        <f t="shared" ref="AT57" si="949">AND(NOT(G57), NOT(J57), NOT(K57))</f>
        <v>0</v>
      </c>
      <c r="AW57" s="2" t="b">
        <f t="shared" ref="AW57" si="950">AND(NOT(G57), NOT(J57), NOT(K57))</f>
        <v>0</v>
      </c>
      <c r="AX57" s="2" t="b">
        <f t="shared" ref="AX57" si="951">AND(NOT(J57), NOT(K57))</f>
        <v>0</v>
      </c>
      <c r="AY57" s="2" t="b">
        <f t="shared" ref="AY57" si="952">AND(NOT(G57), NOT(J57), NOT(K57))</f>
        <v>0</v>
      </c>
    </row>
    <row r="58" spans="2:51" ht="18" customHeight="1" x14ac:dyDescent="0.3">
      <c r="B58" s="416"/>
      <c r="C58" s="332"/>
      <c r="D58" s="332"/>
      <c r="E58" s="2" t="s">
        <v>234</v>
      </c>
      <c r="F58" s="2" t="str">
        <f>IF('Full Season Entries'!L19 &lt;&gt; "", LEFT('Full Season Entries'!L19, 1), "")</f>
        <v/>
      </c>
      <c r="G58" s="2" t="b">
        <f t="shared" si="0"/>
        <v>0</v>
      </c>
      <c r="H58" s="2" t="b">
        <f t="shared" ref="H58:H60" si="953">IF(F58 = "G", TRUE, FALSE)</f>
        <v>0</v>
      </c>
      <c r="I58" s="2" t="b">
        <f t="shared" ref="I58:I60" si="954">IF(F58 = "S", TRUE, FALSE)</f>
        <v>0</v>
      </c>
      <c r="J58" s="2" t="b">
        <f t="shared" ref="J58:J60" si="955">IF(F58 = "B", TRUE, FALSE)</f>
        <v>0</v>
      </c>
      <c r="K58" s="27" t="b">
        <f t="shared" ref="K58:K60" si="956">IF(AND(IF(G58 = FALSE, TRUE, FALSE), IF(H58 = FALSE, TRUE, FALSE), IF(I58 = FALSE, TRUE, FALSE), IF(J58 = FALSE, TRUE, FALSE)) = TRUE, TRUE, FALSE)</f>
        <v>1</v>
      </c>
      <c r="L58" s="416"/>
      <c r="O58" s="1" t="s">
        <v>386</v>
      </c>
      <c r="P58" s="1" t="b">
        <f t="shared" ref="P58" si="957">OR(IF(C57 = 2, TRUE, FALSE), IF(C57 = 2.2, TRUE, FALSE))</f>
        <v>0</v>
      </c>
      <c r="Q58" s="1">
        <f t="shared" si="33"/>
        <v>0</v>
      </c>
      <c r="T58" s="2" t="b">
        <f t="shared" ref="T58" si="958">IF(D57 = 0, FALSE, IF(C57 = 1, CHOOSE(D57, W58, X58, Y58, Z58), IF(C57 = 2, CHOOSE(D57, AC58, AD58, AE58, AF58), IF(C57 = 2.1, CHOOSE(D57, AC58, AD58, AE58, AF58), IF(C57 = 3, CHOOSE(D57, AI58, AJ58, AK58), IF(C57 = 4, CHOOSE(D57, AN58, AO58), IF(C57 = 5, CHOOSE(D57, AR58, AS58, AT58), IF(C57 = 7, CHOOSE(D57, AW58, AX58, AY58), FALSE))))))))</f>
        <v>0</v>
      </c>
      <c r="W58" s="2" t="b">
        <f t="shared" ref="W58:W59" si="959">AND(NOT(K58), NOT(J58))</f>
        <v>0</v>
      </c>
      <c r="X58" s="2" t="b">
        <f t="shared" ref="X58" si="960">NOT(K57)</f>
        <v>0</v>
      </c>
      <c r="Y58" s="2" t="b">
        <f t="shared" ref="Y58:Y59" si="961">AND(NOT(K58), NOT(J58))</f>
        <v>0</v>
      </c>
      <c r="Z58" s="2" t="b">
        <f t="shared" ref="Z58" si="962">OR(I58, J58)</f>
        <v>0</v>
      </c>
      <c r="AC58" s="2" t="b">
        <f t="shared" ref="AC58" si="963">AND(NOT(K58), NOT(J58))</f>
        <v>0</v>
      </c>
      <c r="AD58" s="2" t="b">
        <f t="shared" ref="AD58" si="964">J58</f>
        <v>0</v>
      </c>
      <c r="AE58" s="2" t="b">
        <f t="shared" ref="AE58" si="965">AND(NOT(K58), NOT(J58))</f>
        <v>0</v>
      </c>
      <c r="AF58" s="2" t="b">
        <f t="shared" ref="AF58" si="966">J58</f>
        <v>0</v>
      </c>
      <c r="AI58" s="2" t="b">
        <f t="shared" ref="AI58" si="967">AND(NOT(J58), NOT(K58))</f>
        <v>0</v>
      </c>
      <c r="AJ58" s="2" t="b">
        <f t="shared" ref="AJ58" si="968">OR(I58, J58)</f>
        <v>0</v>
      </c>
      <c r="AK58" s="2" t="b">
        <f t="shared" ref="AK58" si="969">OR(I58, J58)</f>
        <v>0</v>
      </c>
      <c r="AN58" s="2" t="b">
        <f t="shared" ref="AN58" si="970">OR(I58, J58)</f>
        <v>0</v>
      </c>
      <c r="AO58" s="2" t="b">
        <f t="shared" ref="AO58" si="971">J58</f>
        <v>0</v>
      </c>
      <c r="AR58" s="2" t="b">
        <f t="shared" si="947"/>
        <v>0</v>
      </c>
      <c r="AS58" s="2" t="b">
        <f t="shared" ref="AS58" si="972">OR(I58, J58)</f>
        <v>0</v>
      </c>
      <c r="AT58" s="2" t="b">
        <f t="shared" ref="AT58" si="973">OR(I58, J58)</f>
        <v>0</v>
      </c>
      <c r="AW58" s="2" t="b">
        <f t="shared" ref="AW58" si="974">J58</f>
        <v>0</v>
      </c>
      <c r="AX58" s="2" t="b">
        <f t="shared" ref="AX58" si="975">J58</f>
        <v>0</v>
      </c>
      <c r="AY58" s="2" t="b">
        <f t="shared" ref="AY58" si="976">J58</f>
        <v>0</v>
      </c>
    </row>
    <row r="59" spans="2:51" ht="18" customHeight="1" x14ac:dyDescent="0.3">
      <c r="B59" s="416"/>
      <c r="C59" s="332"/>
      <c r="D59" s="332"/>
      <c r="E59" s="2" t="s">
        <v>235</v>
      </c>
      <c r="F59" s="2" t="str">
        <f>IF('Full Season Entries'!M19 &lt;&gt; "", LEFT('Full Season Entries'!M19, 1), "")</f>
        <v/>
      </c>
      <c r="G59" s="2" t="b">
        <f t="shared" si="0"/>
        <v>0</v>
      </c>
      <c r="H59" s="2" t="b">
        <f t="shared" si="953"/>
        <v>0</v>
      </c>
      <c r="I59" s="2" t="b">
        <f t="shared" si="954"/>
        <v>0</v>
      </c>
      <c r="J59" s="2" t="b">
        <f t="shared" si="955"/>
        <v>0</v>
      </c>
      <c r="K59" s="27" t="b">
        <f t="shared" si="956"/>
        <v>1</v>
      </c>
      <c r="L59" s="416"/>
      <c r="O59" s="1" t="s">
        <v>387</v>
      </c>
      <c r="P59" s="1" t="b">
        <f t="shared" ref="P59" si="977">OR(IF(D57 = 2, TRUE, FALSE), IF(D57 = 4, TRUE, FALSE))</f>
        <v>0</v>
      </c>
      <c r="Q59" s="1">
        <f t="shared" si="33"/>
        <v>0</v>
      </c>
      <c r="T59" s="2" t="b">
        <f t="shared" ref="T59" si="978">IF(D57 = 0, FALSE, IF(C57 = 1, CHOOSE(D57, W59, X59, Y59, Z59), IF(C57 = 2, CHOOSE(D57, AC59, AD59, AE59, AF59), IF(C57 = 2.1, K59, IF(C57 = 3, CHOOSE(D57, AI59, AJ59, AK59), IF(C57 = 4, CHOOSE(D57, AN59, AO59), IF(C57 = 5, CHOOSE(D57, AR59, AS59, AT59), IF(C57 = 7, CHOOSE(D57, AW59, AX59, AY59), FALSE))))))))</f>
        <v>0</v>
      </c>
      <c r="W59" s="2" t="b">
        <f t="shared" si="959"/>
        <v>0</v>
      </c>
      <c r="X59" s="2" t="b">
        <f t="shared" ref="X59" si="979">OR(I59, J59)</f>
        <v>0</v>
      </c>
      <c r="Y59" s="2" t="b">
        <f t="shared" si="961"/>
        <v>0</v>
      </c>
      <c r="Z59" s="2" t="b">
        <f t="shared" ref="Z59" si="980">J59</f>
        <v>0</v>
      </c>
      <c r="AC59" s="2" t="b">
        <f t="shared" ref="AC59" si="981">NOT(K59)</f>
        <v>0</v>
      </c>
      <c r="AD59" s="2" t="b">
        <f t="shared" ref="AD59" si="982">OR(I59, J59)</f>
        <v>0</v>
      </c>
      <c r="AE59" s="2" t="b">
        <f t="shared" ref="AE59" si="983">NOT(K59)</f>
        <v>0</v>
      </c>
      <c r="AF59" s="2" t="b">
        <f t="shared" ref="AF59" si="984">OR(I59, J59)</f>
        <v>0</v>
      </c>
      <c r="AI59" s="2" t="b">
        <f t="shared" ref="AI59" si="985">AND(OR(I59, J59), NOT(K59))</f>
        <v>0</v>
      </c>
      <c r="AJ59" s="2" t="b">
        <f t="shared" ref="AJ59" si="986">J59</f>
        <v>0</v>
      </c>
      <c r="AK59" s="2" t="b">
        <f t="shared" ref="AK59" si="987">J59</f>
        <v>0</v>
      </c>
      <c r="AN59" s="2" t="b">
        <f t="shared" ref="AN59:AN60" si="988">K59</f>
        <v>1</v>
      </c>
      <c r="AO59" s="2" t="b">
        <f t="shared" ref="AO59:AO60" si="989">K59</f>
        <v>1</v>
      </c>
      <c r="AR59" s="2" t="b">
        <f t="shared" si="947"/>
        <v>0</v>
      </c>
      <c r="AS59" s="2" t="b">
        <f t="shared" ref="AS59" si="990">J59</f>
        <v>0</v>
      </c>
      <c r="AT59" s="2" t="b">
        <f t="shared" ref="AT59" si="991">J59</f>
        <v>0</v>
      </c>
      <c r="AW59" s="2" t="b">
        <f t="shared" ref="AW59:AW60" si="992">K59</f>
        <v>1</v>
      </c>
      <c r="AX59" s="2" t="b">
        <f t="shared" ref="AX59:AX60" si="993">K59</f>
        <v>1</v>
      </c>
      <c r="AY59" s="2" t="b">
        <f t="shared" ref="AY59:AY60" si="994">K59</f>
        <v>1</v>
      </c>
    </row>
    <row r="60" spans="2:51" ht="18" customHeight="1" x14ac:dyDescent="0.3">
      <c r="B60" s="412"/>
      <c r="C60" s="332"/>
      <c r="D60" s="332"/>
      <c r="E60" s="2" t="s">
        <v>236</v>
      </c>
      <c r="F60" s="2" t="str">
        <f>IF('Full Season Entries'!N19 &lt;&gt; "", LEFT('Full Season Entries'!N19, 1), "")</f>
        <v/>
      </c>
      <c r="G60" s="2" t="b">
        <f t="shared" si="0"/>
        <v>0</v>
      </c>
      <c r="H60" s="2" t="b">
        <f t="shared" si="953"/>
        <v>0</v>
      </c>
      <c r="I60" s="2" t="b">
        <f t="shared" si="954"/>
        <v>0</v>
      </c>
      <c r="J60" s="2" t="b">
        <f t="shared" si="955"/>
        <v>0</v>
      </c>
      <c r="K60" s="27" t="b">
        <f t="shared" si="956"/>
        <v>1</v>
      </c>
      <c r="L60" s="412"/>
      <c r="O60" s="1" t="s">
        <v>388</v>
      </c>
      <c r="P60" s="1" t="b">
        <f t="shared" ref="P60" si="995">IF(SUM(Q57:Q60) &gt; 1, TRUE, FALSE)</f>
        <v>0</v>
      </c>
      <c r="Q60" s="1">
        <f t="shared" si="33"/>
        <v>0</v>
      </c>
      <c r="T60" s="2" t="b">
        <f t="shared" ref="T60" si="996">IF(D57 = 0, FALSE, IF(C57 = 1, CHOOSE(D57, W60, X60, Y60, Z60), IF(C57 = 2, CHOOSE(D57, AC60, AD60, AE60, AF60), IF(C57 = 2.1, K60, IF(C57 = 3, CHOOSE(D57, AI60, AJ60, AK60), IF(C57 = 4, CHOOSE(D57, AN60, AO60), IF(C57 = 5, CHOOSE(D57, AR60, AS60, AT60), IF(C57 = 7, CHOOSE(D57, AW60, AX60, AY60), FALSE))))))))</f>
        <v>0</v>
      </c>
      <c r="W60" s="2" t="b">
        <f t="shared" ref="W60" si="997">K60</f>
        <v>1</v>
      </c>
      <c r="X60" s="2" t="b">
        <f t="shared" ref="X60" si="998">K60</f>
        <v>1</v>
      </c>
      <c r="Y60" s="2" t="b">
        <f t="shared" ref="Y60" si="999">K60</f>
        <v>1</v>
      </c>
      <c r="Z60" s="2" t="b">
        <f t="shared" ref="Z60" si="1000">K60</f>
        <v>1</v>
      </c>
      <c r="AC60" s="2" t="b">
        <v>1</v>
      </c>
      <c r="AD60" s="2" t="b">
        <f t="shared" ref="AD60" si="1001">NOT(K60)</f>
        <v>0</v>
      </c>
      <c r="AE60" s="2" t="b">
        <v>1</v>
      </c>
      <c r="AF60" s="2" t="b">
        <f t="shared" ref="AF60" si="1002">NOT(K60)</f>
        <v>0</v>
      </c>
      <c r="AI60" s="2" t="b">
        <f t="shared" ref="AI60" si="1003">K60</f>
        <v>1</v>
      </c>
      <c r="AJ60" s="2" t="b">
        <f t="shared" ref="AJ60" si="1004">K60</f>
        <v>1</v>
      </c>
      <c r="AK60" s="2" t="b">
        <f t="shared" ref="AK60" si="1005">K60</f>
        <v>1</v>
      </c>
      <c r="AN60" s="2" t="b">
        <f t="shared" si="988"/>
        <v>1</v>
      </c>
      <c r="AO60" s="2" t="b">
        <f t="shared" si="989"/>
        <v>1</v>
      </c>
      <c r="AR60" s="2" t="b">
        <f t="shared" ref="AR60" si="1006">K60</f>
        <v>1</v>
      </c>
      <c r="AS60" s="2" t="b">
        <f t="shared" ref="AS60" si="1007">K60</f>
        <v>1</v>
      </c>
      <c r="AT60" s="2" t="b">
        <f t="shared" ref="AT60" si="1008">K60</f>
        <v>1</v>
      </c>
      <c r="AW60" s="2" t="b">
        <f t="shared" si="992"/>
        <v>1</v>
      </c>
      <c r="AX60" s="2" t="b">
        <f t="shared" si="993"/>
        <v>1</v>
      </c>
      <c r="AY60" s="2" t="b">
        <f t="shared" si="994"/>
        <v>1</v>
      </c>
    </row>
    <row r="61" spans="2:51" ht="18" customHeight="1" x14ac:dyDescent="0.3">
      <c r="B61" s="415">
        <v>15</v>
      </c>
      <c r="C61" s="332">
        <f>IF('Full Season Entries'!AF20 = 2.2, 2, 'Full Season Entries'!AF20)</f>
        <v>0</v>
      </c>
      <c r="D61" s="332">
        <f>'Full Season Entries'!AG20</f>
        <v>0</v>
      </c>
      <c r="E61" s="2" t="s">
        <v>233</v>
      </c>
      <c r="F61" s="2" t="str">
        <f>IF('Full Season Entries'!K20 &lt;&gt; "", LEFT('Full Season Entries'!K20, 1), "")</f>
        <v/>
      </c>
      <c r="G61" s="2" t="b">
        <f>IF(F61 = "P", TRUE, FALSE)</f>
        <v>0</v>
      </c>
      <c r="H61" s="2" t="b">
        <f>IF(F61 = "G", TRUE, FALSE)</f>
        <v>0</v>
      </c>
      <c r="I61" s="2" t="b">
        <f>IF(F61 = "S", TRUE, FALSE)</f>
        <v>0</v>
      </c>
      <c r="J61" s="2" t="b">
        <f>IF(F61 = "B", TRUE, FALSE)</f>
        <v>0</v>
      </c>
      <c r="K61" s="27" t="b">
        <f>IF(AND(IF(G61 = FALSE, TRUE, FALSE), IF(H61 = FALSE, TRUE, FALSE), IF(I61 = FALSE, TRUE, FALSE), IF(J61 = FALSE, TRUE, FALSE)) = TRUE, TRUE, FALSE)</f>
        <v>1</v>
      </c>
      <c r="L61" s="415" t="str">
        <f>IF(P61, "", IF(AND(P62, P63), AND(T61, T62, T63, T64), AND(NOT(P64), T61, T62, T63, T64)))</f>
        <v/>
      </c>
      <c r="O61" s="1" t="s">
        <v>232</v>
      </c>
      <c r="P61" s="1" t="b">
        <f t="shared" ref="P61" si="1009">AND(K61, K62, K63, K64)</f>
        <v>1</v>
      </c>
      <c r="Q61" s="1">
        <f t="shared" si="33"/>
        <v>0</v>
      </c>
      <c r="T61" s="2" t="b">
        <f t="shared" ref="T61" si="1010">IF(D61 = 0, FALSE, IF(C61 = 1, CHOOSE(D61, W61, X61, Y61, Z61), IF(C61 = 2, CHOOSE(D61, AC61, AD61, AE61, AF61), IF(C61 = 2.1, CHOOSE(D61, AC61, AD61, AE61, AF61), IF(C61 = 3, CHOOSE(D61, AI61, AJ61, AK61), IF(C61 = 4, CHOOSE(D61, AN61, AO61), IF(C61 = 5, CHOOSE(D61, AR61, AS61, AT61), IF(C61 = 7, CHOOSE(D61, AW61, AX61, AY61), FALSE))))))))</f>
        <v>0</v>
      </c>
      <c r="W61" s="2" t="b">
        <f t="shared" ref="W61" si="1011">AND(NOT(I61), NOT(K61), NOT(J61))</f>
        <v>0</v>
      </c>
      <c r="X61" s="2" t="b">
        <f t="shared" ref="X61" si="1012">AND(NOT(I61), NOT(K61), NOT(J61))</f>
        <v>0</v>
      </c>
      <c r="Y61" s="2" t="b">
        <f t="shared" ref="Y61" si="1013">AND(NOT(I61), NOT(K61), NOT(J61))</f>
        <v>0</v>
      </c>
      <c r="Z61" s="2" t="b">
        <f t="shared" ref="Z61" si="1014">AND(NOT(I61), NOT(K61), NOT(J61))</f>
        <v>0</v>
      </c>
      <c r="AC61" s="2" t="b">
        <f t="shared" ref="AC61" si="1015">AND(NOT(I61), NOT(K61), NOT(J61))</f>
        <v>0</v>
      </c>
      <c r="AD61" s="2" t="b">
        <f t="shared" ref="AD61" si="1016">AND(NOT(G61), NOT(K61), NOT(J61))</f>
        <v>0</v>
      </c>
      <c r="AE61" s="2" t="b">
        <f t="shared" ref="AE61" si="1017">AND(NOT(I61), NOT(K61), NOT(J61))</f>
        <v>0</v>
      </c>
      <c r="AF61" s="2" t="b">
        <f t="shared" ref="AF61" si="1018">AND(NOT(I61), NOT(K61), NOT(J61))</f>
        <v>0</v>
      </c>
      <c r="AI61" s="2" t="b">
        <f t="shared" ref="AI61" si="1019">AND(NOT(I61), NOT(K61), NOT(J61))</f>
        <v>0</v>
      </c>
      <c r="AJ61" s="2" t="b">
        <f t="shared" ref="AJ61" si="1020">AND(NOT(J61), NOT(K61))</f>
        <v>0</v>
      </c>
      <c r="AK61" s="2" t="b">
        <f t="shared" ref="AK61" si="1021">AND(NOT(I61), NOT(K61), NOT(J61))</f>
        <v>0</v>
      </c>
      <c r="AN61" s="2" t="b">
        <f t="shared" ref="AN61" si="1022">AND(NOT(I61), NOT(K61), NOT(J61))</f>
        <v>0</v>
      </c>
      <c r="AO61" s="2" t="b">
        <f t="shared" ref="AO61" si="1023">AND(NOT(G61), NOT(J61), NOT(K61))</f>
        <v>0</v>
      </c>
      <c r="AR61" s="2" t="b">
        <f t="shared" ref="AR61:AR63" si="1024">AND(NOT(J61), NOT(K61))</f>
        <v>0</v>
      </c>
      <c r="AS61" s="2" t="b">
        <f t="shared" ref="AS61" si="1025">AND(NOT(I61), NOT(K61), NOT(J61))</f>
        <v>0</v>
      </c>
      <c r="AT61" s="2" t="b">
        <f t="shared" ref="AT61" si="1026">AND(NOT(G61), NOT(J61), NOT(K61))</f>
        <v>0</v>
      </c>
      <c r="AW61" s="2" t="b">
        <f t="shared" ref="AW61" si="1027">AND(NOT(G61), NOT(J61), NOT(K61))</f>
        <v>0</v>
      </c>
      <c r="AX61" s="2" t="b">
        <f t="shared" ref="AX61" si="1028">AND(NOT(J61), NOT(K61))</f>
        <v>0</v>
      </c>
      <c r="AY61" s="2" t="b">
        <f t="shared" ref="AY61" si="1029">AND(NOT(G61), NOT(J61), NOT(K61))</f>
        <v>0</v>
      </c>
    </row>
    <row r="62" spans="2:51" ht="18" customHeight="1" x14ac:dyDescent="0.3">
      <c r="B62" s="416"/>
      <c r="C62" s="332"/>
      <c r="D62" s="332"/>
      <c r="E62" s="2" t="s">
        <v>234</v>
      </c>
      <c r="F62" s="2" t="str">
        <f>IF('Full Season Entries'!L20 &lt;&gt; "", LEFT('Full Season Entries'!L20, 1), "")</f>
        <v/>
      </c>
      <c r="G62" s="2" t="b">
        <f t="shared" si="0"/>
        <v>0</v>
      </c>
      <c r="H62" s="2" t="b">
        <f t="shared" ref="H62:H64" si="1030">IF(F62 = "G", TRUE, FALSE)</f>
        <v>0</v>
      </c>
      <c r="I62" s="2" t="b">
        <f t="shared" ref="I62:I64" si="1031">IF(F62 = "S", TRUE, FALSE)</f>
        <v>0</v>
      </c>
      <c r="J62" s="2" t="b">
        <f t="shared" ref="J62:J64" si="1032">IF(F62 = "B", TRUE, FALSE)</f>
        <v>0</v>
      </c>
      <c r="K62" s="27" t="b">
        <f t="shared" ref="K62:K64" si="1033">IF(AND(IF(G62 = FALSE, TRUE, FALSE), IF(H62 = FALSE, TRUE, FALSE), IF(I62 = FALSE, TRUE, FALSE), IF(J62 = FALSE, TRUE, FALSE)) = TRUE, TRUE, FALSE)</f>
        <v>1</v>
      </c>
      <c r="L62" s="416"/>
      <c r="O62" s="1" t="s">
        <v>386</v>
      </c>
      <c r="P62" s="1" t="b">
        <f t="shared" ref="P62" si="1034">OR(IF(C61 = 2, TRUE, FALSE), IF(C61 = 2.2, TRUE, FALSE))</f>
        <v>0</v>
      </c>
      <c r="Q62" s="1">
        <f t="shared" si="33"/>
        <v>0</v>
      </c>
      <c r="T62" s="2" t="b">
        <f t="shared" ref="T62" si="1035">IF(D61 = 0, FALSE, IF(C61 = 1, CHOOSE(D61, W62, X62, Y62, Z62), IF(C61 = 2, CHOOSE(D61, AC62, AD62, AE62, AF62), IF(C61 = 2.1, CHOOSE(D61, AC62, AD62, AE62, AF62), IF(C61 = 3, CHOOSE(D61, AI62, AJ62, AK62), IF(C61 = 4, CHOOSE(D61, AN62, AO62), IF(C61 = 5, CHOOSE(D61, AR62, AS62, AT62), IF(C61 = 7, CHOOSE(D61, AW62, AX62, AY62), FALSE))))))))</f>
        <v>0</v>
      </c>
      <c r="W62" s="2" t="b">
        <f t="shared" ref="W62:W63" si="1036">AND(NOT(K62), NOT(J62))</f>
        <v>0</v>
      </c>
      <c r="X62" s="2" t="b">
        <f t="shared" ref="X62" si="1037">NOT(K61)</f>
        <v>0</v>
      </c>
      <c r="Y62" s="2" t="b">
        <f t="shared" ref="Y62:Y63" si="1038">AND(NOT(K62), NOT(J62))</f>
        <v>0</v>
      </c>
      <c r="Z62" s="2" t="b">
        <f t="shared" ref="Z62" si="1039">OR(I62, J62)</f>
        <v>0</v>
      </c>
      <c r="AC62" s="2" t="b">
        <f t="shared" ref="AC62" si="1040">AND(NOT(K62), NOT(J62))</f>
        <v>0</v>
      </c>
      <c r="AD62" s="2" t="b">
        <f t="shared" ref="AD62" si="1041">J62</f>
        <v>0</v>
      </c>
      <c r="AE62" s="2" t="b">
        <f t="shared" ref="AE62" si="1042">AND(NOT(K62), NOT(J62))</f>
        <v>0</v>
      </c>
      <c r="AF62" s="2" t="b">
        <f t="shared" ref="AF62" si="1043">J62</f>
        <v>0</v>
      </c>
      <c r="AI62" s="2" t="b">
        <f t="shared" ref="AI62" si="1044">AND(NOT(J62), NOT(K62))</f>
        <v>0</v>
      </c>
      <c r="AJ62" s="2" t="b">
        <f t="shared" ref="AJ62" si="1045">OR(I62, J62)</f>
        <v>0</v>
      </c>
      <c r="AK62" s="2" t="b">
        <f t="shared" ref="AK62" si="1046">OR(I62, J62)</f>
        <v>0</v>
      </c>
      <c r="AN62" s="2" t="b">
        <f t="shared" ref="AN62" si="1047">OR(I62, J62)</f>
        <v>0</v>
      </c>
      <c r="AO62" s="2" t="b">
        <f t="shared" ref="AO62" si="1048">J62</f>
        <v>0</v>
      </c>
      <c r="AR62" s="2" t="b">
        <f t="shared" si="1024"/>
        <v>0</v>
      </c>
      <c r="AS62" s="2" t="b">
        <f t="shared" ref="AS62" si="1049">OR(I62, J62)</f>
        <v>0</v>
      </c>
      <c r="AT62" s="2" t="b">
        <f t="shared" ref="AT62" si="1050">OR(I62, J62)</f>
        <v>0</v>
      </c>
      <c r="AW62" s="2" t="b">
        <f t="shared" ref="AW62" si="1051">J62</f>
        <v>0</v>
      </c>
      <c r="AX62" s="2" t="b">
        <f t="shared" ref="AX62" si="1052">J62</f>
        <v>0</v>
      </c>
      <c r="AY62" s="2" t="b">
        <f t="shared" ref="AY62" si="1053">J62</f>
        <v>0</v>
      </c>
    </row>
    <row r="63" spans="2:51" ht="18" customHeight="1" x14ac:dyDescent="0.3">
      <c r="B63" s="416"/>
      <c r="C63" s="332"/>
      <c r="D63" s="332"/>
      <c r="E63" s="2" t="s">
        <v>235</v>
      </c>
      <c r="F63" s="2" t="str">
        <f>IF('Full Season Entries'!M20 &lt;&gt; "", LEFT('Full Season Entries'!M20, 1), "")</f>
        <v/>
      </c>
      <c r="G63" s="2" t="b">
        <f t="shared" si="0"/>
        <v>0</v>
      </c>
      <c r="H63" s="2" t="b">
        <f t="shared" si="1030"/>
        <v>0</v>
      </c>
      <c r="I63" s="2" t="b">
        <f t="shared" si="1031"/>
        <v>0</v>
      </c>
      <c r="J63" s="2" t="b">
        <f t="shared" si="1032"/>
        <v>0</v>
      </c>
      <c r="K63" s="27" t="b">
        <f t="shared" si="1033"/>
        <v>1</v>
      </c>
      <c r="L63" s="416"/>
      <c r="O63" s="1" t="s">
        <v>387</v>
      </c>
      <c r="P63" s="1" t="b">
        <f t="shared" ref="P63" si="1054">OR(IF(D61 = 2, TRUE, FALSE), IF(D61 = 4, TRUE, FALSE))</f>
        <v>0</v>
      </c>
      <c r="Q63" s="1">
        <f t="shared" si="33"/>
        <v>0</v>
      </c>
      <c r="T63" s="2" t="b">
        <f t="shared" ref="T63" si="1055">IF(D61 = 0, FALSE, IF(C61 = 1, CHOOSE(D61, W63, X63, Y63, Z63), IF(C61 = 2, CHOOSE(D61, AC63, AD63, AE63, AF63), IF(C61 = 2.1, K63, IF(C61 = 3, CHOOSE(D61, AI63, AJ63, AK63), IF(C61 = 4, CHOOSE(D61, AN63, AO63), IF(C61 = 5, CHOOSE(D61, AR63, AS63, AT63), IF(C61 = 7, CHOOSE(D61, AW63, AX63, AY63), FALSE))))))))</f>
        <v>0</v>
      </c>
      <c r="W63" s="2" t="b">
        <f t="shared" si="1036"/>
        <v>0</v>
      </c>
      <c r="X63" s="2" t="b">
        <f t="shared" ref="X63" si="1056">OR(I63, J63)</f>
        <v>0</v>
      </c>
      <c r="Y63" s="2" t="b">
        <f t="shared" si="1038"/>
        <v>0</v>
      </c>
      <c r="Z63" s="2" t="b">
        <f t="shared" ref="Z63" si="1057">J63</f>
        <v>0</v>
      </c>
      <c r="AC63" s="2" t="b">
        <f t="shared" ref="AC63" si="1058">NOT(K63)</f>
        <v>0</v>
      </c>
      <c r="AD63" s="2" t="b">
        <f t="shared" ref="AD63" si="1059">OR(I63, J63)</f>
        <v>0</v>
      </c>
      <c r="AE63" s="2" t="b">
        <f t="shared" ref="AE63" si="1060">NOT(K63)</f>
        <v>0</v>
      </c>
      <c r="AF63" s="2" t="b">
        <f t="shared" ref="AF63" si="1061">OR(I63, J63)</f>
        <v>0</v>
      </c>
      <c r="AI63" s="2" t="b">
        <f t="shared" ref="AI63" si="1062">AND(OR(I63, J63), NOT(K63))</f>
        <v>0</v>
      </c>
      <c r="AJ63" s="2" t="b">
        <f t="shared" ref="AJ63" si="1063">J63</f>
        <v>0</v>
      </c>
      <c r="AK63" s="2" t="b">
        <f t="shared" ref="AK63" si="1064">J63</f>
        <v>0</v>
      </c>
      <c r="AN63" s="2" t="b">
        <f t="shared" ref="AN63:AN64" si="1065">K63</f>
        <v>1</v>
      </c>
      <c r="AO63" s="2" t="b">
        <f t="shared" ref="AO63:AO64" si="1066">K63</f>
        <v>1</v>
      </c>
      <c r="AR63" s="2" t="b">
        <f t="shared" si="1024"/>
        <v>0</v>
      </c>
      <c r="AS63" s="2" t="b">
        <f t="shared" ref="AS63" si="1067">J63</f>
        <v>0</v>
      </c>
      <c r="AT63" s="2" t="b">
        <f t="shared" ref="AT63" si="1068">J63</f>
        <v>0</v>
      </c>
      <c r="AW63" s="2" t="b">
        <f t="shared" ref="AW63:AW64" si="1069">K63</f>
        <v>1</v>
      </c>
      <c r="AX63" s="2" t="b">
        <f t="shared" ref="AX63:AX64" si="1070">K63</f>
        <v>1</v>
      </c>
      <c r="AY63" s="2" t="b">
        <f t="shared" ref="AY63:AY64" si="1071">K63</f>
        <v>1</v>
      </c>
    </row>
    <row r="64" spans="2:51" ht="18" customHeight="1" x14ac:dyDescent="0.3">
      <c r="B64" s="412"/>
      <c r="C64" s="332"/>
      <c r="D64" s="332"/>
      <c r="E64" s="2" t="s">
        <v>236</v>
      </c>
      <c r="F64" s="2" t="str">
        <f>IF('Full Season Entries'!N20 &lt;&gt; "", LEFT('Full Season Entries'!N20, 1), "")</f>
        <v/>
      </c>
      <c r="G64" s="2" t="b">
        <f t="shared" si="0"/>
        <v>0</v>
      </c>
      <c r="H64" s="2" t="b">
        <f t="shared" si="1030"/>
        <v>0</v>
      </c>
      <c r="I64" s="2" t="b">
        <f t="shared" si="1031"/>
        <v>0</v>
      </c>
      <c r="J64" s="2" t="b">
        <f t="shared" si="1032"/>
        <v>0</v>
      </c>
      <c r="K64" s="27" t="b">
        <f t="shared" si="1033"/>
        <v>1</v>
      </c>
      <c r="L64" s="412"/>
      <c r="O64" s="1" t="s">
        <v>388</v>
      </c>
      <c r="P64" s="1" t="b">
        <f t="shared" ref="P64" si="1072">IF(SUM(Q61:Q64) &gt; 1, TRUE, FALSE)</f>
        <v>0</v>
      </c>
      <c r="Q64" s="1">
        <f t="shared" si="33"/>
        <v>0</v>
      </c>
      <c r="T64" s="2" t="b">
        <f t="shared" ref="T64" si="1073">IF(D61 = 0, FALSE, IF(C61 = 1, CHOOSE(D61, W64, X64, Y64, Z64), IF(C61 = 2, CHOOSE(D61, AC64, AD64, AE64, AF64), IF(C61 = 2.1, K64, IF(C61 = 3, CHOOSE(D61, AI64, AJ64, AK64), IF(C61 = 4, CHOOSE(D61, AN64, AO64), IF(C61 = 5, CHOOSE(D61, AR64, AS64, AT64), IF(C61 = 7, CHOOSE(D61, AW64, AX64, AY64), FALSE))))))))</f>
        <v>0</v>
      </c>
      <c r="W64" s="2" t="b">
        <f t="shared" ref="W64" si="1074">K64</f>
        <v>1</v>
      </c>
      <c r="X64" s="2" t="b">
        <f t="shared" ref="X64" si="1075">K64</f>
        <v>1</v>
      </c>
      <c r="Y64" s="2" t="b">
        <f t="shared" ref="Y64" si="1076">K64</f>
        <v>1</v>
      </c>
      <c r="Z64" s="2" t="b">
        <f t="shared" ref="Z64" si="1077">K64</f>
        <v>1</v>
      </c>
      <c r="AC64" s="2" t="b">
        <v>1</v>
      </c>
      <c r="AD64" s="2" t="b">
        <f t="shared" ref="AD64" si="1078">NOT(K64)</f>
        <v>0</v>
      </c>
      <c r="AE64" s="2" t="b">
        <v>1</v>
      </c>
      <c r="AF64" s="2" t="b">
        <f t="shared" ref="AF64" si="1079">NOT(K64)</f>
        <v>0</v>
      </c>
      <c r="AI64" s="2" t="b">
        <f t="shared" ref="AI64" si="1080">K64</f>
        <v>1</v>
      </c>
      <c r="AJ64" s="2" t="b">
        <f t="shared" ref="AJ64" si="1081">K64</f>
        <v>1</v>
      </c>
      <c r="AK64" s="2" t="b">
        <f t="shared" ref="AK64" si="1082">K64</f>
        <v>1</v>
      </c>
      <c r="AN64" s="2" t="b">
        <f t="shared" si="1065"/>
        <v>1</v>
      </c>
      <c r="AO64" s="2" t="b">
        <f t="shared" si="1066"/>
        <v>1</v>
      </c>
      <c r="AR64" s="2" t="b">
        <f t="shared" ref="AR64" si="1083">K64</f>
        <v>1</v>
      </c>
      <c r="AS64" s="2" t="b">
        <f t="shared" ref="AS64" si="1084">K64</f>
        <v>1</v>
      </c>
      <c r="AT64" s="2" t="b">
        <f t="shared" ref="AT64" si="1085">K64</f>
        <v>1</v>
      </c>
      <c r="AW64" s="2" t="b">
        <f t="shared" si="1069"/>
        <v>1</v>
      </c>
      <c r="AX64" s="2" t="b">
        <f t="shared" si="1070"/>
        <v>1</v>
      </c>
      <c r="AY64" s="2" t="b">
        <f t="shared" si="1071"/>
        <v>1</v>
      </c>
    </row>
    <row r="65" spans="2:51" ht="18" customHeight="1" x14ac:dyDescent="0.3">
      <c r="B65" s="415">
        <v>16</v>
      </c>
      <c r="C65" s="332">
        <f>IF('Full Season Entries'!AF21 = 2.2, 2, 'Full Season Entries'!AF21)</f>
        <v>0</v>
      </c>
      <c r="D65" s="332">
        <f>'Full Season Entries'!AG21</f>
        <v>0</v>
      </c>
      <c r="E65" s="2" t="s">
        <v>233</v>
      </c>
      <c r="F65" s="2" t="str">
        <f>IF('Full Season Entries'!K21 &lt;&gt; "", LEFT('Full Season Entries'!K21, 1), "")</f>
        <v/>
      </c>
      <c r="G65" s="2" t="b">
        <f>IF(F65 = "P", TRUE, FALSE)</f>
        <v>0</v>
      </c>
      <c r="H65" s="2" t="b">
        <f>IF(F65 = "G", TRUE, FALSE)</f>
        <v>0</v>
      </c>
      <c r="I65" s="2" t="b">
        <f>IF(F65 = "S", TRUE, FALSE)</f>
        <v>0</v>
      </c>
      <c r="J65" s="2" t="b">
        <f>IF(F65 = "B", TRUE, FALSE)</f>
        <v>0</v>
      </c>
      <c r="K65" s="27" t="b">
        <f>IF(AND(IF(G65 = FALSE, TRUE, FALSE), IF(H65 = FALSE, TRUE, FALSE), IF(I65 = FALSE, TRUE, FALSE), IF(J65 = FALSE, TRUE, FALSE)) = TRUE, TRUE, FALSE)</f>
        <v>1</v>
      </c>
      <c r="L65" s="415" t="str">
        <f>IF(P65, "", IF(AND(P66, P67), AND(T65, T66, T67, T68), AND(NOT(P68), T65, T66, T67, T68)))</f>
        <v/>
      </c>
      <c r="O65" s="1" t="s">
        <v>232</v>
      </c>
      <c r="P65" s="1" t="b">
        <f t="shared" ref="P65" si="1086">AND(K65, K66, K67, K68)</f>
        <v>1</v>
      </c>
      <c r="Q65" s="1">
        <f t="shared" si="33"/>
        <v>0</v>
      </c>
      <c r="T65" s="2" t="b">
        <f t="shared" ref="T65" si="1087">IF(D65 = 0, FALSE, IF(C65 = 1, CHOOSE(D65, W65, X65, Y65, Z65), IF(C65 = 2, CHOOSE(D65, AC65, AD65, AE65, AF65), IF(C65 = 2.1, CHOOSE(D65, AC65, AD65, AE65, AF65), IF(C65 = 3, CHOOSE(D65, AI65, AJ65, AK65), IF(C65 = 4, CHOOSE(D65, AN65, AO65), IF(C65 = 5, CHOOSE(D65, AR65, AS65, AT65), IF(C65 = 7, CHOOSE(D65, AW65, AX65, AY65), FALSE))))))))</f>
        <v>0</v>
      </c>
      <c r="W65" s="2" t="b">
        <f t="shared" ref="W65" si="1088">AND(NOT(I65), NOT(K65), NOT(J65))</f>
        <v>0</v>
      </c>
      <c r="X65" s="2" t="b">
        <f t="shared" ref="X65" si="1089">AND(NOT(I65), NOT(K65), NOT(J65))</f>
        <v>0</v>
      </c>
      <c r="Y65" s="2" t="b">
        <f t="shared" ref="Y65" si="1090">AND(NOT(I65), NOT(K65), NOT(J65))</f>
        <v>0</v>
      </c>
      <c r="Z65" s="2" t="b">
        <f t="shared" ref="Z65" si="1091">AND(NOT(I65), NOT(K65), NOT(J65))</f>
        <v>0</v>
      </c>
      <c r="AC65" s="2" t="b">
        <f t="shared" ref="AC65" si="1092">AND(NOT(I65), NOT(K65), NOT(J65))</f>
        <v>0</v>
      </c>
      <c r="AD65" s="2" t="b">
        <f t="shared" ref="AD65" si="1093">AND(NOT(G65), NOT(K65), NOT(J65))</f>
        <v>0</v>
      </c>
      <c r="AE65" s="2" t="b">
        <f t="shared" ref="AE65" si="1094">AND(NOT(I65), NOT(K65), NOT(J65))</f>
        <v>0</v>
      </c>
      <c r="AF65" s="2" t="b">
        <f t="shared" ref="AF65" si="1095">AND(NOT(I65), NOT(K65), NOT(J65))</f>
        <v>0</v>
      </c>
      <c r="AI65" s="2" t="b">
        <f t="shared" ref="AI65" si="1096">AND(NOT(I65), NOT(K65), NOT(J65))</f>
        <v>0</v>
      </c>
      <c r="AJ65" s="2" t="b">
        <f t="shared" ref="AJ65" si="1097">AND(NOT(J65), NOT(K65))</f>
        <v>0</v>
      </c>
      <c r="AK65" s="2" t="b">
        <f t="shared" ref="AK65" si="1098">AND(NOT(I65), NOT(K65), NOT(J65))</f>
        <v>0</v>
      </c>
      <c r="AN65" s="2" t="b">
        <f t="shared" ref="AN65" si="1099">AND(NOT(I65), NOT(K65), NOT(J65))</f>
        <v>0</v>
      </c>
      <c r="AO65" s="2" t="b">
        <f t="shared" ref="AO65" si="1100">AND(NOT(G65), NOT(J65), NOT(K65))</f>
        <v>0</v>
      </c>
      <c r="AR65" s="2" t="b">
        <f t="shared" ref="AR65:AR67" si="1101">AND(NOT(J65), NOT(K65))</f>
        <v>0</v>
      </c>
      <c r="AS65" s="2" t="b">
        <f t="shared" ref="AS65" si="1102">AND(NOT(I65), NOT(K65), NOT(J65))</f>
        <v>0</v>
      </c>
      <c r="AT65" s="2" t="b">
        <f t="shared" ref="AT65" si="1103">AND(NOT(G65), NOT(J65), NOT(K65))</f>
        <v>0</v>
      </c>
      <c r="AW65" s="2" t="b">
        <f t="shared" ref="AW65" si="1104">AND(NOT(G65), NOT(J65), NOT(K65))</f>
        <v>0</v>
      </c>
      <c r="AX65" s="2" t="b">
        <f t="shared" ref="AX65" si="1105">AND(NOT(J65), NOT(K65))</f>
        <v>0</v>
      </c>
      <c r="AY65" s="2" t="b">
        <f t="shared" ref="AY65" si="1106">AND(NOT(G65), NOT(J65), NOT(K65))</f>
        <v>0</v>
      </c>
    </row>
    <row r="66" spans="2:51" ht="18" customHeight="1" x14ac:dyDescent="0.3">
      <c r="B66" s="416"/>
      <c r="C66" s="332"/>
      <c r="D66" s="332"/>
      <c r="E66" s="2" t="s">
        <v>234</v>
      </c>
      <c r="F66" s="2" t="str">
        <f>IF('Full Season Entries'!L21 &lt;&gt; "", LEFT('Full Season Entries'!L21, 1), "")</f>
        <v/>
      </c>
      <c r="G66" s="2" t="b">
        <f t="shared" si="0"/>
        <v>0</v>
      </c>
      <c r="H66" s="2" t="b">
        <f t="shared" ref="H66:H68" si="1107">IF(F66 = "G", TRUE, FALSE)</f>
        <v>0</v>
      </c>
      <c r="I66" s="2" t="b">
        <f t="shared" ref="I66:I68" si="1108">IF(F66 = "S", TRUE, FALSE)</f>
        <v>0</v>
      </c>
      <c r="J66" s="2" t="b">
        <f t="shared" ref="J66:J68" si="1109">IF(F66 = "B", TRUE, FALSE)</f>
        <v>0</v>
      </c>
      <c r="K66" s="27" t="b">
        <f t="shared" ref="K66:K68" si="1110">IF(AND(IF(G66 = FALSE, TRUE, FALSE), IF(H66 = FALSE, TRUE, FALSE), IF(I66 = FALSE, TRUE, FALSE), IF(J66 = FALSE, TRUE, FALSE)) = TRUE, TRUE, FALSE)</f>
        <v>1</v>
      </c>
      <c r="L66" s="416"/>
      <c r="O66" s="1" t="s">
        <v>386</v>
      </c>
      <c r="P66" s="1" t="b">
        <f t="shared" ref="P66" si="1111">OR(IF(C65 = 2, TRUE, FALSE), IF(C65 = 2.2, TRUE, FALSE))</f>
        <v>0</v>
      </c>
      <c r="Q66" s="1">
        <f t="shared" si="33"/>
        <v>0</v>
      </c>
      <c r="T66" s="2" t="b">
        <f t="shared" ref="T66" si="1112">IF(D65 = 0, FALSE, IF(C65 = 1, CHOOSE(D65, W66, X66, Y66, Z66), IF(C65 = 2, CHOOSE(D65, AC66, AD66, AE66, AF66), IF(C65 = 2.1, CHOOSE(D65, AC66, AD66, AE66, AF66), IF(C65 = 3, CHOOSE(D65, AI66, AJ66, AK66), IF(C65 = 4, CHOOSE(D65, AN66, AO66), IF(C65 = 5, CHOOSE(D65, AR66, AS66, AT66), IF(C65 = 7, CHOOSE(D65, AW66, AX66, AY66), FALSE))))))))</f>
        <v>0</v>
      </c>
      <c r="W66" s="2" t="b">
        <f t="shared" ref="W66:W67" si="1113">AND(NOT(K66), NOT(J66))</f>
        <v>0</v>
      </c>
      <c r="X66" s="2" t="b">
        <f t="shared" ref="X66" si="1114">NOT(K65)</f>
        <v>0</v>
      </c>
      <c r="Y66" s="2" t="b">
        <f t="shared" ref="Y66:Y67" si="1115">AND(NOT(K66), NOT(J66))</f>
        <v>0</v>
      </c>
      <c r="Z66" s="2" t="b">
        <f t="shared" ref="Z66" si="1116">OR(I66, J66)</f>
        <v>0</v>
      </c>
      <c r="AC66" s="2" t="b">
        <f t="shared" ref="AC66" si="1117">AND(NOT(K66), NOT(J66))</f>
        <v>0</v>
      </c>
      <c r="AD66" s="2" t="b">
        <f t="shared" ref="AD66" si="1118">J66</f>
        <v>0</v>
      </c>
      <c r="AE66" s="2" t="b">
        <f t="shared" ref="AE66" si="1119">AND(NOT(K66), NOT(J66))</f>
        <v>0</v>
      </c>
      <c r="AF66" s="2" t="b">
        <f t="shared" ref="AF66" si="1120">J66</f>
        <v>0</v>
      </c>
      <c r="AI66" s="2" t="b">
        <f t="shared" ref="AI66" si="1121">AND(NOT(J66), NOT(K66))</f>
        <v>0</v>
      </c>
      <c r="AJ66" s="2" t="b">
        <f t="shared" ref="AJ66" si="1122">OR(I66, J66)</f>
        <v>0</v>
      </c>
      <c r="AK66" s="2" t="b">
        <f t="shared" ref="AK66" si="1123">OR(I66, J66)</f>
        <v>0</v>
      </c>
      <c r="AN66" s="2" t="b">
        <f t="shared" ref="AN66" si="1124">OR(I66, J66)</f>
        <v>0</v>
      </c>
      <c r="AO66" s="2" t="b">
        <f t="shared" ref="AO66" si="1125">J66</f>
        <v>0</v>
      </c>
      <c r="AR66" s="2" t="b">
        <f t="shared" si="1101"/>
        <v>0</v>
      </c>
      <c r="AS66" s="2" t="b">
        <f t="shared" ref="AS66" si="1126">OR(I66, J66)</f>
        <v>0</v>
      </c>
      <c r="AT66" s="2" t="b">
        <f t="shared" ref="AT66" si="1127">OR(I66, J66)</f>
        <v>0</v>
      </c>
      <c r="AW66" s="2" t="b">
        <f t="shared" ref="AW66" si="1128">J66</f>
        <v>0</v>
      </c>
      <c r="AX66" s="2" t="b">
        <f t="shared" ref="AX66" si="1129">J66</f>
        <v>0</v>
      </c>
      <c r="AY66" s="2" t="b">
        <f t="shared" ref="AY66" si="1130">J66</f>
        <v>0</v>
      </c>
    </row>
    <row r="67" spans="2:51" ht="18" customHeight="1" x14ac:dyDescent="0.3">
      <c r="B67" s="416"/>
      <c r="C67" s="332"/>
      <c r="D67" s="332"/>
      <c r="E67" s="2" t="s">
        <v>235</v>
      </c>
      <c r="F67" s="2" t="str">
        <f>IF('Full Season Entries'!M21 &lt;&gt; "", LEFT('Full Season Entries'!M21, 1), "")</f>
        <v/>
      </c>
      <c r="G67" s="2" t="b">
        <f t="shared" si="0"/>
        <v>0</v>
      </c>
      <c r="H67" s="2" t="b">
        <f t="shared" si="1107"/>
        <v>0</v>
      </c>
      <c r="I67" s="2" t="b">
        <f t="shared" si="1108"/>
        <v>0</v>
      </c>
      <c r="J67" s="2" t="b">
        <f t="shared" si="1109"/>
        <v>0</v>
      </c>
      <c r="K67" s="27" t="b">
        <f t="shared" si="1110"/>
        <v>1</v>
      </c>
      <c r="L67" s="416"/>
      <c r="O67" s="1" t="s">
        <v>387</v>
      </c>
      <c r="P67" s="1" t="b">
        <f t="shared" ref="P67" si="1131">OR(IF(D65 = 2, TRUE, FALSE), IF(D65 = 4, TRUE, FALSE))</f>
        <v>0</v>
      </c>
      <c r="Q67" s="1">
        <f t="shared" si="33"/>
        <v>0</v>
      </c>
      <c r="T67" s="2" t="b">
        <f t="shared" ref="T67" si="1132">IF(D65 = 0, FALSE, IF(C65 = 1, CHOOSE(D65, W67, X67, Y67, Z67), IF(C65 = 2, CHOOSE(D65, AC67, AD67, AE67, AF67), IF(C65 = 2.1, K67, IF(C65 = 3, CHOOSE(D65, AI67, AJ67, AK67), IF(C65 = 4, CHOOSE(D65, AN67, AO67), IF(C65 = 5, CHOOSE(D65, AR67, AS67, AT67), IF(C65 = 7, CHOOSE(D65, AW67, AX67, AY67), FALSE))))))))</f>
        <v>0</v>
      </c>
      <c r="W67" s="2" t="b">
        <f t="shared" si="1113"/>
        <v>0</v>
      </c>
      <c r="X67" s="2" t="b">
        <f t="shared" ref="X67" si="1133">OR(I67, J67)</f>
        <v>0</v>
      </c>
      <c r="Y67" s="2" t="b">
        <f t="shared" si="1115"/>
        <v>0</v>
      </c>
      <c r="Z67" s="2" t="b">
        <f t="shared" ref="Z67" si="1134">J67</f>
        <v>0</v>
      </c>
      <c r="AC67" s="2" t="b">
        <f t="shared" ref="AC67" si="1135">NOT(K67)</f>
        <v>0</v>
      </c>
      <c r="AD67" s="2" t="b">
        <f t="shared" ref="AD67" si="1136">OR(I67, J67)</f>
        <v>0</v>
      </c>
      <c r="AE67" s="2" t="b">
        <f t="shared" ref="AE67" si="1137">NOT(K67)</f>
        <v>0</v>
      </c>
      <c r="AF67" s="2" t="b">
        <f t="shared" ref="AF67" si="1138">OR(I67, J67)</f>
        <v>0</v>
      </c>
      <c r="AI67" s="2" t="b">
        <f t="shared" ref="AI67" si="1139">AND(OR(I67, J67), NOT(K67))</f>
        <v>0</v>
      </c>
      <c r="AJ67" s="2" t="b">
        <f t="shared" ref="AJ67" si="1140">J67</f>
        <v>0</v>
      </c>
      <c r="AK67" s="2" t="b">
        <f t="shared" ref="AK67" si="1141">J67</f>
        <v>0</v>
      </c>
      <c r="AN67" s="2" t="b">
        <f t="shared" ref="AN67:AN68" si="1142">K67</f>
        <v>1</v>
      </c>
      <c r="AO67" s="2" t="b">
        <f t="shared" ref="AO67:AO68" si="1143">K67</f>
        <v>1</v>
      </c>
      <c r="AR67" s="2" t="b">
        <f t="shared" si="1101"/>
        <v>0</v>
      </c>
      <c r="AS67" s="2" t="b">
        <f t="shared" ref="AS67" si="1144">J67</f>
        <v>0</v>
      </c>
      <c r="AT67" s="2" t="b">
        <f t="shared" ref="AT67" si="1145">J67</f>
        <v>0</v>
      </c>
      <c r="AW67" s="2" t="b">
        <f t="shared" ref="AW67:AW68" si="1146">K67</f>
        <v>1</v>
      </c>
      <c r="AX67" s="2" t="b">
        <f t="shared" ref="AX67:AX68" si="1147">K67</f>
        <v>1</v>
      </c>
      <c r="AY67" s="2" t="b">
        <f t="shared" ref="AY67:AY68" si="1148">K67</f>
        <v>1</v>
      </c>
    </row>
    <row r="68" spans="2:51" ht="18" customHeight="1" x14ac:dyDescent="0.3">
      <c r="B68" s="412"/>
      <c r="C68" s="332"/>
      <c r="D68" s="332"/>
      <c r="E68" s="2" t="s">
        <v>236</v>
      </c>
      <c r="F68" s="2" t="str">
        <f>IF('Full Season Entries'!N21 &lt;&gt; "", LEFT('Full Season Entries'!N21, 1), "")</f>
        <v/>
      </c>
      <c r="G68" s="2" t="b">
        <f t="shared" si="0"/>
        <v>0</v>
      </c>
      <c r="H68" s="2" t="b">
        <f t="shared" si="1107"/>
        <v>0</v>
      </c>
      <c r="I68" s="2" t="b">
        <f t="shared" si="1108"/>
        <v>0</v>
      </c>
      <c r="J68" s="2" t="b">
        <f t="shared" si="1109"/>
        <v>0</v>
      </c>
      <c r="K68" s="27" t="b">
        <f t="shared" si="1110"/>
        <v>1</v>
      </c>
      <c r="L68" s="412"/>
      <c r="O68" s="1" t="s">
        <v>388</v>
      </c>
      <c r="P68" s="1" t="b">
        <f t="shared" ref="P68" si="1149">IF(SUM(Q65:Q68) &gt; 1, TRUE, FALSE)</f>
        <v>0</v>
      </c>
      <c r="Q68" s="1">
        <f t="shared" si="33"/>
        <v>0</v>
      </c>
      <c r="T68" s="2" t="b">
        <f t="shared" ref="T68" si="1150">IF(D65 = 0, FALSE, IF(C65 = 1, CHOOSE(D65, W68, X68, Y68, Z68), IF(C65 = 2, CHOOSE(D65, AC68, AD68, AE68, AF68), IF(C65 = 2.1, K68, IF(C65 = 3, CHOOSE(D65, AI68, AJ68, AK68), IF(C65 = 4, CHOOSE(D65, AN68, AO68), IF(C65 = 5, CHOOSE(D65, AR68, AS68, AT68), IF(C65 = 7, CHOOSE(D65, AW68, AX68, AY68), FALSE))))))))</f>
        <v>0</v>
      </c>
      <c r="W68" s="2" t="b">
        <f t="shared" ref="W68" si="1151">K68</f>
        <v>1</v>
      </c>
      <c r="X68" s="2" t="b">
        <f t="shared" ref="X68" si="1152">K68</f>
        <v>1</v>
      </c>
      <c r="Y68" s="2" t="b">
        <f t="shared" ref="Y68" si="1153">K68</f>
        <v>1</v>
      </c>
      <c r="Z68" s="2" t="b">
        <f t="shared" ref="Z68" si="1154">K68</f>
        <v>1</v>
      </c>
      <c r="AC68" s="2" t="b">
        <v>1</v>
      </c>
      <c r="AD68" s="2" t="b">
        <f t="shared" ref="AD68" si="1155">NOT(K68)</f>
        <v>0</v>
      </c>
      <c r="AE68" s="2" t="b">
        <v>1</v>
      </c>
      <c r="AF68" s="2" t="b">
        <f t="shared" ref="AF68" si="1156">NOT(K68)</f>
        <v>0</v>
      </c>
      <c r="AI68" s="2" t="b">
        <f t="shared" ref="AI68" si="1157">K68</f>
        <v>1</v>
      </c>
      <c r="AJ68" s="2" t="b">
        <f t="shared" ref="AJ68" si="1158">K68</f>
        <v>1</v>
      </c>
      <c r="AK68" s="2" t="b">
        <f t="shared" ref="AK68" si="1159">K68</f>
        <v>1</v>
      </c>
      <c r="AN68" s="2" t="b">
        <f t="shared" si="1142"/>
        <v>1</v>
      </c>
      <c r="AO68" s="2" t="b">
        <f t="shared" si="1143"/>
        <v>1</v>
      </c>
      <c r="AR68" s="2" t="b">
        <f t="shared" ref="AR68" si="1160">K68</f>
        <v>1</v>
      </c>
      <c r="AS68" s="2" t="b">
        <f t="shared" ref="AS68" si="1161">K68</f>
        <v>1</v>
      </c>
      <c r="AT68" s="2" t="b">
        <f t="shared" ref="AT68" si="1162">K68</f>
        <v>1</v>
      </c>
      <c r="AW68" s="2" t="b">
        <f t="shared" si="1146"/>
        <v>1</v>
      </c>
      <c r="AX68" s="2" t="b">
        <f t="shared" si="1147"/>
        <v>1</v>
      </c>
      <c r="AY68" s="2" t="b">
        <f t="shared" si="1148"/>
        <v>1</v>
      </c>
    </row>
    <row r="69" spans="2:51" ht="18" customHeight="1" x14ac:dyDescent="0.3">
      <c r="B69" s="415">
        <v>17</v>
      </c>
      <c r="C69" s="332">
        <f>IF('Full Season Entries'!AF22 = 2.2, 2, 'Full Season Entries'!AF22)</f>
        <v>0</v>
      </c>
      <c r="D69" s="332">
        <f>'Full Season Entries'!AG22</f>
        <v>0</v>
      </c>
      <c r="E69" s="2" t="s">
        <v>233</v>
      </c>
      <c r="F69" s="2" t="str">
        <f>IF('Full Season Entries'!K22 &lt;&gt; "", LEFT('Full Season Entries'!K22, 1), "")</f>
        <v/>
      </c>
      <c r="G69" s="2" t="b">
        <f>IF(F69 = "P", TRUE, FALSE)</f>
        <v>0</v>
      </c>
      <c r="H69" s="2" t="b">
        <f>IF(F69 = "G", TRUE, FALSE)</f>
        <v>0</v>
      </c>
      <c r="I69" s="2" t="b">
        <f>IF(F69 = "S", TRUE, FALSE)</f>
        <v>0</v>
      </c>
      <c r="J69" s="2" t="b">
        <f>IF(F69 = "B", TRUE, FALSE)</f>
        <v>0</v>
      </c>
      <c r="K69" s="27" t="b">
        <f>IF(AND(IF(G69 = FALSE, TRUE, FALSE), IF(H69 = FALSE, TRUE, FALSE), IF(I69 = FALSE, TRUE, FALSE), IF(J69 = FALSE, TRUE, FALSE)) = TRUE, TRUE, FALSE)</f>
        <v>1</v>
      </c>
      <c r="L69" s="415" t="str">
        <f>IF(P69, "", IF(AND(P70, P71), AND(T69, T70, T71, T72), AND(NOT(P72), T69, T70, T71, T72)))</f>
        <v/>
      </c>
      <c r="O69" s="1" t="s">
        <v>232</v>
      </c>
      <c r="P69" s="1" t="b">
        <f t="shared" ref="P69" si="1163">AND(K69, K70, K71, K72)</f>
        <v>1</v>
      </c>
      <c r="Q69" s="1">
        <f t="shared" si="33"/>
        <v>0</v>
      </c>
      <c r="T69" s="2" t="b">
        <f t="shared" ref="T69" si="1164">IF(D69 = 0, FALSE, IF(C69 = 1, CHOOSE(D69, W69, X69, Y69, Z69), IF(C69 = 2, CHOOSE(D69, AC69, AD69, AE69, AF69), IF(C69 = 2.1, CHOOSE(D69, AC69, AD69, AE69, AF69), IF(C69 = 3, CHOOSE(D69, AI69, AJ69, AK69), IF(C69 = 4, CHOOSE(D69, AN69, AO69), IF(C69 = 5, CHOOSE(D69, AR69, AS69, AT69), IF(C69 = 7, CHOOSE(D69, AW69, AX69, AY69), FALSE))))))))</f>
        <v>0</v>
      </c>
      <c r="W69" s="2" t="b">
        <f t="shared" ref="W69" si="1165">AND(NOT(I69), NOT(K69), NOT(J69))</f>
        <v>0</v>
      </c>
      <c r="X69" s="2" t="b">
        <f t="shared" ref="X69" si="1166">AND(NOT(I69), NOT(K69), NOT(J69))</f>
        <v>0</v>
      </c>
      <c r="Y69" s="2" t="b">
        <f t="shared" ref="Y69" si="1167">AND(NOT(I69), NOT(K69), NOT(J69))</f>
        <v>0</v>
      </c>
      <c r="Z69" s="2" t="b">
        <f t="shared" ref="Z69" si="1168">AND(NOT(I69), NOT(K69), NOT(J69))</f>
        <v>0</v>
      </c>
      <c r="AC69" s="2" t="b">
        <f t="shared" ref="AC69" si="1169">AND(NOT(I69), NOT(K69), NOT(J69))</f>
        <v>0</v>
      </c>
      <c r="AD69" s="2" t="b">
        <f t="shared" ref="AD69" si="1170">AND(NOT(G69), NOT(K69), NOT(J69))</f>
        <v>0</v>
      </c>
      <c r="AE69" s="2" t="b">
        <f t="shared" ref="AE69" si="1171">AND(NOT(I69), NOT(K69), NOT(J69))</f>
        <v>0</v>
      </c>
      <c r="AF69" s="2" t="b">
        <f t="shared" ref="AF69" si="1172">AND(NOT(I69), NOT(K69), NOT(J69))</f>
        <v>0</v>
      </c>
      <c r="AI69" s="2" t="b">
        <f t="shared" ref="AI69" si="1173">AND(NOT(I69), NOT(K69), NOT(J69))</f>
        <v>0</v>
      </c>
      <c r="AJ69" s="2" t="b">
        <f t="shared" ref="AJ69" si="1174">AND(NOT(J69), NOT(K69))</f>
        <v>0</v>
      </c>
      <c r="AK69" s="2" t="b">
        <f t="shared" ref="AK69" si="1175">AND(NOT(I69), NOT(K69), NOT(J69))</f>
        <v>0</v>
      </c>
      <c r="AN69" s="2" t="b">
        <f t="shared" ref="AN69" si="1176">AND(NOT(I69), NOT(K69), NOT(J69))</f>
        <v>0</v>
      </c>
      <c r="AO69" s="2" t="b">
        <f t="shared" ref="AO69" si="1177">AND(NOT(G69), NOT(J69), NOT(K69))</f>
        <v>0</v>
      </c>
      <c r="AR69" s="2" t="b">
        <f t="shared" ref="AR69:AR71" si="1178">AND(NOT(J69), NOT(K69))</f>
        <v>0</v>
      </c>
      <c r="AS69" s="2" t="b">
        <f t="shared" ref="AS69" si="1179">AND(NOT(I69), NOT(K69), NOT(J69))</f>
        <v>0</v>
      </c>
      <c r="AT69" s="2" t="b">
        <f t="shared" ref="AT69" si="1180">AND(NOT(G69), NOT(J69), NOT(K69))</f>
        <v>0</v>
      </c>
      <c r="AW69" s="2" t="b">
        <f t="shared" ref="AW69" si="1181">AND(NOT(G69), NOT(J69), NOT(K69))</f>
        <v>0</v>
      </c>
      <c r="AX69" s="2" t="b">
        <f t="shared" ref="AX69" si="1182">AND(NOT(J69), NOT(K69))</f>
        <v>0</v>
      </c>
      <c r="AY69" s="2" t="b">
        <f t="shared" ref="AY69" si="1183">AND(NOT(G69), NOT(J69), NOT(K69))</f>
        <v>0</v>
      </c>
    </row>
    <row r="70" spans="2:51" ht="18" customHeight="1" x14ac:dyDescent="0.3">
      <c r="B70" s="416"/>
      <c r="C70" s="332"/>
      <c r="D70" s="332"/>
      <c r="E70" s="2" t="s">
        <v>234</v>
      </c>
      <c r="F70" s="2" t="str">
        <f>IF('Full Season Entries'!L22 &lt;&gt; "", LEFT('Full Season Entries'!L22, 1), "")</f>
        <v/>
      </c>
      <c r="G70" s="2" t="b">
        <f t="shared" si="0"/>
        <v>0</v>
      </c>
      <c r="H70" s="2" t="b">
        <f t="shared" ref="H70:H72" si="1184">IF(F70 = "G", TRUE, FALSE)</f>
        <v>0</v>
      </c>
      <c r="I70" s="2" t="b">
        <f t="shared" ref="I70:I72" si="1185">IF(F70 = "S", TRUE, FALSE)</f>
        <v>0</v>
      </c>
      <c r="J70" s="2" t="b">
        <f t="shared" ref="J70:J72" si="1186">IF(F70 = "B", TRUE, FALSE)</f>
        <v>0</v>
      </c>
      <c r="K70" s="27" t="b">
        <f t="shared" ref="K70:K72" si="1187">IF(AND(IF(G70 = FALSE, TRUE, FALSE), IF(H70 = FALSE, TRUE, FALSE), IF(I70 = FALSE, TRUE, FALSE), IF(J70 = FALSE, TRUE, FALSE)) = TRUE, TRUE, FALSE)</f>
        <v>1</v>
      </c>
      <c r="L70" s="416"/>
      <c r="O70" s="1" t="s">
        <v>386</v>
      </c>
      <c r="P70" s="1" t="b">
        <f t="shared" ref="P70" si="1188">OR(IF(C69 = 2, TRUE, FALSE), IF(C69 = 2.2, TRUE, FALSE))</f>
        <v>0</v>
      </c>
      <c r="Q70" s="1">
        <f t="shared" si="33"/>
        <v>0</v>
      </c>
      <c r="T70" s="2" t="b">
        <f t="shared" ref="T70" si="1189">IF(D69 = 0, FALSE, IF(C69 = 1, CHOOSE(D69, W70, X70, Y70, Z70), IF(C69 = 2, CHOOSE(D69, AC70, AD70, AE70, AF70), IF(C69 = 2.1, CHOOSE(D69, AC70, AD70, AE70, AF70), IF(C69 = 3, CHOOSE(D69, AI70, AJ70, AK70), IF(C69 = 4, CHOOSE(D69, AN70, AO70), IF(C69 = 5, CHOOSE(D69, AR70, AS70, AT70), IF(C69 = 7, CHOOSE(D69, AW70, AX70, AY70), FALSE))))))))</f>
        <v>0</v>
      </c>
      <c r="W70" s="2" t="b">
        <f t="shared" ref="W70:W71" si="1190">AND(NOT(K70), NOT(J70))</f>
        <v>0</v>
      </c>
      <c r="X70" s="2" t="b">
        <f t="shared" ref="X70" si="1191">NOT(K69)</f>
        <v>0</v>
      </c>
      <c r="Y70" s="2" t="b">
        <f t="shared" ref="Y70:Y71" si="1192">AND(NOT(K70), NOT(J70))</f>
        <v>0</v>
      </c>
      <c r="Z70" s="2" t="b">
        <f t="shared" ref="Z70" si="1193">OR(I70, J70)</f>
        <v>0</v>
      </c>
      <c r="AC70" s="2" t="b">
        <f t="shared" ref="AC70" si="1194">AND(NOT(K70), NOT(J70))</f>
        <v>0</v>
      </c>
      <c r="AD70" s="2" t="b">
        <f t="shared" ref="AD70" si="1195">J70</f>
        <v>0</v>
      </c>
      <c r="AE70" s="2" t="b">
        <f t="shared" ref="AE70" si="1196">AND(NOT(K70), NOT(J70))</f>
        <v>0</v>
      </c>
      <c r="AF70" s="2" t="b">
        <f t="shared" ref="AF70" si="1197">J70</f>
        <v>0</v>
      </c>
      <c r="AI70" s="2" t="b">
        <f t="shared" ref="AI70" si="1198">AND(NOT(J70), NOT(K70))</f>
        <v>0</v>
      </c>
      <c r="AJ70" s="2" t="b">
        <f t="shared" ref="AJ70" si="1199">OR(I70, J70)</f>
        <v>0</v>
      </c>
      <c r="AK70" s="2" t="b">
        <f t="shared" ref="AK70" si="1200">OR(I70, J70)</f>
        <v>0</v>
      </c>
      <c r="AN70" s="2" t="b">
        <f t="shared" ref="AN70" si="1201">OR(I70, J70)</f>
        <v>0</v>
      </c>
      <c r="AO70" s="2" t="b">
        <f t="shared" ref="AO70" si="1202">J70</f>
        <v>0</v>
      </c>
      <c r="AR70" s="2" t="b">
        <f t="shared" si="1178"/>
        <v>0</v>
      </c>
      <c r="AS70" s="2" t="b">
        <f t="shared" ref="AS70" si="1203">OR(I70, J70)</f>
        <v>0</v>
      </c>
      <c r="AT70" s="2" t="b">
        <f t="shared" ref="AT70" si="1204">OR(I70, J70)</f>
        <v>0</v>
      </c>
      <c r="AW70" s="2" t="b">
        <f t="shared" ref="AW70" si="1205">J70</f>
        <v>0</v>
      </c>
      <c r="AX70" s="2" t="b">
        <f t="shared" ref="AX70" si="1206">J70</f>
        <v>0</v>
      </c>
      <c r="AY70" s="2" t="b">
        <f t="shared" ref="AY70" si="1207">J70</f>
        <v>0</v>
      </c>
    </row>
    <row r="71" spans="2:51" ht="18" customHeight="1" x14ac:dyDescent="0.3">
      <c r="B71" s="416"/>
      <c r="C71" s="332"/>
      <c r="D71" s="332"/>
      <c r="E71" s="2" t="s">
        <v>235</v>
      </c>
      <c r="F71" s="2" t="str">
        <f>IF('Full Season Entries'!M22 &lt;&gt; "", LEFT('Full Season Entries'!M22, 1), "")</f>
        <v/>
      </c>
      <c r="G71" s="2" t="b">
        <f t="shared" ref="G71:G72" si="1208">IF(F71 = "P", TRUE, FALSE)</f>
        <v>0</v>
      </c>
      <c r="H71" s="2" t="b">
        <f t="shared" si="1184"/>
        <v>0</v>
      </c>
      <c r="I71" s="2" t="b">
        <f t="shared" si="1185"/>
        <v>0</v>
      </c>
      <c r="J71" s="2" t="b">
        <f t="shared" si="1186"/>
        <v>0</v>
      </c>
      <c r="K71" s="27" t="b">
        <f t="shared" si="1187"/>
        <v>1</v>
      </c>
      <c r="L71" s="416"/>
      <c r="O71" s="1" t="s">
        <v>387</v>
      </c>
      <c r="P71" s="1" t="b">
        <f t="shared" ref="P71" si="1209">OR(IF(D69 = 2, TRUE, FALSE), IF(D69 = 4, TRUE, FALSE))</f>
        <v>0</v>
      </c>
      <c r="Q71" s="1">
        <f t="shared" si="33"/>
        <v>0</v>
      </c>
      <c r="T71" s="2" t="b">
        <f t="shared" ref="T71" si="1210">IF(D69 = 0, FALSE, IF(C69 = 1, CHOOSE(D69, W71, X71, Y71, Z71), IF(C69 = 2, CHOOSE(D69, AC71, AD71, AE71, AF71), IF(C69 = 2.1, K71, IF(C69 = 3, CHOOSE(D69, AI71, AJ71, AK71), IF(C69 = 4, CHOOSE(D69, AN71, AO71), IF(C69 = 5, CHOOSE(D69, AR71, AS71, AT71), IF(C69 = 7, CHOOSE(D69, AW71, AX71, AY71), FALSE))))))))</f>
        <v>0</v>
      </c>
      <c r="W71" s="2" t="b">
        <f t="shared" si="1190"/>
        <v>0</v>
      </c>
      <c r="X71" s="2" t="b">
        <f t="shared" ref="X71" si="1211">OR(I71, J71)</f>
        <v>0</v>
      </c>
      <c r="Y71" s="2" t="b">
        <f t="shared" si="1192"/>
        <v>0</v>
      </c>
      <c r="Z71" s="2" t="b">
        <f t="shared" ref="Z71" si="1212">J71</f>
        <v>0</v>
      </c>
      <c r="AC71" s="2" t="b">
        <f t="shared" ref="AC71" si="1213">NOT(K71)</f>
        <v>0</v>
      </c>
      <c r="AD71" s="2" t="b">
        <f t="shared" ref="AD71" si="1214">OR(I71, J71)</f>
        <v>0</v>
      </c>
      <c r="AE71" s="2" t="b">
        <f t="shared" ref="AE71" si="1215">NOT(K71)</f>
        <v>0</v>
      </c>
      <c r="AF71" s="2" t="b">
        <f t="shared" ref="AF71" si="1216">OR(I71, J71)</f>
        <v>0</v>
      </c>
      <c r="AI71" s="2" t="b">
        <f t="shared" ref="AI71" si="1217">AND(OR(I71, J71), NOT(K71))</f>
        <v>0</v>
      </c>
      <c r="AJ71" s="2" t="b">
        <f t="shared" ref="AJ71" si="1218">J71</f>
        <v>0</v>
      </c>
      <c r="AK71" s="2" t="b">
        <f t="shared" ref="AK71" si="1219">J71</f>
        <v>0</v>
      </c>
      <c r="AN71" s="2" t="b">
        <f t="shared" ref="AN71:AN72" si="1220">K71</f>
        <v>1</v>
      </c>
      <c r="AO71" s="2" t="b">
        <f t="shared" ref="AO71:AO72" si="1221">K71</f>
        <v>1</v>
      </c>
      <c r="AR71" s="2" t="b">
        <f t="shared" si="1178"/>
        <v>0</v>
      </c>
      <c r="AS71" s="2" t="b">
        <f t="shared" ref="AS71" si="1222">J71</f>
        <v>0</v>
      </c>
      <c r="AT71" s="2" t="b">
        <f t="shared" ref="AT71" si="1223">J71</f>
        <v>0</v>
      </c>
      <c r="AW71" s="2" t="b">
        <f t="shared" ref="AW71:AW72" si="1224">K71</f>
        <v>1</v>
      </c>
      <c r="AX71" s="2" t="b">
        <f t="shared" ref="AX71:AX72" si="1225">K71</f>
        <v>1</v>
      </c>
      <c r="AY71" s="2" t="b">
        <f t="shared" ref="AY71:AY72" si="1226">K71</f>
        <v>1</v>
      </c>
    </row>
    <row r="72" spans="2:51" ht="18" customHeight="1" x14ac:dyDescent="0.3">
      <c r="B72" s="412"/>
      <c r="C72" s="332"/>
      <c r="D72" s="332"/>
      <c r="E72" s="2" t="s">
        <v>236</v>
      </c>
      <c r="F72" s="2" t="str">
        <f>IF('Full Season Entries'!N22 &lt;&gt; "", LEFT('Full Season Entries'!N22, 1), "")</f>
        <v/>
      </c>
      <c r="G72" s="2" t="b">
        <f t="shared" si="1208"/>
        <v>0</v>
      </c>
      <c r="H72" s="2" t="b">
        <f t="shared" si="1184"/>
        <v>0</v>
      </c>
      <c r="I72" s="2" t="b">
        <f t="shared" si="1185"/>
        <v>0</v>
      </c>
      <c r="J72" s="2" t="b">
        <f t="shared" si="1186"/>
        <v>0</v>
      </c>
      <c r="K72" s="27" t="b">
        <f t="shared" si="1187"/>
        <v>1</v>
      </c>
      <c r="L72" s="412"/>
      <c r="O72" s="1" t="s">
        <v>388</v>
      </c>
      <c r="P72" s="1" t="b">
        <f t="shared" ref="P72" si="1227">IF(SUM(Q69:Q72) &gt; 1, TRUE, FALSE)</f>
        <v>0</v>
      </c>
      <c r="Q72" s="1">
        <f t="shared" si="33"/>
        <v>0</v>
      </c>
      <c r="T72" s="2" t="b">
        <f t="shared" ref="T72" si="1228">IF(D69 = 0, FALSE, IF(C69 = 1, CHOOSE(D69, W72, X72, Y72, Z72), IF(C69 = 2, CHOOSE(D69, AC72, AD72, AE72, AF72), IF(C69 = 2.1, K72, IF(C69 = 3, CHOOSE(D69, AI72, AJ72, AK72), IF(C69 = 4, CHOOSE(D69, AN72, AO72), IF(C69 = 5, CHOOSE(D69, AR72, AS72, AT72), IF(C69 = 7, CHOOSE(D69, AW72, AX72, AY72), FALSE))))))))</f>
        <v>0</v>
      </c>
      <c r="W72" s="2" t="b">
        <f t="shared" ref="W72" si="1229">K72</f>
        <v>1</v>
      </c>
      <c r="X72" s="2" t="b">
        <f t="shared" ref="X72" si="1230">K72</f>
        <v>1</v>
      </c>
      <c r="Y72" s="2" t="b">
        <f t="shared" ref="Y72" si="1231">K72</f>
        <v>1</v>
      </c>
      <c r="Z72" s="2" t="b">
        <f t="shared" ref="Z72" si="1232">K72</f>
        <v>1</v>
      </c>
      <c r="AC72" s="2" t="b">
        <v>1</v>
      </c>
      <c r="AD72" s="2" t="b">
        <f t="shared" ref="AD72" si="1233">NOT(K72)</f>
        <v>0</v>
      </c>
      <c r="AE72" s="2" t="b">
        <v>1</v>
      </c>
      <c r="AF72" s="2" t="b">
        <f t="shared" ref="AF72" si="1234">NOT(K72)</f>
        <v>0</v>
      </c>
      <c r="AI72" s="2" t="b">
        <f t="shared" ref="AI72" si="1235">K72</f>
        <v>1</v>
      </c>
      <c r="AJ72" s="2" t="b">
        <f t="shared" ref="AJ72" si="1236">K72</f>
        <v>1</v>
      </c>
      <c r="AK72" s="2" t="b">
        <f t="shared" ref="AK72" si="1237">K72</f>
        <v>1</v>
      </c>
      <c r="AN72" s="2" t="b">
        <f t="shared" si="1220"/>
        <v>1</v>
      </c>
      <c r="AO72" s="2" t="b">
        <f t="shared" si="1221"/>
        <v>1</v>
      </c>
      <c r="AR72" s="2" t="b">
        <f t="shared" ref="AR72" si="1238">K72</f>
        <v>1</v>
      </c>
      <c r="AS72" s="2" t="b">
        <f t="shared" ref="AS72" si="1239">K72</f>
        <v>1</v>
      </c>
      <c r="AT72" s="2" t="b">
        <f t="shared" ref="AT72" si="1240">K72</f>
        <v>1</v>
      </c>
      <c r="AW72" s="2" t="b">
        <f t="shared" si="1224"/>
        <v>1</v>
      </c>
      <c r="AX72" s="2" t="b">
        <f t="shared" si="1225"/>
        <v>1</v>
      </c>
      <c r="AY72" s="2" t="b">
        <f t="shared" si="1226"/>
        <v>1</v>
      </c>
    </row>
    <row r="73" spans="2:51" ht="18" customHeight="1" x14ac:dyDescent="0.3">
      <c r="B73" s="415">
        <v>18</v>
      </c>
      <c r="C73" s="332">
        <f>IF('Full Season Entries'!AF23 = 2.2, 2, 'Full Season Entries'!AF23)</f>
        <v>0</v>
      </c>
      <c r="D73" s="332">
        <f>'Full Season Entries'!AG23</f>
        <v>0</v>
      </c>
      <c r="E73" s="2" t="s">
        <v>233</v>
      </c>
      <c r="F73" s="2" t="str">
        <f>IF('Full Season Entries'!K23 &lt;&gt; "", LEFT('Full Season Entries'!K23, 1), "")</f>
        <v/>
      </c>
      <c r="G73" s="2" t="b">
        <f>IF(F73 = "P", TRUE, FALSE)</f>
        <v>0</v>
      </c>
      <c r="H73" s="2" t="b">
        <f>IF(F73 = "G", TRUE, FALSE)</f>
        <v>0</v>
      </c>
      <c r="I73" s="2" t="b">
        <f>IF(F73 = "S", TRUE, FALSE)</f>
        <v>0</v>
      </c>
      <c r="J73" s="2" t="b">
        <f>IF(F73 = "B", TRUE, FALSE)</f>
        <v>0</v>
      </c>
      <c r="K73" s="27" t="b">
        <f>IF(AND(IF(G73 = FALSE, TRUE, FALSE), IF(H73 = FALSE, TRUE, FALSE), IF(I73 = FALSE, TRUE, FALSE), IF(J73 = FALSE, TRUE, FALSE)) = TRUE, TRUE, FALSE)</f>
        <v>1</v>
      </c>
      <c r="L73" s="415" t="str">
        <f>IF(P73, "", IF(AND(P74, P75), AND(T73, T74, T75, T76), AND(NOT(P76), T73, T74, T75, T76)))</f>
        <v/>
      </c>
      <c r="O73" s="1" t="s">
        <v>232</v>
      </c>
      <c r="P73" s="1" t="b">
        <f t="shared" ref="P73" si="1241">AND(K73, K74, K75, K76)</f>
        <v>1</v>
      </c>
      <c r="Q73" s="1">
        <f t="shared" si="33"/>
        <v>0</v>
      </c>
      <c r="T73" s="2" t="b">
        <f t="shared" ref="T73" si="1242">IF(D73 = 0, FALSE, IF(C73 = 1, CHOOSE(D73, W73, X73, Y73, Z73), IF(C73 = 2, CHOOSE(D73, AC73, AD73, AE73, AF73), IF(C73 = 2.1, CHOOSE(D73, AC73, AD73, AE73, AF73), IF(C73 = 3, CHOOSE(D73, AI73, AJ73, AK73), IF(C73 = 4, CHOOSE(D73, AN73, AO73), IF(C73 = 5, CHOOSE(D73, AR73, AS73, AT73), IF(C73 = 7, CHOOSE(D73, AW73, AX73, AY73), FALSE))))))))</f>
        <v>0</v>
      </c>
      <c r="W73" s="2" t="b">
        <f t="shared" ref="W73" si="1243">AND(NOT(I73), NOT(K73), NOT(J73))</f>
        <v>0</v>
      </c>
      <c r="X73" s="2" t="b">
        <f t="shared" ref="X73" si="1244">AND(NOT(I73), NOT(K73), NOT(J73))</f>
        <v>0</v>
      </c>
      <c r="Y73" s="2" t="b">
        <f t="shared" ref="Y73" si="1245">AND(NOT(I73), NOT(K73), NOT(J73))</f>
        <v>0</v>
      </c>
      <c r="Z73" s="2" t="b">
        <f t="shared" ref="Z73" si="1246">AND(NOT(I73), NOT(K73), NOT(J73))</f>
        <v>0</v>
      </c>
      <c r="AC73" s="2" t="b">
        <f t="shared" ref="AC73" si="1247">AND(NOT(I73), NOT(K73), NOT(J73))</f>
        <v>0</v>
      </c>
      <c r="AD73" s="2" t="b">
        <f t="shared" ref="AD73" si="1248">AND(NOT(G73), NOT(K73), NOT(J73))</f>
        <v>0</v>
      </c>
      <c r="AE73" s="2" t="b">
        <f t="shared" ref="AE73" si="1249">AND(NOT(I73), NOT(K73), NOT(J73))</f>
        <v>0</v>
      </c>
      <c r="AF73" s="2" t="b">
        <f t="shared" ref="AF73" si="1250">AND(NOT(I73), NOT(K73), NOT(J73))</f>
        <v>0</v>
      </c>
      <c r="AI73" s="2" t="b">
        <f t="shared" ref="AI73" si="1251">AND(NOT(I73), NOT(K73), NOT(J73))</f>
        <v>0</v>
      </c>
      <c r="AJ73" s="2" t="b">
        <f t="shared" ref="AJ73" si="1252">AND(NOT(J73), NOT(K73))</f>
        <v>0</v>
      </c>
      <c r="AK73" s="2" t="b">
        <f t="shared" ref="AK73" si="1253">AND(NOT(I73), NOT(K73), NOT(J73))</f>
        <v>0</v>
      </c>
      <c r="AN73" s="2" t="b">
        <f t="shared" ref="AN73" si="1254">AND(NOT(I73), NOT(K73), NOT(J73))</f>
        <v>0</v>
      </c>
      <c r="AO73" s="2" t="b">
        <f t="shared" ref="AO73" si="1255">AND(NOT(G73), NOT(J73), NOT(K73))</f>
        <v>0</v>
      </c>
      <c r="AR73" s="2" t="b">
        <f t="shared" ref="AR73:AR75" si="1256">AND(NOT(J73), NOT(K73))</f>
        <v>0</v>
      </c>
      <c r="AS73" s="2" t="b">
        <f t="shared" ref="AS73" si="1257">AND(NOT(I73), NOT(K73), NOT(J73))</f>
        <v>0</v>
      </c>
      <c r="AT73" s="2" t="b">
        <f t="shared" ref="AT73" si="1258">AND(NOT(G73), NOT(J73), NOT(K73))</f>
        <v>0</v>
      </c>
      <c r="AW73" s="2" t="b">
        <f t="shared" ref="AW73" si="1259">AND(NOT(G73), NOT(J73), NOT(K73))</f>
        <v>0</v>
      </c>
      <c r="AX73" s="2" t="b">
        <f t="shared" ref="AX73" si="1260">AND(NOT(J73), NOT(K73))</f>
        <v>0</v>
      </c>
      <c r="AY73" s="2" t="b">
        <f t="shared" ref="AY73" si="1261">AND(NOT(G73), NOT(J73), NOT(K73))</f>
        <v>0</v>
      </c>
    </row>
    <row r="74" spans="2:51" ht="18" customHeight="1" x14ac:dyDescent="0.3">
      <c r="B74" s="416"/>
      <c r="C74" s="332"/>
      <c r="D74" s="332"/>
      <c r="E74" s="2" t="s">
        <v>234</v>
      </c>
      <c r="F74" s="2" t="str">
        <f>IF('Full Season Entries'!L23 &lt;&gt; "", LEFT('Full Season Entries'!L23, 1), "")</f>
        <v/>
      </c>
      <c r="G74" s="2" t="b">
        <f t="shared" ref="G74:G76" si="1262">IF(F74 = "P", TRUE, FALSE)</f>
        <v>0</v>
      </c>
      <c r="H74" s="2" t="b">
        <f t="shared" ref="H74:H76" si="1263">IF(F74 = "G", TRUE, FALSE)</f>
        <v>0</v>
      </c>
      <c r="I74" s="2" t="b">
        <f t="shared" ref="I74:I76" si="1264">IF(F74 = "S", TRUE, FALSE)</f>
        <v>0</v>
      </c>
      <c r="J74" s="2" t="b">
        <f t="shared" ref="J74:J76" si="1265">IF(F74 = "B", TRUE, FALSE)</f>
        <v>0</v>
      </c>
      <c r="K74" s="27" t="b">
        <f t="shared" ref="K74:K76" si="1266">IF(AND(IF(G74 = FALSE, TRUE, FALSE), IF(H74 = FALSE, TRUE, FALSE), IF(I74 = FALSE, TRUE, FALSE), IF(J74 = FALSE, TRUE, FALSE)) = TRUE, TRUE, FALSE)</f>
        <v>1</v>
      </c>
      <c r="L74" s="416"/>
      <c r="O74" s="1" t="s">
        <v>386</v>
      </c>
      <c r="P74" s="1" t="b">
        <f t="shared" ref="P74" si="1267">OR(IF(C73 = 2, TRUE, FALSE), IF(C73 = 2.2, TRUE, FALSE))</f>
        <v>0</v>
      </c>
      <c r="Q74" s="1">
        <f t="shared" ref="Q74:Q137" si="1268">IF(J74, 1, 0)</f>
        <v>0</v>
      </c>
      <c r="T74" s="2" t="b">
        <f t="shared" ref="T74" si="1269">IF(D73 = 0, FALSE, IF(C73 = 1, CHOOSE(D73, W74, X74, Y74, Z74), IF(C73 = 2, CHOOSE(D73, AC74, AD74, AE74, AF74), IF(C73 = 2.1, CHOOSE(D73, AC74, AD74, AE74, AF74), IF(C73 = 3, CHOOSE(D73, AI74, AJ74, AK74), IF(C73 = 4, CHOOSE(D73, AN74, AO74), IF(C73 = 5, CHOOSE(D73, AR74, AS74, AT74), IF(C73 = 7, CHOOSE(D73, AW74, AX74, AY74), FALSE))))))))</f>
        <v>0</v>
      </c>
      <c r="W74" s="2" t="b">
        <f t="shared" ref="W74:W75" si="1270">AND(NOT(K74), NOT(J74))</f>
        <v>0</v>
      </c>
      <c r="X74" s="2" t="b">
        <f t="shared" ref="X74" si="1271">NOT(K73)</f>
        <v>0</v>
      </c>
      <c r="Y74" s="2" t="b">
        <f t="shared" ref="Y74:Y75" si="1272">AND(NOT(K74), NOT(J74))</f>
        <v>0</v>
      </c>
      <c r="Z74" s="2" t="b">
        <f t="shared" ref="Z74" si="1273">OR(I74, J74)</f>
        <v>0</v>
      </c>
      <c r="AC74" s="2" t="b">
        <f t="shared" ref="AC74" si="1274">AND(NOT(K74), NOT(J74))</f>
        <v>0</v>
      </c>
      <c r="AD74" s="2" t="b">
        <f t="shared" ref="AD74" si="1275">J74</f>
        <v>0</v>
      </c>
      <c r="AE74" s="2" t="b">
        <f t="shared" ref="AE74" si="1276">AND(NOT(K74), NOT(J74))</f>
        <v>0</v>
      </c>
      <c r="AF74" s="2" t="b">
        <f t="shared" ref="AF74" si="1277">J74</f>
        <v>0</v>
      </c>
      <c r="AI74" s="2" t="b">
        <f t="shared" ref="AI74" si="1278">AND(NOT(J74), NOT(K74))</f>
        <v>0</v>
      </c>
      <c r="AJ74" s="2" t="b">
        <f t="shared" ref="AJ74" si="1279">OR(I74, J74)</f>
        <v>0</v>
      </c>
      <c r="AK74" s="2" t="b">
        <f t="shared" ref="AK74" si="1280">OR(I74, J74)</f>
        <v>0</v>
      </c>
      <c r="AN74" s="2" t="b">
        <f t="shared" ref="AN74" si="1281">OR(I74, J74)</f>
        <v>0</v>
      </c>
      <c r="AO74" s="2" t="b">
        <f t="shared" ref="AO74" si="1282">J74</f>
        <v>0</v>
      </c>
      <c r="AR74" s="2" t="b">
        <f t="shared" si="1256"/>
        <v>0</v>
      </c>
      <c r="AS74" s="2" t="b">
        <f t="shared" ref="AS74" si="1283">OR(I74, J74)</f>
        <v>0</v>
      </c>
      <c r="AT74" s="2" t="b">
        <f t="shared" ref="AT74" si="1284">OR(I74, J74)</f>
        <v>0</v>
      </c>
      <c r="AW74" s="2" t="b">
        <f t="shared" ref="AW74" si="1285">J74</f>
        <v>0</v>
      </c>
      <c r="AX74" s="2" t="b">
        <f t="shared" ref="AX74" si="1286">J74</f>
        <v>0</v>
      </c>
      <c r="AY74" s="2" t="b">
        <f t="shared" ref="AY74" si="1287">J74</f>
        <v>0</v>
      </c>
    </row>
    <row r="75" spans="2:51" ht="18" customHeight="1" x14ac:dyDescent="0.3">
      <c r="B75" s="416"/>
      <c r="C75" s="332"/>
      <c r="D75" s="332"/>
      <c r="E75" s="2" t="s">
        <v>235</v>
      </c>
      <c r="F75" s="2" t="str">
        <f>IF('Full Season Entries'!M23 &lt;&gt; "", LEFT('Full Season Entries'!M23, 1), "")</f>
        <v/>
      </c>
      <c r="G75" s="2" t="b">
        <f t="shared" si="1262"/>
        <v>0</v>
      </c>
      <c r="H75" s="2" t="b">
        <f t="shared" si="1263"/>
        <v>0</v>
      </c>
      <c r="I75" s="2" t="b">
        <f t="shared" si="1264"/>
        <v>0</v>
      </c>
      <c r="J75" s="2" t="b">
        <f t="shared" si="1265"/>
        <v>0</v>
      </c>
      <c r="K75" s="27" t="b">
        <f t="shared" si="1266"/>
        <v>1</v>
      </c>
      <c r="L75" s="416"/>
      <c r="O75" s="1" t="s">
        <v>387</v>
      </c>
      <c r="P75" s="1" t="b">
        <f t="shared" ref="P75" si="1288">OR(IF(D73 = 2, TRUE, FALSE), IF(D73 = 4, TRUE, FALSE))</f>
        <v>0</v>
      </c>
      <c r="Q75" s="1">
        <f t="shared" si="1268"/>
        <v>0</v>
      </c>
      <c r="T75" s="2" t="b">
        <f t="shared" ref="T75" si="1289">IF(D73 = 0, FALSE, IF(C73 = 1, CHOOSE(D73, W75, X75, Y75, Z75), IF(C73 = 2, CHOOSE(D73, AC75, AD75, AE75, AF75), IF(C73 = 2.1, K75, IF(C73 = 3, CHOOSE(D73, AI75, AJ75, AK75), IF(C73 = 4, CHOOSE(D73, AN75, AO75), IF(C73 = 5, CHOOSE(D73, AR75, AS75, AT75), IF(C73 = 7, CHOOSE(D73, AW75, AX75, AY75), FALSE))))))))</f>
        <v>0</v>
      </c>
      <c r="W75" s="2" t="b">
        <f t="shared" si="1270"/>
        <v>0</v>
      </c>
      <c r="X75" s="2" t="b">
        <f t="shared" ref="X75" si="1290">OR(I75, J75)</f>
        <v>0</v>
      </c>
      <c r="Y75" s="2" t="b">
        <f t="shared" si="1272"/>
        <v>0</v>
      </c>
      <c r="Z75" s="2" t="b">
        <f t="shared" ref="Z75" si="1291">J75</f>
        <v>0</v>
      </c>
      <c r="AC75" s="2" t="b">
        <f t="shared" ref="AC75" si="1292">NOT(K75)</f>
        <v>0</v>
      </c>
      <c r="AD75" s="2" t="b">
        <f t="shared" ref="AD75" si="1293">OR(I75, J75)</f>
        <v>0</v>
      </c>
      <c r="AE75" s="2" t="b">
        <f t="shared" ref="AE75" si="1294">NOT(K75)</f>
        <v>0</v>
      </c>
      <c r="AF75" s="2" t="b">
        <f t="shared" ref="AF75" si="1295">OR(I75, J75)</f>
        <v>0</v>
      </c>
      <c r="AI75" s="2" t="b">
        <f t="shared" ref="AI75" si="1296">AND(OR(I75, J75), NOT(K75))</f>
        <v>0</v>
      </c>
      <c r="AJ75" s="2" t="b">
        <f t="shared" ref="AJ75" si="1297">J75</f>
        <v>0</v>
      </c>
      <c r="AK75" s="2" t="b">
        <f t="shared" ref="AK75" si="1298">J75</f>
        <v>0</v>
      </c>
      <c r="AN75" s="2" t="b">
        <f t="shared" ref="AN75:AN76" si="1299">K75</f>
        <v>1</v>
      </c>
      <c r="AO75" s="2" t="b">
        <f t="shared" ref="AO75:AO76" si="1300">K75</f>
        <v>1</v>
      </c>
      <c r="AR75" s="2" t="b">
        <f t="shared" si="1256"/>
        <v>0</v>
      </c>
      <c r="AS75" s="2" t="b">
        <f t="shared" ref="AS75" si="1301">J75</f>
        <v>0</v>
      </c>
      <c r="AT75" s="2" t="b">
        <f t="shared" ref="AT75" si="1302">J75</f>
        <v>0</v>
      </c>
      <c r="AW75" s="2" t="b">
        <f t="shared" ref="AW75:AW76" si="1303">K75</f>
        <v>1</v>
      </c>
      <c r="AX75" s="2" t="b">
        <f t="shared" ref="AX75:AX76" si="1304">K75</f>
        <v>1</v>
      </c>
      <c r="AY75" s="2" t="b">
        <f t="shared" ref="AY75:AY76" si="1305">K75</f>
        <v>1</v>
      </c>
    </row>
    <row r="76" spans="2:51" ht="18" customHeight="1" x14ac:dyDescent="0.3">
      <c r="B76" s="412"/>
      <c r="C76" s="332"/>
      <c r="D76" s="332"/>
      <c r="E76" s="2" t="s">
        <v>236</v>
      </c>
      <c r="F76" s="2" t="str">
        <f>IF('Full Season Entries'!N23 &lt;&gt; "", LEFT('Full Season Entries'!N23, 1), "")</f>
        <v/>
      </c>
      <c r="G76" s="2" t="b">
        <f t="shared" si="1262"/>
        <v>0</v>
      </c>
      <c r="H76" s="2" t="b">
        <f t="shared" si="1263"/>
        <v>0</v>
      </c>
      <c r="I76" s="2" t="b">
        <f t="shared" si="1264"/>
        <v>0</v>
      </c>
      <c r="J76" s="2" t="b">
        <f t="shared" si="1265"/>
        <v>0</v>
      </c>
      <c r="K76" s="27" t="b">
        <f t="shared" si="1266"/>
        <v>1</v>
      </c>
      <c r="L76" s="412"/>
      <c r="O76" s="1" t="s">
        <v>388</v>
      </c>
      <c r="P76" s="1" t="b">
        <f t="shared" ref="P76" si="1306">IF(SUM(Q73:Q76) &gt; 1, TRUE, FALSE)</f>
        <v>0</v>
      </c>
      <c r="Q76" s="1">
        <f t="shared" si="1268"/>
        <v>0</v>
      </c>
      <c r="T76" s="2" t="b">
        <f t="shared" ref="T76" si="1307">IF(D73 = 0, FALSE, IF(C73 = 1, CHOOSE(D73, W76, X76, Y76, Z76), IF(C73 = 2, CHOOSE(D73, AC76, AD76, AE76, AF76), IF(C73 = 2.1, K76, IF(C73 = 3, CHOOSE(D73, AI76, AJ76, AK76), IF(C73 = 4, CHOOSE(D73, AN76, AO76), IF(C73 = 5, CHOOSE(D73, AR76, AS76, AT76), IF(C73 = 7, CHOOSE(D73, AW76, AX76, AY76), FALSE))))))))</f>
        <v>0</v>
      </c>
      <c r="W76" s="2" t="b">
        <f t="shared" ref="W76" si="1308">K76</f>
        <v>1</v>
      </c>
      <c r="X76" s="2" t="b">
        <f t="shared" ref="X76" si="1309">K76</f>
        <v>1</v>
      </c>
      <c r="Y76" s="2" t="b">
        <f t="shared" ref="Y76" si="1310">K76</f>
        <v>1</v>
      </c>
      <c r="Z76" s="2" t="b">
        <f t="shared" ref="Z76" si="1311">K76</f>
        <v>1</v>
      </c>
      <c r="AC76" s="2" t="b">
        <v>1</v>
      </c>
      <c r="AD76" s="2" t="b">
        <f t="shared" ref="AD76" si="1312">NOT(K76)</f>
        <v>0</v>
      </c>
      <c r="AE76" s="2" t="b">
        <v>1</v>
      </c>
      <c r="AF76" s="2" t="b">
        <f t="shared" ref="AF76" si="1313">NOT(K76)</f>
        <v>0</v>
      </c>
      <c r="AI76" s="2" t="b">
        <f t="shared" ref="AI76" si="1314">K76</f>
        <v>1</v>
      </c>
      <c r="AJ76" s="2" t="b">
        <f t="shared" ref="AJ76" si="1315">K76</f>
        <v>1</v>
      </c>
      <c r="AK76" s="2" t="b">
        <f t="shared" ref="AK76" si="1316">K76</f>
        <v>1</v>
      </c>
      <c r="AN76" s="2" t="b">
        <f t="shared" si="1299"/>
        <v>1</v>
      </c>
      <c r="AO76" s="2" t="b">
        <f t="shared" si="1300"/>
        <v>1</v>
      </c>
      <c r="AR76" s="2" t="b">
        <f t="shared" ref="AR76" si="1317">K76</f>
        <v>1</v>
      </c>
      <c r="AS76" s="2" t="b">
        <f t="shared" ref="AS76" si="1318">K76</f>
        <v>1</v>
      </c>
      <c r="AT76" s="2" t="b">
        <f t="shared" ref="AT76" si="1319">K76</f>
        <v>1</v>
      </c>
      <c r="AW76" s="2" t="b">
        <f t="shared" si="1303"/>
        <v>1</v>
      </c>
      <c r="AX76" s="2" t="b">
        <f t="shared" si="1304"/>
        <v>1</v>
      </c>
      <c r="AY76" s="2" t="b">
        <f t="shared" si="1305"/>
        <v>1</v>
      </c>
    </row>
    <row r="77" spans="2:51" ht="18" customHeight="1" x14ac:dyDescent="0.3">
      <c r="B77" s="415">
        <v>19</v>
      </c>
      <c r="C77" s="332">
        <f>IF('Full Season Entries'!AF24 = 2.2, 2, 'Full Season Entries'!AF24)</f>
        <v>0</v>
      </c>
      <c r="D77" s="332">
        <f>'Full Season Entries'!AG24</f>
        <v>0</v>
      </c>
      <c r="E77" s="2" t="s">
        <v>233</v>
      </c>
      <c r="F77" s="2" t="str">
        <f>IF('Full Season Entries'!K24 &lt;&gt; "", LEFT('Full Season Entries'!K24, 1), "")</f>
        <v/>
      </c>
      <c r="G77" s="2" t="b">
        <f>IF(F77 = "P", TRUE, FALSE)</f>
        <v>0</v>
      </c>
      <c r="H77" s="2" t="b">
        <f>IF(F77 = "G", TRUE, FALSE)</f>
        <v>0</v>
      </c>
      <c r="I77" s="2" t="b">
        <f>IF(F77 = "S", TRUE, FALSE)</f>
        <v>0</v>
      </c>
      <c r="J77" s="2" t="b">
        <f>IF(F77 = "B", TRUE, FALSE)</f>
        <v>0</v>
      </c>
      <c r="K77" s="27" t="b">
        <f>IF(AND(IF(G77 = FALSE, TRUE, FALSE), IF(H77 = FALSE, TRUE, FALSE), IF(I77 = FALSE, TRUE, FALSE), IF(J77 = FALSE, TRUE, FALSE)) = TRUE, TRUE, FALSE)</f>
        <v>1</v>
      </c>
      <c r="L77" s="415" t="str">
        <f>IF(P77, "", IF(AND(P78, P79), AND(T77, T78, T79, T80), AND(NOT(P80), T77, T78, T79, T80)))</f>
        <v/>
      </c>
      <c r="O77" s="1" t="s">
        <v>232</v>
      </c>
      <c r="P77" s="1" t="b">
        <f t="shared" ref="P77" si="1320">AND(K77, K78, K79, K80)</f>
        <v>1</v>
      </c>
      <c r="Q77" s="1">
        <f t="shared" si="1268"/>
        <v>0</v>
      </c>
      <c r="T77" s="2" t="b">
        <f t="shared" ref="T77" si="1321">IF(D77 = 0, FALSE, IF(C77 = 1, CHOOSE(D77, W77, X77, Y77, Z77), IF(C77 = 2, CHOOSE(D77, AC77, AD77, AE77, AF77), IF(C77 = 2.1, CHOOSE(D77, AC77, AD77, AE77, AF77), IF(C77 = 3, CHOOSE(D77, AI77, AJ77, AK77), IF(C77 = 4, CHOOSE(D77, AN77, AO77), IF(C77 = 5, CHOOSE(D77, AR77, AS77, AT77), IF(C77 = 7, CHOOSE(D77, AW77, AX77, AY77), FALSE))))))))</f>
        <v>0</v>
      </c>
      <c r="W77" s="2" t="b">
        <f t="shared" ref="W77" si="1322">AND(NOT(I77), NOT(K77), NOT(J77))</f>
        <v>0</v>
      </c>
      <c r="X77" s="2" t="b">
        <f t="shared" ref="X77" si="1323">AND(NOT(I77), NOT(K77), NOT(J77))</f>
        <v>0</v>
      </c>
      <c r="Y77" s="2" t="b">
        <f t="shared" ref="Y77" si="1324">AND(NOT(I77), NOT(K77), NOT(J77))</f>
        <v>0</v>
      </c>
      <c r="Z77" s="2" t="b">
        <f t="shared" ref="Z77" si="1325">AND(NOT(I77), NOT(K77), NOT(J77))</f>
        <v>0</v>
      </c>
      <c r="AC77" s="2" t="b">
        <f t="shared" ref="AC77" si="1326">AND(NOT(I77), NOT(K77), NOT(J77))</f>
        <v>0</v>
      </c>
      <c r="AD77" s="2" t="b">
        <f t="shared" ref="AD77" si="1327">AND(NOT(G77), NOT(K77), NOT(J77))</f>
        <v>0</v>
      </c>
      <c r="AE77" s="2" t="b">
        <f t="shared" ref="AE77" si="1328">AND(NOT(I77), NOT(K77), NOT(J77))</f>
        <v>0</v>
      </c>
      <c r="AF77" s="2" t="b">
        <f t="shared" ref="AF77" si="1329">AND(NOT(I77), NOT(K77), NOT(J77))</f>
        <v>0</v>
      </c>
      <c r="AI77" s="2" t="b">
        <f t="shared" ref="AI77" si="1330">AND(NOT(I77), NOT(K77), NOT(J77))</f>
        <v>0</v>
      </c>
      <c r="AJ77" s="2" t="b">
        <f t="shared" ref="AJ77" si="1331">AND(NOT(J77), NOT(K77))</f>
        <v>0</v>
      </c>
      <c r="AK77" s="2" t="b">
        <f t="shared" ref="AK77" si="1332">AND(NOT(I77), NOT(K77), NOT(J77))</f>
        <v>0</v>
      </c>
      <c r="AN77" s="2" t="b">
        <f t="shared" ref="AN77" si="1333">AND(NOT(I77), NOT(K77), NOT(J77))</f>
        <v>0</v>
      </c>
      <c r="AO77" s="2" t="b">
        <f t="shared" ref="AO77" si="1334">AND(NOT(G77), NOT(J77), NOT(K77))</f>
        <v>0</v>
      </c>
      <c r="AR77" s="2" t="b">
        <f t="shared" ref="AR77:AR79" si="1335">AND(NOT(J77), NOT(K77))</f>
        <v>0</v>
      </c>
      <c r="AS77" s="2" t="b">
        <f t="shared" ref="AS77" si="1336">AND(NOT(I77), NOT(K77), NOT(J77))</f>
        <v>0</v>
      </c>
      <c r="AT77" s="2" t="b">
        <f t="shared" ref="AT77" si="1337">AND(NOT(G77), NOT(J77), NOT(K77))</f>
        <v>0</v>
      </c>
      <c r="AW77" s="2" t="b">
        <f t="shared" ref="AW77" si="1338">AND(NOT(G77), NOT(J77), NOT(K77))</f>
        <v>0</v>
      </c>
      <c r="AX77" s="2" t="b">
        <f t="shared" ref="AX77" si="1339">AND(NOT(J77), NOT(K77))</f>
        <v>0</v>
      </c>
      <c r="AY77" s="2" t="b">
        <f t="shared" ref="AY77" si="1340">AND(NOT(G77), NOT(J77), NOT(K77))</f>
        <v>0</v>
      </c>
    </row>
    <row r="78" spans="2:51" ht="18" customHeight="1" x14ac:dyDescent="0.3">
      <c r="B78" s="416"/>
      <c r="C78" s="332"/>
      <c r="D78" s="332"/>
      <c r="E78" s="2" t="s">
        <v>234</v>
      </c>
      <c r="F78" s="2" t="str">
        <f>IF('Full Season Entries'!L24 &lt;&gt; "", LEFT('Full Season Entries'!L24, 1), "")</f>
        <v/>
      </c>
      <c r="G78" s="2" t="b">
        <f t="shared" ref="G78:G80" si="1341">IF(F78 = "P", TRUE, FALSE)</f>
        <v>0</v>
      </c>
      <c r="H78" s="2" t="b">
        <f t="shared" ref="H78:H80" si="1342">IF(F78 = "G", TRUE, FALSE)</f>
        <v>0</v>
      </c>
      <c r="I78" s="2" t="b">
        <f t="shared" ref="I78:I80" si="1343">IF(F78 = "S", TRUE, FALSE)</f>
        <v>0</v>
      </c>
      <c r="J78" s="2" t="b">
        <f t="shared" ref="J78:J80" si="1344">IF(F78 = "B", TRUE, FALSE)</f>
        <v>0</v>
      </c>
      <c r="K78" s="27" t="b">
        <f t="shared" ref="K78:K80" si="1345">IF(AND(IF(G78 = FALSE, TRUE, FALSE), IF(H78 = FALSE, TRUE, FALSE), IF(I78 = FALSE, TRUE, FALSE), IF(J78 = FALSE, TRUE, FALSE)) = TRUE, TRUE, FALSE)</f>
        <v>1</v>
      </c>
      <c r="L78" s="416"/>
      <c r="O78" s="1" t="s">
        <v>386</v>
      </c>
      <c r="P78" s="1" t="b">
        <f t="shared" ref="P78" si="1346">OR(IF(C77 = 2, TRUE, FALSE), IF(C77 = 2.2, TRUE, FALSE))</f>
        <v>0</v>
      </c>
      <c r="Q78" s="1">
        <f t="shared" si="1268"/>
        <v>0</v>
      </c>
      <c r="T78" s="2" t="b">
        <f t="shared" ref="T78" si="1347">IF(D77 = 0, FALSE, IF(C77 = 1, CHOOSE(D77, W78, X78, Y78, Z78), IF(C77 = 2, CHOOSE(D77, AC78, AD78, AE78, AF78), IF(C77 = 2.1, CHOOSE(D77, AC78, AD78, AE78, AF78), IF(C77 = 3, CHOOSE(D77, AI78, AJ78, AK78), IF(C77 = 4, CHOOSE(D77, AN78, AO78), IF(C77 = 5, CHOOSE(D77, AR78, AS78, AT78), IF(C77 = 7, CHOOSE(D77, AW78, AX78, AY78), FALSE))))))))</f>
        <v>0</v>
      </c>
      <c r="W78" s="2" t="b">
        <f t="shared" ref="W78:W79" si="1348">AND(NOT(K78), NOT(J78))</f>
        <v>0</v>
      </c>
      <c r="X78" s="2" t="b">
        <f t="shared" ref="X78" si="1349">NOT(K77)</f>
        <v>0</v>
      </c>
      <c r="Y78" s="2" t="b">
        <f t="shared" ref="Y78:Y79" si="1350">AND(NOT(K78), NOT(J78))</f>
        <v>0</v>
      </c>
      <c r="Z78" s="2" t="b">
        <f t="shared" ref="Z78" si="1351">OR(I78, J78)</f>
        <v>0</v>
      </c>
      <c r="AC78" s="2" t="b">
        <f t="shared" ref="AC78" si="1352">AND(NOT(K78), NOT(J78))</f>
        <v>0</v>
      </c>
      <c r="AD78" s="2" t="b">
        <f t="shared" ref="AD78" si="1353">J78</f>
        <v>0</v>
      </c>
      <c r="AE78" s="2" t="b">
        <f t="shared" ref="AE78" si="1354">AND(NOT(K78), NOT(J78))</f>
        <v>0</v>
      </c>
      <c r="AF78" s="2" t="b">
        <f t="shared" ref="AF78" si="1355">J78</f>
        <v>0</v>
      </c>
      <c r="AI78" s="2" t="b">
        <f t="shared" ref="AI78" si="1356">AND(NOT(J78), NOT(K78))</f>
        <v>0</v>
      </c>
      <c r="AJ78" s="2" t="b">
        <f t="shared" ref="AJ78" si="1357">OR(I78, J78)</f>
        <v>0</v>
      </c>
      <c r="AK78" s="2" t="b">
        <f t="shared" ref="AK78" si="1358">OR(I78, J78)</f>
        <v>0</v>
      </c>
      <c r="AN78" s="2" t="b">
        <f t="shared" ref="AN78" si="1359">OR(I78, J78)</f>
        <v>0</v>
      </c>
      <c r="AO78" s="2" t="b">
        <f t="shared" ref="AO78" si="1360">J78</f>
        <v>0</v>
      </c>
      <c r="AR78" s="2" t="b">
        <f t="shared" si="1335"/>
        <v>0</v>
      </c>
      <c r="AS78" s="2" t="b">
        <f t="shared" ref="AS78" si="1361">OR(I78, J78)</f>
        <v>0</v>
      </c>
      <c r="AT78" s="2" t="b">
        <f t="shared" ref="AT78" si="1362">OR(I78, J78)</f>
        <v>0</v>
      </c>
      <c r="AW78" s="2" t="b">
        <f t="shared" ref="AW78" si="1363">J78</f>
        <v>0</v>
      </c>
      <c r="AX78" s="2" t="b">
        <f t="shared" ref="AX78" si="1364">J78</f>
        <v>0</v>
      </c>
      <c r="AY78" s="2" t="b">
        <f t="shared" ref="AY78" si="1365">J78</f>
        <v>0</v>
      </c>
    </row>
    <row r="79" spans="2:51" ht="18" customHeight="1" x14ac:dyDescent="0.3">
      <c r="B79" s="416"/>
      <c r="C79" s="332"/>
      <c r="D79" s="332"/>
      <c r="E79" s="2" t="s">
        <v>235</v>
      </c>
      <c r="F79" s="2" t="str">
        <f>IF('Full Season Entries'!M24 &lt;&gt; "", LEFT('Full Season Entries'!M24, 1), "")</f>
        <v/>
      </c>
      <c r="G79" s="2" t="b">
        <f t="shared" si="1341"/>
        <v>0</v>
      </c>
      <c r="H79" s="2" t="b">
        <f t="shared" si="1342"/>
        <v>0</v>
      </c>
      <c r="I79" s="2" t="b">
        <f t="shared" si="1343"/>
        <v>0</v>
      </c>
      <c r="J79" s="2" t="b">
        <f t="shared" si="1344"/>
        <v>0</v>
      </c>
      <c r="K79" s="27" t="b">
        <f t="shared" si="1345"/>
        <v>1</v>
      </c>
      <c r="L79" s="416"/>
      <c r="O79" s="1" t="s">
        <v>387</v>
      </c>
      <c r="P79" s="1" t="b">
        <f t="shared" ref="P79" si="1366">OR(IF(D77 = 2, TRUE, FALSE), IF(D77 = 4, TRUE, FALSE))</f>
        <v>0</v>
      </c>
      <c r="Q79" s="1">
        <f t="shared" si="1268"/>
        <v>0</v>
      </c>
      <c r="T79" s="2" t="b">
        <f t="shared" ref="T79" si="1367">IF(D77 = 0, FALSE, IF(C77 = 1, CHOOSE(D77, W79, X79, Y79, Z79), IF(C77 = 2, CHOOSE(D77, AC79, AD79, AE79, AF79), IF(C77 = 2.1, K79, IF(C77 = 3, CHOOSE(D77, AI79, AJ79, AK79), IF(C77 = 4, CHOOSE(D77, AN79, AO79), IF(C77 = 5, CHOOSE(D77, AR79, AS79, AT79), IF(C77 = 7, CHOOSE(D77, AW79, AX79, AY79), FALSE))))))))</f>
        <v>0</v>
      </c>
      <c r="W79" s="2" t="b">
        <f t="shared" si="1348"/>
        <v>0</v>
      </c>
      <c r="X79" s="2" t="b">
        <f t="shared" ref="X79" si="1368">OR(I79, J79)</f>
        <v>0</v>
      </c>
      <c r="Y79" s="2" t="b">
        <f t="shared" si="1350"/>
        <v>0</v>
      </c>
      <c r="Z79" s="2" t="b">
        <f t="shared" ref="Z79" si="1369">J79</f>
        <v>0</v>
      </c>
      <c r="AC79" s="2" t="b">
        <f t="shared" ref="AC79" si="1370">NOT(K79)</f>
        <v>0</v>
      </c>
      <c r="AD79" s="2" t="b">
        <f t="shared" ref="AD79" si="1371">OR(I79, J79)</f>
        <v>0</v>
      </c>
      <c r="AE79" s="2" t="b">
        <f t="shared" ref="AE79" si="1372">NOT(K79)</f>
        <v>0</v>
      </c>
      <c r="AF79" s="2" t="b">
        <f t="shared" ref="AF79" si="1373">OR(I79, J79)</f>
        <v>0</v>
      </c>
      <c r="AI79" s="2" t="b">
        <f t="shared" ref="AI79" si="1374">AND(OR(I79, J79), NOT(K79))</f>
        <v>0</v>
      </c>
      <c r="AJ79" s="2" t="b">
        <f t="shared" ref="AJ79" si="1375">J79</f>
        <v>0</v>
      </c>
      <c r="AK79" s="2" t="b">
        <f t="shared" ref="AK79" si="1376">J79</f>
        <v>0</v>
      </c>
      <c r="AN79" s="2" t="b">
        <f t="shared" ref="AN79:AN80" si="1377">K79</f>
        <v>1</v>
      </c>
      <c r="AO79" s="2" t="b">
        <f t="shared" ref="AO79:AO80" si="1378">K79</f>
        <v>1</v>
      </c>
      <c r="AR79" s="2" t="b">
        <f t="shared" si="1335"/>
        <v>0</v>
      </c>
      <c r="AS79" s="2" t="b">
        <f t="shared" ref="AS79" si="1379">J79</f>
        <v>0</v>
      </c>
      <c r="AT79" s="2" t="b">
        <f t="shared" ref="AT79" si="1380">J79</f>
        <v>0</v>
      </c>
      <c r="AW79" s="2" t="b">
        <f t="shared" ref="AW79:AW80" si="1381">K79</f>
        <v>1</v>
      </c>
      <c r="AX79" s="2" t="b">
        <f t="shared" ref="AX79:AX80" si="1382">K79</f>
        <v>1</v>
      </c>
      <c r="AY79" s="2" t="b">
        <f t="shared" ref="AY79:AY80" si="1383">K79</f>
        <v>1</v>
      </c>
    </row>
    <row r="80" spans="2:51" ht="18" customHeight="1" x14ac:dyDescent="0.3">
      <c r="B80" s="412"/>
      <c r="C80" s="332"/>
      <c r="D80" s="332"/>
      <c r="E80" s="2" t="s">
        <v>236</v>
      </c>
      <c r="F80" s="2" t="str">
        <f>IF('Full Season Entries'!N24 &lt;&gt; "", LEFT('Full Season Entries'!N24, 1), "")</f>
        <v/>
      </c>
      <c r="G80" s="2" t="b">
        <f t="shared" si="1341"/>
        <v>0</v>
      </c>
      <c r="H80" s="2" t="b">
        <f t="shared" si="1342"/>
        <v>0</v>
      </c>
      <c r="I80" s="2" t="b">
        <f t="shared" si="1343"/>
        <v>0</v>
      </c>
      <c r="J80" s="2" t="b">
        <f t="shared" si="1344"/>
        <v>0</v>
      </c>
      <c r="K80" s="27" t="b">
        <f t="shared" si="1345"/>
        <v>1</v>
      </c>
      <c r="L80" s="412"/>
      <c r="O80" s="1" t="s">
        <v>388</v>
      </c>
      <c r="P80" s="1" t="b">
        <f t="shared" ref="P80" si="1384">IF(SUM(Q77:Q80) &gt; 1, TRUE, FALSE)</f>
        <v>0</v>
      </c>
      <c r="Q80" s="1">
        <f t="shared" si="1268"/>
        <v>0</v>
      </c>
      <c r="T80" s="2" t="b">
        <f t="shared" ref="T80" si="1385">IF(D77 = 0, FALSE, IF(C77 = 1, CHOOSE(D77, W80, X80, Y80, Z80), IF(C77 = 2, CHOOSE(D77, AC80, AD80, AE80, AF80), IF(C77 = 2.1, K80, IF(C77 = 3, CHOOSE(D77, AI80, AJ80, AK80), IF(C77 = 4, CHOOSE(D77, AN80, AO80), IF(C77 = 5, CHOOSE(D77, AR80, AS80, AT80), IF(C77 = 7, CHOOSE(D77, AW80, AX80, AY80), FALSE))))))))</f>
        <v>0</v>
      </c>
      <c r="W80" s="2" t="b">
        <f t="shared" ref="W80" si="1386">K80</f>
        <v>1</v>
      </c>
      <c r="X80" s="2" t="b">
        <f t="shared" ref="X80" si="1387">K80</f>
        <v>1</v>
      </c>
      <c r="Y80" s="2" t="b">
        <f t="shared" ref="Y80" si="1388">K80</f>
        <v>1</v>
      </c>
      <c r="Z80" s="2" t="b">
        <f t="shared" ref="Z80" si="1389">K80</f>
        <v>1</v>
      </c>
      <c r="AC80" s="2" t="b">
        <v>1</v>
      </c>
      <c r="AD80" s="2" t="b">
        <f t="shared" ref="AD80" si="1390">NOT(K80)</f>
        <v>0</v>
      </c>
      <c r="AE80" s="2" t="b">
        <v>1</v>
      </c>
      <c r="AF80" s="2" t="b">
        <f t="shared" ref="AF80" si="1391">NOT(K80)</f>
        <v>0</v>
      </c>
      <c r="AI80" s="2" t="b">
        <f t="shared" ref="AI80" si="1392">K80</f>
        <v>1</v>
      </c>
      <c r="AJ80" s="2" t="b">
        <f t="shared" ref="AJ80" si="1393">K80</f>
        <v>1</v>
      </c>
      <c r="AK80" s="2" t="b">
        <f t="shared" ref="AK80" si="1394">K80</f>
        <v>1</v>
      </c>
      <c r="AN80" s="2" t="b">
        <f t="shared" si="1377"/>
        <v>1</v>
      </c>
      <c r="AO80" s="2" t="b">
        <f t="shared" si="1378"/>
        <v>1</v>
      </c>
      <c r="AR80" s="2" t="b">
        <f t="shared" ref="AR80" si="1395">K80</f>
        <v>1</v>
      </c>
      <c r="AS80" s="2" t="b">
        <f t="shared" ref="AS80" si="1396">K80</f>
        <v>1</v>
      </c>
      <c r="AT80" s="2" t="b">
        <f t="shared" ref="AT80" si="1397">K80</f>
        <v>1</v>
      </c>
      <c r="AW80" s="2" t="b">
        <f t="shared" si="1381"/>
        <v>1</v>
      </c>
      <c r="AX80" s="2" t="b">
        <f t="shared" si="1382"/>
        <v>1</v>
      </c>
      <c r="AY80" s="2" t="b">
        <f t="shared" si="1383"/>
        <v>1</v>
      </c>
    </row>
    <row r="81" spans="2:51" ht="18" customHeight="1" x14ac:dyDescent="0.3">
      <c r="B81" s="415">
        <v>20</v>
      </c>
      <c r="C81" s="332">
        <f>IF('Full Season Entries'!AF25 = 2.2, 2, 'Full Season Entries'!AF25)</f>
        <v>0</v>
      </c>
      <c r="D81" s="332">
        <f>'Full Season Entries'!AG25</f>
        <v>0</v>
      </c>
      <c r="E81" s="2" t="s">
        <v>233</v>
      </c>
      <c r="F81" s="2" t="str">
        <f>IF('Full Season Entries'!K25 &lt;&gt; "", LEFT('Full Season Entries'!K25, 1), "")</f>
        <v/>
      </c>
      <c r="G81" s="2" t="b">
        <f>IF(F81 = "P", TRUE, FALSE)</f>
        <v>0</v>
      </c>
      <c r="H81" s="2" t="b">
        <f>IF(F81 = "G", TRUE, FALSE)</f>
        <v>0</v>
      </c>
      <c r="I81" s="2" t="b">
        <f>IF(F81 = "S", TRUE, FALSE)</f>
        <v>0</v>
      </c>
      <c r="J81" s="2" t="b">
        <f>IF(F81 = "B", TRUE, FALSE)</f>
        <v>0</v>
      </c>
      <c r="K81" s="27" t="b">
        <f>IF(AND(IF(G81 = FALSE, TRUE, FALSE), IF(H81 = FALSE, TRUE, FALSE), IF(I81 = FALSE, TRUE, FALSE), IF(J81 = FALSE, TRUE, FALSE)) = TRUE, TRUE, FALSE)</f>
        <v>1</v>
      </c>
      <c r="L81" s="415" t="str">
        <f>IF(P81, "", IF(AND(P82, P83), AND(T81, T82, T83, T84), AND(NOT(P84), T81, T82, T83, T84)))</f>
        <v/>
      </c>
      <c r="O81" s="1" t="s">
        <v>232</v>
      </c>
      <c r="P81" s="1" t="b">
        <f t="shared" ref="P81" si="1398">AND(K81, K82, K83, K84)</f>
        <v>1</v>
      </c>
      <c r="Q81" s="1">
        <f t="shared" si="1268"/>
        <v>0</v>
      </c>
      <c r="T81" s="2" t="b">
        <f t="shared" ref="T81" si="1399">IF(D81 = 0, FALSE, IF(C81 = 1, CHOOSE(D81, W81, X81, Y81, Z81), IF(C81 = 2, CHOOSE(D81, AC81, AD81, AE81, AF81), IF(C81 = 2.1, CHOOSE(D81, AC81, AD81, AE81, AF81), IF(C81 = 3, CHOOSE(D81, AI81, AJ81, AK81), IF(C81 = 4, CHOOSE(D81, AN81, AO81), IF(C81 = 5, CHOOSE(D81, AR81, AS81, AT81), IF(C81 = 7, CHOOSE(D81, AW81, AX81, AY81), FALSE))))))))</f>
        <v>0</v>
      </c>
      <c r="W81" s="2" t="b">
        <f t="shared" ref="W81" si="1400">AND(NOT(I81), NOT(K81), NOT(J81))</f>
        <v>0</v>
      </c>
      <c r="X81" s="2" t="b">
        <f t="shared" ref="X81" si="1401">AND(NOT(I81), NOT(K81), NOT(J81))</f>
        <v>0</v>
      </c>
      <c r="Y81" s="2" t="b">
        <f t="shared" ref="Y81" si="1402">AND(NOT(I81), NOT(K81), NOT(J81))</f>
        <v>0</v>
      </c>
      <c r="Z81" s="2" t="b">
        <f t="shared" ref="Z81" si="1403">AND(NOT(I81), NOT(K81), NOT(J81))</f>
        <v>0</v>
      </c>
      <c r="AC81" s="2" t="b">
        <f t="shared" ref="AC81" si="1404">AND(NOT(I81), NOT(K81), NOT(J81))</f>
        <v>0</v>
      </c>
      <c r="AD81" s="2" t="b">
        <f t="shared" ref="AD81" si="1405">AND(NOT(G81), NOT(K81), NOT(J81))</f>
        <v>0</v>
      </c>
      <c r="AE81" s="2" t="b">
        <f t="shared" ref="AE81" si="1406">AND(NOT(I81), NOT(K81), NOT(J81))</f>
        <v>0</v>
      </c>
      <c r="AF81" s="2" t="b">
        <f t="shared" ref="AF81" si="1407">AND(NOT(I81), NOT(K81), NOT(J81))</f>
        <v>0</v>
      </c>
      <c r="AI81" s="2" t="b">
        <f t="shared" ref="AI81" si="1408">AND(NOT(I81), NOT(K81), NOT(J81))</f>
        <v>0</v>
      </c>
      <c r="AJ81" s="2" t="b">
        <f t="shared" ref="AJ81" si="1409">AND(NOT(J81), NOT(K81))</f>
        <v>0</v>
      </c>
      <c r="AK81" s="2" t="b">
        <f t="shared" ref="AK81" si="1410">AND(NOT(I81), NOT(K81), NOT(J81))</f>
        <v>0</v>
      </c>
      <c r="AN81" s="2" t="b">
        <f t="shared" ref="AN81" si="1411">AND(NOT(I81), NOT(K81), NOT(J81))</f>
        <v>0</v>
      </c>
      <c r="AO81" s="2" t="b">
        <f t="shared" ref="AO81" si="1412">AND(NOT(G81), NOT(J81), NOT(K81))</f>
        <v>0</v>
      </c>
      <c r="AR81" s="2" t="b">
        <f t="shared" ref="AR81:AR83" si="1413">AND(NOT(J81), NOT(K81))</f>
        <v>0</v>
      </c>
      <c r="AS81" s="2" t="b">
        <f t="shared" ref="AS81" si="1414">AND(NOT(I81), NOT(K81), NOT(J81))</f>
        <v>0</v>
      </c>
      <c r="AT81" s="2" t="b">
        <f t="shared" ref="AT81" si="1415">AND(NOT(G81), NOT(J81), NOT(K81))</f>
        <v>0</v>
      </c>
      <c r="AW81" s="2" t="b">
        <f t="shared" ref="AW81" si="1416">AND(NOT(G81), NOT(J81), NOT(K81))</f>
        <v>0</v>
      </c>
      <c r="AX81" s="2" t="b">
        <f t="shared" ref="AX81" si="1417">AND(NOT(J81), NOT(K81))</f>
        <v>0</v>
      </c>
      <c r="AY81" s="2" t="b">
        <f t="shared" ref="AY81" si="1418">AND(NOT(G81), NOT(J81), NOT(K81))</f>
        <v>0</v>
      </c>
    </row>
    <row r="82" spans="2:51" ht="18" customHeight="1" x14ac:dyDescent="0.3">
      <c r="B82" s="416"/>
      <c r="C82" s="332"/>
      <c r="D82" s="332"/>
      <c r="E82" s="2" t="s">
        <v>234</v>
      </c>
      <c r="F82" s="2" t="str">
        <f>IF('Full Season Entries'!L25 &lt;&gt; "", LEFT('Full Season Entries'!L25, 1), "")</f>
        <v/>
      </c>
      <c r="G82" s="2" t="b">
        <f t="shared" ref="G82:G84" si="1419">IF(F82 = "P", TRUE, FALSE)</f>
        <v>0</v>
      </c>
      <c r="H82" s="2" t="b">
        <f t="shared" ref="H82:H84" si="1420">IF(F82 = "G", TRUE, FALSE)</f>
        <v>0</v>
      </c>
      <c r="I82" s="2" t="b">
        <f t="shared" ref="I82:I84" si="1421">IF(F82 = "S", TRUE, FALSE)</f>
        <v>0</v>
      </c>
      <c r="J82" s="2" t="b">
        <f t="shared" ref="J82:J84" si="1422">IF(F82 = "B", TRUE, FALSE)</f>
        <v>0</v>
      </c>
      <c r="K82" s="27" t="b">
        <f t="shared" ref="K82:K84" si="1423">IF(AND(IF(G82 = FALSE, TRUE, FALSE), IF(H82 = FALSE, TRUE, FALSE), IF(I82 = FALSE, TRUE, FALSE), IF(J82 = FALSE, TRUE, FALSE)) = TRUE, TRUE, FALSE)</f>
        <v>1</v>
      </c>
      <c r="L82" s="416"/>
      <c r="O82" s="1" t="s">
        <v>386</v>
      </c>
      <c r="P82" s="1" t="b">
        <f t="shared" ref="P82" si="1424">OR(IF(C81 = 2, TRUE, FALSE), IF(C81 = 2.2, TRUE, FALSE))</f>
        <v>0</v>
      </c>
      <c r="Q82" s="1">
        <f t="shared" si="1268"/>
        <v>0</v>
      </c>
      <c r="T82" s="2" t="b">
        <f t="shared" ref="T82" si="1425">IF(D81 = 0, FALSE, IF(C81 = 1, CHOOSE(D81, W82, X82, Y82, Z82), IF(C81 = 2, CHOOSE(D81, AC82, AD82, AE82, AF82), IF(C81 = 2.1, CHOOSE(D81, AC82, AD82, AE82, AF82), IF(C81 = 3, CHOOSE(D81, AI82, AJ82, AK82), IF(C81 = 4, CHOOSE(D81, AN82, AO82), IF(C81 = 5, CHOOSE(D81, AR82, AS82, AT82), IF(C81 = 7, CHOOSE(D81, AW82, AX82, AY82), FALSE))))))))</f>
        <v>0</v>
      </c>
      <c r="W82" s="2" t="b">
        <f t="shared" ref="W82:W83" si="1426">AND(NOT(K82), NOT(J82))</f>
        <v>0</v>
      </c>
      <c r="X82" s="2" t="b">
        <f t="shared" ref="X82" si="1427">NOT(K81)</f>
        <v>0</v>
      </c>
      <c r="Y82" s="2" t="b">
        <f t="shared" ref="Y82:Y83" si="1428">AND(NOT(K82), NOT(J82))</f>
        <v>0</v>
      </c>
      <c r="Z82" s="2" t="b">
        <f t="shared" ref="Z82" si="1429">OR(I82, J82)</f>
        <v>0</v>
      </c>
      <c r="AC82" s="2" t="b">
        <f t="shared" ref="AC82" si="1430">AND(NOT(K82), NOT(J82))</f>
        <v>0</v>
      </c>
      <c r="AD82" s="2" t="b">
        <f t="shared" ref="AD82" si="1431">J82</f>
        <v>0</v>
      </c>
      <c r="AE82" s="2" t="b">
        <f t="shared" ref="AE82" si="1432">AND(NOT(K82), NOT(J82))</f>
        <v>0</v>
      </c>
      <c r="AF82" s="2" t="b">
        <f t="shared" ref="AF82" si="1433">J82</f>
        <v>0</v>
      </c>
      <c r="AI82" s="2" t="b">
        <f t="shared" ref="AI82" si="1434">AND(NOT(J82), NOT(K82))</f>
        <v>0</v>
      </c>
      <c r="AJ82" s="2" t="b">
        <f t="shared" ref="AJ82" si="1435">OR(I82, J82)</f>
        <v>0</v>
      </c>
      <c r="AK82" s="2" t="b">
        <f t="shared" ref="AK82" si="1436">OR(I82, J82)</f>
        <v>0</v>
      </c>
      <c r="AN82" s="2" t="b">
        <f t="shared" ref="AN82" si="1437">OR(I82, J82)</f>
        <v>0</v>
      </c>
      <c r="AO82" s="2" t="b">
        <f t="shared" ref="AO82" si="1438">J82</f>
        <v>0</v>
      </c>
      <c r="AR82" s="2" t="b">
        <f t="shared" si="1413"/>
        <v>0</v>
      </c>
      <c r="AS82" s="2" t="b">
        <f t="shared" ref="AS82" si="1439">OR(I82, J82)</f>
        <v>0</v>
      </c>
      <c r="AT82" s="2" t="b">
        <f t="shared" ref="AT82" si="1440">OR(I82, J82)</f>
        <v>0</v>
      </c>
      <c r="AW82" s="2" t="b">
        <f t="shared" ref="AW82" si="1441">J82</f>
        <v>0</v>
      </c>
      <c r="AX82" s="2" t="b">
        <f t="shared" ref="AX82" si="1442">J82</f>
        <v>0</v>
      </c>
      <c r="AY82" s="2" t="b">
        <f t="shared" ref="AY82" si="1443">J82</f>
        <v>0</v>
      </c>
    </row>
    <row r="83" spans="2:51" ht="18" customHeight="1" x14ac:dyDescent="0.3">
      <c r="B83" s="416"/>
      <c r="C83" s="332"/>
      <c r="D83" s="332"/>
      <c r="E83" s="2" t="s">
        <v>235</v>
      </c>
      <c r="F83" s="2" t="str">
        <f>IF('Full Season Entries'!M25 &lt;&gt; "", LEFT('Full Season Entries'!M25, 1), "")</f>
        <v/>
      </c>
      <c r="G83" s="2" t="b">
        <f t="shared" si="1419"/>
        <v>0</v>
      </c>
      <c r="H83" s="2" t="b">
        <f t="shared" si="1420"/>
        <v>0</v>
      </c>
      <c r="I83" s="2" t="b">
        <f t="shared" si="1421"/>
        <v>0</v>
      </c>
      <c r="J83" s="2" t="b">
        <f t="shared" si="1422"/>
        <v>0</v>
      </c>
      <c r="K83" s="27" t="b">
        <f t="shared" si="1423"/>
        <v>1</v>
      </c>
      <c r="L83" s="416"/>
      <c r="O83" s="1" t="s">
        <v>387</v>
      </c>
      <c r="P83" s="1" t="b">
        <f t="shared" ref="P83" si="1444">OR(IF(D81 = 2, TRUE, FALSE), IF(D81 = 4, TRUE, FALSE))</f>
        <v>0</v>
      </c>
      <c r="Q83" s="1">
        <f t="shared" si="1268"/>
        <v>0</v>
      </c>
      <c r="T83" s="2" t="b">
        <f t="shared" ref="T83" si="1445">IF(D81 = 0, FALSE, IF(C81 = 1, CHOOSE(D81, W83, X83, Y83, Z83), IF(C81 = 2, CHOOSE(D81, AC83, AD83, AE83, AF83), IF(C81 = 2.1, K83, IF(C81 = 3, CHOOSE(D81, AI83, AJ83, AK83), IF(C81 = 4, CHOOSE(D81, AN83, AO83), IF(C81 = 5, CHOOSE(D81, AR83, AS83, AT83), IF(C81 = 7, CHOOSE(D81, AW83, AX83, AY83), FALSE))))))))</f>
        <v>0</v>
      </c>
      <c r="W83" s="2" t="b">
        <f t="shared" si="1426"/>
        <v>0</v>
      </c>
      <c r="X83" s="2" t="b">
        <f t="shared" ref="X83" si="1446">OR(I83, J83)</f>
        <v>0</v>
      </c>
      <c r="Y83" s="2" t="b">
        <f t="shared" si="1428"/>
        <v>0</v>
      </c>
      <c r="Z83" s="2" t="b">
        <f t="shared" ref="Z83" si="1447">J83</f>
        <v>0</v>
      </c>
      <c r="AC83" s="2" t="b">
        <f t="shared" ref="AC83" si="1448">NOT(K83)</f>
        <v>0</v>
      </c>
      <c r="AD83" s="2" t="b">
        <f t="shared" ref="AD83" si="1449">OR(I83, J83)</f>
        <v>0</v>
      </c>
      <c r="AE83" s="2" t="b">
        <f t="shared" ref="AE83" si="1450">NOT(K83)</f>
        <v>0</v>
      </c>
      <c r="AF83" s="2" t="b">
        <f t="shared" ref="AF83" si="1451">OR(I83, J83)</f>
        <v>0</v>
      </c>
      <c r="AI83" s="2" t="b">
        <f t="shared" ref="AI83" si="1452">AND(OR(I83, J83), NOT(K83))</f>
        <v>0</v>
      </c>
      <c r="AJ83" s="2" t="b">
        <f t="shared" ref="AJ83" si="1453">J83</f>
        <v>0</v>
      </c>
      <c r="AK83" s="2" t="b">
        <f t="shared" ref="AK83" si="1454">J83</f>
        <v>0</v>
      </c>
      <c r="AN83" s="2" t="b">
        <f t="shared" ref="AN83:AN84" si="1455">K83</f>
        <v>1</v>
      </c>
      <c r="AO83" s="2" t="b">
        <f t="shared" ref="AO83:AO84" si="1456">K83</f>
        <v>1</v>
      </c>
      <c r="AR83" s="2" t="b">
        <f t="shared" si="1413"/>
        <v>0</v>
      </c>
      <c r="AS83" s="2" t="b">
        <f t="shared" ref="AS83" si="1457">J83</f>
        <v>0</v>
      </c>
      <c r="AT83" s="2" t="b">
        <f t="shared" ref="AT83" si="1458">J83</f>
        <v>0</v>
      </c>
      <c r="AW83" s="2" t="b">
        <f t="shared" ref="AW83:AW84" si="1459">K83</f>
        <v>1</v>
      </c>
      <c r="AX83" s="2" t="b">
        <f t="shared" ref="AX83:AX84" si="1460">K83</f>
        <v>1</v>
      </c>
      <c r="AY83" s="2" t="b">
        <f t="shared" ref="AY83:AY84" si="1461">K83</f>
        <v>1</v>
      </c>
    </row>
    <row r="84" spans="2:51" ht="18" customHeight="1" x14ac:dyDescent="0.3">
      <c r="B84" s="412"/>
      <c r="C84" s="332"/>
      <c r="D84" s="332"/>
      <c r="E84" s="2" t="s">
        <v>236</v>
      </c>
      <c r="F84" s="2" t="str">
        <f>IF('Full Season Entries'!N25 &lt;&gt; "", LEFT('Full Season Entries'!N25, 1), "")</f>
        <v/>
      </c>
      <c r="G84" s="2" t="b">
        <f t="shared" si="1419"/>
        <v>0</v>
      </c>
      <c r="H84" s="2" t="b">
        <f t="shared" si="1420"/>
        <v>0</v>
      </c>
      <c r="I84" s="2" t="b">
        <f t="shared" si="1421"/>
        <v>0</v>
      </c>
      <c r="J84" s="2" t="b">
        <f t="shared" si="1422"/>
        <v>0</v>
      </c>
      <c r="K84" s="27" t="b">
        <f t="shared" si="1423"/>
        <v>1</v>
      </c>
      <c r="L84" s="412"/>
      <c r="O84" s="1" t="s">
        <v>388</v>
      </c>
      <c r="P84" s="1" t="b">
        <f t="shared" ref="P84" si="1462">IF(SUM(Q81:Q84) &gt; 1, TRUE, FALSE)</f>
        <v>0</v>
      </c>
      <c r="Q84" s="1">
        <f t="shared" si="1268"/>
        <v>0</v>
      </c>
      <c r="T84" s="2" t="b">
        <f t="shared" ref="T84" si="1463">IF(D81 = 0, FALSE, IF(C81 = 1, CHOOSE(D81, W84, X84, Y84, Z84), IF(C81 = 2, CHOOSE(D81, AC84, AD84, AE84, AF84), IF(C81 = 2.1, K84, IF(C81 = 3, CHOOSE(D81, AI84, AJ84, AK84), IF(C81 = 4, CHOOSE(D81, AN84, AO84), IF(C81 = 5, CHOOSE(D81, AR84, AS84, AT84), IF(C81 = 7, CHOOSE(D81, AW84, AX84, AY84), FALSE))))))))</f>
        <v>0</v>
      </c>
      <c r="W84" s="2" t="b">
        <f t="shared" ref="W84" si="1464">K84</f>
        <v>1</v>
      </c>
      <c r="X84" s="2" t="b">
        <f t="shared" ref="X84" si="1465">K84</f>
        <v>1</v>
      </c>
      <c r="Y84" s="2" t="b">
        <f t="shared" ref="Y84" si="1466">K84</f>
        <v>1</v>
      </c>
      <c r="Z84" s="2" t="b">
        <f t="shared" ref="Z84" si="1467">K84</f>
        <v>1</v>
      </c>
      <c r="AC84" s="2" t="b">
        <v>1</v>
      </c>
      <c r="AD84" s="2" t="b">
        <f t="shared" ref="AD84" si="1468">NOT(K84)</f>
        <v>0</v>
      </c>
      <c r="AE84" s="2" t="b">
        <v>1</v>
      </c>
      <c r="AF84" s="2" t="b">
        <f t="shared" ref="AF84" si="1469">NOT(K84)</f>
        <v>0</v>
      </c>
      <c r="AI84" s="2" t="b">
        <f t="shared" ref="AI84" si="1470">K84</f>
        <v>1</v>
      </c>
      <c r="AJ84" s="2" t="b">
        <f t="shared" ref="AJ84" si="1471">K84</f>
        <v>1</v>
      </c>
      <c r="AK84" s="2" t="b">
        <f t="shared" ref="AK84" si="1472">K84</f>
        <v>1</v>
      </c>
      <c r="AN84" s="2" t="b">
        <f t="shared" si="1455"/>
        <v>1</v>
      </c>
      <c r="AO84" s="2" t="b">
        <f t="shared" si="1456"/>
        <v>1</v>
      </c>
      <c r="AR84" s="2" t="b">
        <f t="shared" ref="AR84" si="1473">K84</f>
        <v>1</v>
      </c>
      <c r="AS84" s="2" t="b">
        <f t="shared" ref="AS84" si="1474">K84</f>
        <v>1</v>
      </c>
      <c r="AT84" s="2" t="b">
        <f t="shared" ref="AT84" si="1475">K84</f>
        <v>1</v>
      </c>
      <c r="AW84" s="2" t="b">
        <f t="shared" si="1459"/>
        <v>1</v>
      </c>
      <c r="AX84" s="2" t="b">
        <f t="shared" si="1460"/>
        <v>1</v>
      </c>
      <c r="AY84" s="2" t="b">
        <f t="shared" si="1461"/>
        <v>1</v>
      </c>
    </row>
    <row r="85" spans="2:51" ht="18" customHeight="1" x14ac:dyDescent="0.3">
      <c r="B85" s="415">
        <v>21</v>
      </c>
      <c r="C85" s="332">
        <f>IF('Full Season Entries'!AF26 = 2.2, 2, 'Full Season Entries'!AF26)</f>
        <v>0</v>
      </c>
      <c r="D85" s="332">
        <f>'Full Season Entries'!AG26</f>
        <v>0</v>
      </c>
      <c r="E85" s="2" t="s">
        <v>233</v>
      </c>
      <c r="F85" s="2" t="str">
        <f>IF('Full Season Entries'!K26 &lt;&gt; "", LEFT('Full Season Entries'!K26, 1), "")</f>
        <v/>
      </c>
      <c r="G85" s="2" t="b">
        <f>IF(F85 = "P", TRUE, FALSE)</f>
        <v>0</v>
      </c>
      <c r="H85" s="2" t="b">
        <f>IF(F85 = "G", TRUE, FALSE)</f>
        <v>0</v>
      </c>
      <c r="I85" s="2" t="b">
        <f>IF(F85 = "S", TRUE, FALSE)</f>
        <v>0</v>
      </c>
      <c r="J85" s="2" t="b">
        <f>IF(F85 = "B", TRUE, FALSE)</f>
        <v>0</v>
      </c>
      <c r="K85" s="27" t="b">
        <f>IF(AND(IF(G85 = FALSE, TRUE, FALSE), IF(H85 = FALSE, TRUE, FALSE), IF(I85 = FALSE, TRUE, FALSE), IF(J85 = FALSE, TRUE, FALSE)) = TRUE, TRUE, FALSE)</f>
        <v>1</v>
      </c>
      <c r="L85" s="415" t="str">
        <f>IF(P85, "", IF(AND(P86, P87), AND(T85, T86, T87, T88), AND(NOT(P88), T85, T86, T87, T88)))</f>
        <v/>
      </c>
      <c r="O85" s="1" t="s">
        <v>232</v>
      </c>
      <c r="P85" s="1" t="b">
        <f t="shared" ref="P85" si="1476">AND(K85, K86, K87, K88)</f>
        <v>1</v>
      </c>
      <c r="Q85" s="1">
        <f t="shared" si="1268"/>
        <v>0</v>
      </c>
      <c r="T85" s="2" t="b">
        <f t="shared" ref="T85" si="1477">IF(D85 = 0, FALSE, IF(C85 = 1, CHOOSE(D85, W85, X85, Y85, Z85), IF(C85 = 2, CHOOSE(D85, AC85, AD85, AE85, AF85), IF(C85 = 2.1, CHOOSE(D85, AC85, AD85, AE85, AF85), IF(C85 = 3, CHOOSE(D85, AI85, AJ85, AK85), IF(C85 = 4, CHOOSE(D85, AN85, AO85), IF(C85 = 5, CHOOSE(D85, AR85, AS85, AT85), IF(C85 = 7, CHOOSE(D85, AW85, AX85, AY85), FALSE))))))))</f>
        <v>0</v>
      </c>
      <c r="W85" s="2" t="b">
        <f t="shared" ref="W85" si="1478">AND(NOT(I85), NOT(K85), NOT(J85))</f>
        <v>0</v>
      </c>
      <c r="X85" s="2" t="b">
        <f t="shared" ref="X85" si="1479">AND(NOT(I85), NOT(K85), NOT(J85))</f>
        <v>0</v>
      </c>
      <c r="Y85" s="2" t="b">
        <f t="shared" ref="Y85" si="1480">AND(NOT(I85), NOT(K85), NOT(J85))</f>
        <v>0</v>
      </c>
      <c r="Z85" s="2" t="b">
        <f t="shared" ref="Z85" si="1481">AND(NOT(I85), NOT(K85), NOT(J85))</f>
        <v>0</v>
      </c>
      <c r="AC85" s="2" t="b">
        <f t="shared" ref="AC85" si="1482">AND(NOT(I85), NOT(K85), NOT(J85))</f>
        <v>0</v>
      </c>
      <c r="AD85" s="2" t="b">
        <f t="shared" ref="AD85" si="1483">AND(NOT(G85), NOT(K85), NOT(J85))</f>
        <v>0</v>
      </c>
      <c r="AE85" s="2" t="b">
        <f t="shared" ref="AE85" si="1484">AND(NOT(I85), NOT(K85), NOT(J85))</f>
        <v>0</v>
      </c>
      <c r="AF85" s="2" t="b">
        <f t="shared" ref="AF85" si="1485">AND(NOT(I85), NOT(K85), NOT(J85))</f>
        <v>0</v>
      </c>
      <c r="AI85" s="2" t="b">
        <f t="shared" ref="AI85" si="1486">AND(NOT(I85), NOT(K85), NOT(J85))</f>
        <v>0</v>
      </c>
      <c r="AJ85" s="2" t="b">
        <f t="shared" ref="AJ85" si="1487">AND(NOT(J85), NOT(K85))</f>
        <v>0</v>
      </c>
      <c r="AK85" s="2" t="b">
        <f t="shared" ref="AK85" si="1488">AND(NOT(I85), NOT(K85), NOT(J85))</f>
        <v>0</v>
      </c>
      <c r="AN85" s="2" t="b">
        <f t="shared" ref="AN85" si="1489">AND(NOT(I85), NOT(K85), NOT(J85))</f>
        <v>0</v>
      </c>
      <c r="AO85" s="2" t="b">
        <f t="shared" ref="AO85" si="1490">AND(NOT(G85), NOT(J85), NOT(K85))</f>
        <v>0</v>
      </c>
      <c r="AR85" s="2" t="b">
        <f t="shared" ref="AR85:AR87" si="1491">AND(NOT(J85), NOT(K85))</f>
        <v>0</v>
      </c>
      <c r="AS85" s="2" t="b">
        <f t="shared" ref="AS85" si="1492">AND(NOT(I85), NOT(K85), NOT(J85))</f>
        <v>0</v>
      </c>
      <c r="AT85" s="2" t="b">
        <f t="shared" ref="AT85" si="1493">AND(NOT(G85), NOT(J85), NOT(K85))</f>
        <v>0</v>
      </c>
      <c r="AW85" s="2" t="b">
        <f t="shared" ref="AW85" si="1494">AND(NOT(G85), NOT(J85), NOT(K85))</f>
        <v>0</v>
      </c>
      <c r="AX85" s="2" t="b">
        <f t="shared" ref="AX85" si="1495">AND(NOT(J85), NOT(K85))</f>
        <v>0</v>
      </c>
      <c r="AY85" s="2" t="b">
        <f t="shared" ref="AY85" si="1496">AND(NOT(G85), NOT(J85), NOT(K85))</f>
        <v>0</v>
      </c>
    </row>
    <row r="86" spans="2:51" ht="18" customHeight="1" x14ac:dyDescent="0.3">
      <c r="B86" s="416"/>
      <c r="C86" s="332"/>
      <c r="D86" s="332"/>
      <c r="E86" s="2" t="s">
        <v>234</v>
      </c>
      <c r="F86" s="2" t="str">
        <f>IF('Full Season Entries'!L26 &lt;&gt; "", LEFT('Full Season Entries'!L26, 1), "")</f>
        <v/>
      </c>
      <c r="G86" s="2" t="b">
        <f t="shared" ref="G86:G88" si="1497">IF(F86 = "P", TRUE, FALSE)</f>
        <v>0</v>
      </c>
      <c r="H86" s="2" t="b">
        <f t="shared" ref="H86:H88" si="1498">IF(F86 = "G", TRUE, FALSE)</f>
        <v>0</v>
      </c>
      <c r="I86" s="2" t="b">
        <f t="shared" ref="I86:I88" si="1499">IF(F86 = "S", TRUE, FALSE)</f>
        <v>0</v>
      </c>
      <c r="J86" s="2" t="b">
        <f t="shared" ref="J86:J88" si="1500">IF(F86 = "B", TRUE, FALSE)</f>
        <v>0</v>
      </c>
      <c r="K86" s="27" t="b">
        <f t="shared" ref="K86:K88" si="1501">IF(AND(IF(G86 = FALSE, TRUE, FALSE), IF(H86 = FALSE, TRUE, FALSE), IF(I86 = FALSE, TRUE, FALSE), IF(J86 = FALSE, TRUE, FALSE)) = TRUE, TRUE, FALSE)</f>
        <v>1</v>
      </c>
      <c r="L86" s="416"/>
      <c r="O86" s="1" t="s">
        <v>386</v>
      </c>
      <c r="P86" s="1" t="b">
        <f t="shared" ref="P86" si="1502">OR(IF(C85 = 2, TRUE, FALSE), IF(C85 = 2.2, TRUE, FALSE))</f>
        <v>0</v>
      </c>
      <c r="Q86" s="1">
        <f t="shared" si="1268"/>
        <v>0</v>
      </c>
      <c r="T86" s="2" t="b">
        <f t="shared" ref="T86" si="1503">IF(D85 = 0, FALSE, IF(C85 = 1, CHOOSE(D85, W86, X86, Y86, Z86), IF(C85 = 2, CHOOSE(D85, AC86, AD86, AE86, AF86), IF(C85 = 2.1, CHOOSE(D85, AC86, AD86, AE86, AF86), IF(C85 = 3, CHOOSE(D85, AI86, AJ86, AK86), IF(C85 = 4, CHOOSE(D85, AN86, AO86), IF(C85 = 5, CHOOSE(D85, AR86, AS86, AT86), IF(C85 = 7, CHOOSE(D85, AW86, AX86, AY86), FALSE))))))))</f>
        <v>0</v>
      </c>
      <c r="W86" s="2" t="b">
        <f t="shared" ref="W86:W87" si="1504">AND(NOT(K86), NOT(J86))</f>
        <v>0</v>
      </c>
      <c r="X86" s="2" t="b">
        <f t="shared" ref="X86" si="1505">NOT(K85)</f>
        <v>0</v>
      </c>
      <c r="Y86" s="2" t="b">
        <f t="shared" ref="Y86:Y87" si="1506">AND(NOT(K86), NOT(J86))</f>
        <v>0</v>
      </c>
      <c r="Z86" s="2" t="b">
        <f t="shared" ref="Z86" si="1507">OR(I86, J86)</f>
        <v>0</v>
      </c>
      <c r="AC86" s="2" t="b">
        <f t="shared" ref="AC86" si="1508">AND(NOT(K86), NOT(J86))</f>
        <v>0</v>
      </c>
      <c r="AD86" s="2" t="b">
        <f t="shared" ref="AD86" si="1509">J86</f>
        <v>0</v>
      </c>
      <c r="AE86" s="2" t="b">
        <f t="shared" ref="AE86" si="1510">AND(NOT(K86), NOT(J86))</f>
        <v>0</v>
      </c>
      <c r="AF86" s="2" t="b">
        <f t="shared" ref="AF86" si="1511">J86</f>
        <v>0</v>
      </c>
      <c r="AI86" s="2" t="b">
        <f t="shared" ref="AI86" si="1512">AND(NOT(J86), NOT(K86))</f>
        <v>0</v>
      </c>
      <c r="AJ86" s="2" t="b">
        <f t="shared" ref="AJ86" si="1513">OR(I86, J86)</f>
        <v>0</v>
      </c>
      <c r="AK86" s="2" t="b">
        <f t="shared" ref="AK86" si="1514">OR(I86, J86)</f>
        <v>0</v>
      </c>
      <c r="AN86" s="2" t="b">
        <f t="shared" ref="AN86" si="1515">OR(I86, J86)</f>
        <v>0</v>
      </c>
      <c r="AO86" s="2" t="b">
        <f t="shared" ref="AO86" si="1516">J86</f>
        <v>0</v>
      </c>
      <c r="AR86" s="2" t="b">
        <f t="shared" si="1491"/>
        <v>0</v>
      </c>
      <c r="AS86" s="2" t="b">
        <f t="shared" ref="AS86" si="1517">OR(I86, J86)</f>
        <v>0</v>
      </c>
      <c r="AT86" s="2" t="b">
        <f t="shared" ref="AT86" si="1518">OR(I86, J86)</f>
        <v>0</v>
      </c>
      <c r="AW86" s="2" t="b">
        <f t="shared" ref="AW86" si="1519">J86</f>
        <v>0</v>
      </c>
      <c r="AX86" s="2" t="b">
        <f t="shared" ref="AX86" si="1520">J86</f>
        <v>0</v>
      </c>
      <c r="AY86" s="2" t="b">
        <f t="shared" ref="AY86" si="1521">J86</f>
        <v>0</v>
      </c>
    </row>
    <row r="87" spans="2:51" ht="18" customHeight="1" x14ac:dyDescent="0.3">
      <c r="B87" s="416"/>
      <c r="C87" s="332"/>
      <c r="D87" s="332"/>
      <c r="E87" s="2" t="s">
        <v>235</v>
      </c>
      <c r="F87" s="2" t="str">
        <f>IF('Full Season Entries'!M26 &lt;&gt; "", LEFT('Full Season Entries'!M26, 1), "")</f>
        <v/>
      </c>
      <c r="G87" s="2" t="b">
        <f t="shared" si="1497"/>
        <v>0</v>
      </c>
      <c r="H87" s="2" t="b">
        <f t="shared" si="1498"/>
        <v>0</v>
      </c>
      <c r="I87" s="2" t="b">
        <f t="shared" si="1499"/>
        <v>0</v>
      </c>
      <c r="J87" s="2" t="b">
        <f t="shared" si="1500"/>
        <v>0</v>
      </c>
      <c r="K87" s="27" t="b">
        <f t="shared" si="1501"/>
        <v>1</v>
      </c>
      <c r="L87" s="416"/>
      <c r="O87" s="1" t="s">
        <v>387</v>
      </c>
      <c r="P87" s="1" t="b">
        <f t="shared" ref="P87" si="1522">OR(IF(D85 = 2, TRUE, FALSE), IF(D85 = 4, TRUE, FALSE))</f>
        <v>0</v>
      </c>
      <c r="Q87" s="1">
        <f t="shared" si="1268"/>
        <v>0</v>
      </c>
      <c r="T87" s="2" t="b">
        <f t="shared" ref="T87" si="1523">IF(D85 = 0, FALSE, IF(C85 = 1, CHOOSE(D85, W87, X87, Y87, Z87), IF(C85 = 2, CHOOSE(D85, AC87, AD87, AE87, AF87), IF(C85 = 2.1, K87, IF(C85 = 3, CHOOSE(D85, AI87, AJ87, AK87), IF(C85 = 4, CHOOSE(D85, AN87, AO87), IF(C85 = 5, CHOOSE(D85, AR87, AS87, AT87), IF(C85 = 7, CHOOSE(D85, AW87, AX87, AY87), FALSE))))))))</f>
        <v>0</v>
      </c>
      <c r="W87" s="2" t="b">
        <f t="shared" si="1504"/>
        <v>0</v>
      </c>
      <c r="X87" s="2" t="b">
        <f t="shared" ref="X87" si="1524">OR(I87, J87)</f>
        <v>0</v>
      </c>
      <c r="Y87" s="2" t="b">
        <f t="shared" si="1506"/>
        <v>0</v>
      </c>
      <c r="Z87" s="2" t="b">
        <f t="shared" ref="Z87" si="1525">J87</f>
        <v>0</v>
      </c>
      <c r="AC87" s="2" t="b">
        <f t="shared" ref="AC87" si="1526">NOT(K87)</f>
        <v>0</v>
      </c>
      <c r="AD87" s="2" t="b">
        <f t="shared" ref="AD87" si="1527">OR(I87, J87)</f>
        <v>0</v>
      </c>
      <c r="AE87" s="2" t="b">
        <f t="shared" ref="AE87" si="1528">NOT(K87)</f>
        <v>0</v>
      </c>
      <c r="AF87" s="2" t="b">
        <f t="shared" ref="AF87" si="1529">OR(I87, J87)</f>
        <v>0</v>
      </c>
      <c r="AI87" s="2" t="b">
        <f t="shared" ref="AI87" si="1530">AND(OR(I87, J87), NOT(K87))</f>
        <v>0</v>
      </c>
      <c r="AJ87" s="2" t="b">
        <f t="shared" ref="AJ87" si="1531">J87</f>
        <v>0</v>
      </c>
      <c r="AK87" s="2" t="b">
        <f t="shared" ref="AK87" si="1532">J87</f>
        <v>0</v>
      </c>
      <c r="AN87" s="2" t="b">
        <f t="shared" ref="AN87:AN88" si="1533">K87</f>
        <v>1</v>
      </c>
      <c r="AO87" s="2" t="b">
        <f t="shared" ref="AO87:AO88" si="1534">K87</f>
        <v>1</v>
      </c>
      <c r="AR87" s="2" t="b">
        <f t="shared" si="1491"/>
        <v>0</v>
      </c>
      <c r="AS87" s="2" t="b">
        <f t="shared" ref="AS87" si="1535">J87</f>
        <v>0</v>
      </c>
      <c r="AT87" s="2" t="b">
        <f t="shared" ref="AT87" si="1536">J87</f>
        <v>0</v>
      </c>
      <c r="AW87" s="2" t="b">
        <f t="shared" ref="AW87:AW88" si="1537">K87</f>
        <v>1</v>
      </c>
      <c r="AX87" s="2" t="b">
        <f t="shared" ref="AX87:AX88" si="1538">K87</f>
        <v>1</v>
      </c>
      <c r="AY87" s="2" t="b">
        <f t="shared" ref="AY87:AY88" si="1539">K87</f>
        <v>1</v>
      </c>
    </row>
    <row r="88" spans="2:51" ht="18" customHeight="1" x14ac:dyDescent="0.3">
      <c r="B88" s="412"/>
      <c r="C88" s="332"/>
      <c r="D88" s="332"/>
      <c r="E88" s="2" t="s">
        <v>236</v>
      </c>
      <c r="F88" s="2" t="str">
        <f>IF('Full Season Entries'!N26 &lt;&gt; "", LEFT('Full Season Entries'!N26, 1), "")</f>
        <v/>
      </c>
      <c r="G88" s="2" t="b">
        <f t="shared" si="1497"/>
        <v>0</v>
      </c>
      <c r="H88" s="2" t="b">
        <f t="shared" si="1498"/>
        <v>0</v>
      </c>
      <c r="I88" s="2" t="b">
        <f t="shared" si="1499"/>
        <v>0</v>
      </c>
      <c r="J88" s="2" t="b">
        <f t="shared" si="1500"/>
        <v>0</v>
      </c>
      <c r="K88" s="27" t="b">
        <f t="shared" si="1501"/>
        <v>1</v>
      </c>
      <c r="L88" s="412"/>
      <c r="O88" s="1" t="s">
        <v>388</v>
      </c>
      <c r="P88" s="1" t="b">
        <f t="shared" ref="P88" si="1540">IF(SUM(Q85:Q88) &gt; 1, TRUE, FALSE)</f>
        <v>0</v>
      </c>
      <c r="Q88" s="1">
        <f t="shared" si="1268"/>
        <v>0</v>
      </c>
      <c r="T88" s="2" t="b">
        <f t="shared" ref="T88" si="1541">IF(D85 = 0, FALSE, IF(C85 = 1, CHOOSE(D85, W88, X88, Y88, Z88), IF(C85 = 2, CHOOSE(D85, AC88, AD88, AE88, AF88), IF(C85 = 2.1, K88, IF(C85 = 3, CHOOSE(D85, AI88, AJ88, AK88), IF(C85 = 4, CHOOSE(D85, AN88, AO88), IF(C85 = 5, CHOOSE(D85, AR88, AS88, AT88), IF(C85 = 7, CHOOSE(D85, AW88, AX88, AY88), FALSE))))))))</f>
        <v>0</v>
      </c>
      <c r="W88" s="2" t="b">
        <f t="shared" ref="W88" si="1542">K88</f>
        <v>1</v>
      </c>
      <c r="X88" s="2" t="b">
        <f t="shared" ref="X88" si="1543">K88</f>
        <v>1</v>
      </c>
      <c r="Y88" s="2" t="b">
        <f t="shared" ref="Y88" si="1544">K88</f>
        <v>1</v>
      </c>
      <c r="Z88" s="2" t="b">
        <f t="shared" ref="Z88" si="1545">K88</f>
        <v>1</v>
      </c>
      <c r="AC88" s="2" t="b">
        <v>1</v>
      </c>
      <c r="AD88" s="2" t="b">
        <f t="shared" ref="AD88" si="1546">NOT(K88)</f>
        <v>0</v>
      </c>
      <c r="AE88" s="2" t="b">
        <v>1</v>
      </c>
      <c r="AF88" s="2" t="b">
        <f t="shared" ref="AF88" si="1547">NOT(K88)</f>
        <v>0</v>
      </c>
      <c r="AI88" s="2" t="b">
        <f t="shared" ref="AI88" si="1548">K88</f>
        <v>1</v>
      </c>
      <c r="AJ88" s="2" t="b">
        <f t="shared" ref="AJ88" si="1549">K88</f>
        <v>1</v>
      </c>
      <c r="AK88" s="2" t="b">
        <f t="shared" ref="AK88" si="1550">K88</f>
        <v>1</v>
      </c>
      <c r="AN88" s="2" t="b">
        <f t="shared" si="1533"/>
        <v>1</v>
      </c>
      <c r="AO88" s="2" t="b">
        <f t="shared" si="1534"/>
        <v>1</v>
      </c>
      <c r="AR88" s="2" t="b">
        <f t="shared" ref="AR88" si="1551">K88</f>
        <v>1</v>
      </c>
      <c r="AS88" s="2" t="b">
        <f t="shared" ref="AS88" si="1552">K88</f>
        <v>1</v>
      </c>
      <c r="AT88" s="2" t="b">
        <f t="shared" ref="AT88" si="1553">K88</f>
        <v>1</v>
      </c>
      <c r="AW88" s="2" t="b">
        <f t="shared" si="1537"/>
        <v>1</v>
      </c>
      <c r="AX88" s="2" t="b">
        <f t="shared" si="1538"/>
        <v>1</v>
      </c>
      <c r="AY88" s="2" t="b">
        <f t="shared" si="1539"/>
        <v>1</v>
      </c>
    </row>
    <row r="89" spans="2:51" ht="18" customHeight="1" x14ac:dyDescent="0.3">
      <c r="B89" s="415">
        <v>22</v>
      </c>
      <c r="C89" s="332">
        <f>IF('Full Season Entries'!AF27 = 2.2, 2, 'Full Season Entries'!AF27)</f>
        <v>0</v>
      </c>
      <c r="D89" s="332">
        <f>'Full Season Entries'!AG27</f>
        <v>0</v>
      </c>
      <c r="E89" s="2" t="s">
        <v>233</v>
      </c>
      <c r="F89" s="2" t="str">
        <f>IF('Full Season Entries'!K27 &lt;&gt; "", LEFT('Full Season Entries'!K27, 1), "")</f>
        <v/>
      </c>
      <c r="G89" s="2" t="b">
        <f>IF(F89 = "P", TRUE, FALSE)</f>
        <v>0</v>
      </c>
      <c r="H89" s="2" t="b">
        <f>IF(F89 = "G", TRUE, FALSE)</f>
        <v>0</v>
      </c>
      <c r="I89" s="2" t="b">
        <f>IF(F89 = "S", TRUE, FALSE)</f>
        <v>0</v>
      </c>
      <c r="J89" s="2" t="b">
        <f>IF(F89 = "B", TRUE, FALSE)</f>
        <v>0</v>
      </c>
      <c r="K89" s="27" t="b">
        <f>IF(AND(IF(G89 = FALSE, TRUE, FALSE), IF(H89 = FALSE, TRUE, FALSE), IF(I89 = FALSE, TRUE, FALSE), IF(J89 = FALSE, TRUE, FALSE)) = TRUE, TRUE, FALSE)</f>
        <v>1</v>
      </c>
      <c r="L89" s="415" t="str">
        <f>IF(P89, "", IF(AND(P90, P91), AND(T89, T90, T91, T92), AND(NOT(P92), T89, T90, T91, T92)))</f>
        <v/>
      </c>
      <c r="O89" s="1" t="s">
        <v>232</v>
      </c>
      <c r="P89" s="1" t="b">
        <f t="shared" ref="P89" si="1554">AND(K89, K90, K91, K92)</f>
        <v>1</v>
      </c>
      <c r="Q89" s="1">
        <f t="shared" si="1268"/>
        <v>0</v>
      </c>
      <c r="T89" s="2" t="b">
        <f t="shared" ref="T89" si="1555">IF(D89 = 0, FALSE, IF(C89 = 1, CHOOSE(D89, W89, X89, Y89, Z89), IF(C89 = 2, CHOOSE(D89, AC89, AD89, AE89, AF89), IF(C89 = 2.1, CHOOSE(D89, AC89, AD89, AE89, AF89), IF(C89 = 3, CHOOSE(D89, AI89, AJ89, AK89), IF(C89 = 4, CHOOSE(D89, AN89, AO89), IF(C89 = 5, CHOOSE(D89, AR89, AS89, AT89), IF(C89 = 7, CHOOSE(D89, AW89, AX89, AY89), FALSE))))))))</f>
        <v>0</v>
      </c>
      <c r="W89" s="2" t="b">
        <f t="shared" ref="W89" si="1556">AND(NOT(I89), NOT(K89), NOT(J89))</f>
        <v>0</v>
      </c>
      <c r="X89" s="2" t="b">
        <f t="shared" ref="X89" si="1557">AND(NOT(I89), NOT(K89), NOT(J89))</f>
        <v>0</v>
      </c>
      <c r="Y89" s="2" t="b">
        <f t="shared" ref="Y89" si="1558">AND(NOT(I89), NOT(K89), NOT(J89))</f>
        <v>0</v>
      </c>
      <c r="Z89" s="2" t="b">
        <f t="shared" ref="Z89" si="1559">AND(NOT(I89), NOT(K89), NOT(J89))</f>
        <v>0</v>
      </c>
      <c r="AC89" s="2" t="b">
        <f t="shared" ref="AC89" si="1560">AND(NOT(I89), NOT(K89), NOT(J89))</f>
        <v>0</v>
      </c>
      <c r="AD89" s="2" t="b">
        <f t="shared" ref="AD89" si="1561">AND(NOT(G89), NOT(K89), NOT(J89))</f>
        <v>0</v>
      </c>
      <c r="AE89" s="2" t="b">
        <f t="shared" ref="AE89" si="1562">AND(NOT(I89), NOT(K89), NOT(J89))</f>
        <v>0</v>
      </c>
      <c r="AF89" s="2" t="b">
        <f t="shared" ref="AF89" si="1563">AND(NOT(I89), NOT(K89), NOT(J89))</f>
        <v>0</v>
      </c>
      <c r="AI89" s="2" t="b">
        <f t="shared" ref="AI89" si="1564">AND(NOT(I89), NOT(K89), NOT(J89))</f>
        <v>0</v>
      </c>
      <c r="AJ89" s="2" t="b">
        <f t="shared" ref="AJ89" si="1565">AND(NOT(J89), NOT(K89))</f>
        <v>0</v>
      </c>
      <c r="AK89" s="2" t="b">
        <f t="shared" ref="AK89" si="1566">AND(NOT(I89), NOT(K89), NOT(J89))</f>
        <v>0</v>
      </c>
      <c r="AN89" s="2" t="b">
        <f t="shared" ref="AN89" si="1567">AND(NOT(I89), NOT(K89), NOT(J89))</f>
        <v>0</v>
      </c>
      <c r="AO89" s="2" t="b">
        <f t="shared" ref="AO89" si="1568">AND(NOT(G89), NOT(J89), NOT(K89))</f>
        <v>0</v>
      </c>
      <c r="AR89" s="2" t="b">
        <f t="shared" ref="AR89:AR91" si="1569">AND(NOT(J89), NOT(K89))</f>
        <v>0</v>
      </c>
      <c r="AS89" s="2" t="b">
        <f t="shared" ref="AS89" si="1570">AND(NOT(I89), NOT(K89), NOT(J89))</f>
        <v>0</v>
      </c>
      <c r="AT89" s="2" t="b">
        <f t="shared" ref="AT89" si="1571">AND(NOT(G89), NOT(J89), NOT(K89))</f>
        <v>0</v>
      </c>
      <c r="AW89" s="2" t="b">
        <f t="shared" ref="AW89" si="1572">AND(NOT(G89), NOT(J89), NOT(K89))</f>
        <v>0</v>
      </c>
      <c r="AX89" s="2" t="b">
        <f t="shared" ref="AX89" si="1573">AND(NOT(J89), NOT(K89))</f>
        <v>0</v>
      </c>
      <c r="AY89" s="2" t="b">
        <f t="shared" ref="AY89" si="1574">AND(NOT(G89), NOT(J89), NOT(K89))</f>
        <v>0</v>
      </c>
    </row>
    <row r="90" spans="2:51" ht="18" customHeight="1" x14ac:dyDescent="0.3">
      <c r="B90" s="416"/>
      <c r="C90" s="332"/>
      <c r="D90" s="332"/>
      <c r="E90" s="2" t="s">
        <v>234</v>
      </c>
      <c r="F90" s="2" t="str">
        <f>IF('Full Season Entries'!L27 &lt;&gt; "", LEFT('Full Season Entries'!L27, 1), "")</f>
        <v/>
      </c>
      <c r="G90" s="2" t="b">
        <f t="shared" ref="G90:G92" si="1575">IF(F90 = "P", TRUE, FALSE)</f>
        <v>0</v>
      </c>
      <c r="H90" s="2" t="b">
        <f t="shared" ref="H90:H92" si="1576">IF(F90 = "G", TRUE, FALSE)</f>
        <v>0</v>
      </c>
      <c r="I90" s="2" t="b">
        <f t="shared" ref="I90:I92" si="1577">IF(F90 = "S", TRUE, FALSE)</f>
        <v>0</v>
      </c>
      <c r="J90" s="2" t="b">
        <f t="shared" ref="J90:J92" si="1578">IF(F90 = "B", TRUE, FALSE)</f>
        <v>0</v>
      </c>
      <c r="K90" s="27" t="b">
        <f t="shared" ref="K90:K92" si="1579">IF(AND(IF(G90 = FALSE, TRUE, FALSE), IF(H90 = FALSE, TRUE, FALSE), IF(I90 = FALSE, TRUE, FALSE), IF(J90 = FALSE, TRUE, FALSE)) = TRUE, TRUE, FALSE)</f>
        <v>1</v>
      </c>
      <c r="L90" s="416"/>
      <c r="O90" s="1" t="s">
        <v>386</v>
      </c>
      <c r="P90" s="1" t="b">
        <f t="shared" ref="P90" si="1580">OR(IF(C89 = 2, TRUE, FALSE), IF(C89 = 2.2, TRUE, FALSE))</f>
        <v>0</v>
      </c>
      <c r="Q90" s="1">
        <f t="shared" si="1268"/>
        <v>0</v>
      </c>
      <c r="T90" s="2" t="b">
        <f t="shared" ref="T90" si="1581">IF(D89 = 0, FALSE, IF(C89 = 1, CHOOSE(D89, W90, X90, Y90, Z90), IF(C89 = 2, CHOOSE(D89, AC90, AD90, AE90, AF90), IF(C89 = 2.1, CHOOSE(D89, AC90, AD90, AE90, AF90), IF(C89 = 3, CHOOSE(D89, AI90, AJ90, AK90), IF(C89 = 4, CHOOSE(D89, AN90, AO90), IF(C89 = 5, CHOOSE(D89, AR90, AS90, AT90), IF(C89 = 7, CHOOSE(D89, AW90, AX90, AY90), FALSE))))))))</f>
        <v>0</v>
      </c>
      <c r="W90" s="2" t="b">
        <f t="shared" ref="W90:W91" si="1582">AND(NOT(K90), NOT(J90))</f>
        <v>0</v>
      </c>
      <c r="X90" s="2" t="b">
        <f t="shared" ref="X90" si="1583">NOT(K89)</f>
        <v>0</v>
      </c>
      <c r="Y90" s="2" t="b">
        <f t="shared" ref="Y90:Y91" si="1584">AND(NOT(K90), NOT(J90))</f>
        <v>0</v>
      </c>
      <c r="Z90" s="2" t="b">
        <f t="shared" ref="Z90" si="1585">OR(I90, J90)</f>
        <v>0</v>
      </c>
      <c r="AC90" s="2" t="b">
        <f t="shared" ref="AC90" si="1586">AND(NOT(K90), NOT(J90))</f>
        <v>0</v>
      </c>
      <c r="AD90" s="2" t="b">
        <f t="shared" ref="AD90" si="1587">J90</f>
        <v>0</v>
      </c>
      <c r="AE90" s="2" t="b">
        <f t="shared" ref="AE90" si="1588">AND(NOT(K90), NOT(J90))</f>
        <v>0</v>
      </c>
      <c r="AF90" s="2" t="b">
        <f t="shared" ref="AF90" si="1589">J90</f>
        <v>0</v>
      </c>
      <c r="AI90" s="2" t="b">
        <f t="shared" ref="AI90" si="1590">AND(NOT(J90), NOT(K90))</f>
        <v>0</v>
      </c>
      <c r="AJ90" s="2" t="b">
        <f t="shared" ref="AJ90" si="1591">OR(I90, J90)</f>
        <v>0</v>
      </c>
      <c r="AK90" s="2" t="b">
        <f t="shared" ref="AK90" si="1592">OR(I90, J90)</f>
        <v>0</v>
      </c>
      <c r="AN90" s="2" t="b">
        <f t="shared" ref="AN90" si="1593">OR(I90, J90)</f>
        <v>0</v>
      </c>
      <c r="AO90" s="2" t="b">
        <f t="shared" ref="AO90" si="1594">J90</f>
        <v>0</v>
      </c>
      <c r="AR90" s="2" t="b">
        <f t="shared" si="1569"/>
        <v>0</v>
      </c>
      <c r="AS90" s="2" t="b">
        <f t="shared" ref="AS90" si="1595">OR(I90, J90)</f>
        <v>0</v>
      </c>
      <c r="AT90" s="2" t="b">
        <f t="shared" ref="AT90" si="1596">OR(I90, J90)</f>
        <v>0</v>
      </c>
      <c r="AW90" s="2" t="b">
        <f t="shared" ref="AW90" si="1597">J90</f>
        <v>0</v>
      </c>
      <c r="AX90" s="2" t="b">
        <f t="shared" ref="AX90" si="1598">J90</f>
        <v>0</v>
      </c>
      <c r="AY90" s="2" t="b">
        <f t="shared" ref="AY90" si="1599">J90</f>
        <v>0</v>
      </c>
    </row>
    <row r="91" spans="2:51" ht="18" customHeight="1" x14ac:dyDescent="0.3">
      <c r="B91" s="416"/>
      <c r="C91" s="332"/>
      <c r="D91" s="332"/>
      <c r="E91" s="2" t="s">
        <v>235</v>
      </c>
      <c r="F91" s="2" t="str">
        <f>IF('Full Season Entries'!M27 &lt;&gt; "", LEFT('Full Season Entries'!M27, 1), "")</f>
        <v/>
      </c>
      <c r="G91" s="2" t="b">
        <f t="shared" si="1575"/>
        <v>0</v>
      </c>
      <c r="H91" s="2" t="b">
        <f t="shared" si="1576"/>
        <v>0</v>
      </c>
      <c r="I91" s="2" t="b">
        <f t="shared" si="1577"/>
        <v>0</v>
      </c>
      <c r="J91" s="2" t="b">
        <f t="shared" si="1578"/>
        <v>0</v>
      </c>
      <c r="K91" s="27" t="b">
        <f t="shared" si="1579"/>
        <v>1</v>
      </c>
      <c r="L91" s="416"/>
      <c r="O91" s="1" t="s">
        <v>387</v>
      </c>
      <c r="P91" s="1" t="b">
        <f t="shared" ref="P91" si="1600">OR(IF(D89 = 2, TRUE, FALSE), IF(D89 = 4, TRUE, FALSE))</f>
        <v>0</v>
      </c>
      <c r="Q91" s="1">
        <f t="shared" si="1268"/>
        <v>0</v>
      </c>
      <c r="T91" s="2" t="b">
        <f t="shared" ref="T91" si="1601">IF(D89 = 0, FALSE, IF(C89 = 1, CHOOSE(D89, W91, X91, Y91, Z91), IF(C89 = 2, CHOOSE(D89, AC91, AD91, AE91, AF91), IF(C89 = 2.1, K91, IF(C89 = 3, CHOOSE(D89, AI91, AJ91, AK91), IF(C89 = 4, CHOOSE(D89, AN91, AO91), IF(C89 = 5, CHOOSE(D89, AR91, AS91, AT91), IF(C89 = 7, CHOOSE(D89, AW91, AX91, AY91), FALSE))))))))</f>
        <v>0</v>
      </c>
      <c r="W91" s="2" t="b">
        <f t="shared" si="1582"/>
        <v>0</v>
      </c>
      <c r="X91" s="2" t="b">
        <f t="shared" ref="X91" si="1602">OR(I91, J91)</f>
        <v>0</v>
      </c>
      <c r="Y91" s="2" t="b">
        <f t="shared" si="1584"/>
        <v>0</v>
      </c>
      <c r="Z91" s="2" t="b">
        <f t="shared" ref="Z91" si="1603">J91</f>
        <v>0</v>
      </c>
      <c r="AC91" s="2" t="b">
        <f t="shared" ref="AC91" si="1604">NOT(K91)</f>
        <v>0</v>
      </c>
      <c r="AD91" s="2" t="b">
        <f t="shared" ref="AD91" si="1605">OR(I91, J91)</f>
        <v>0</v>
      </c>
      <c r="AE91" s="2" t="b">
        <f t="shared" ref="AE91" si="1606">NOT(K91)</f>
        <v>0</v>
      </c>
      <c r="AF91" s="2" t="b">
        <f t="shared" ref="AF91" si="1607">OR(I91, J91)</f>
        <v>0</v>
      </c>
      <c r="AI91" s="2" t="b">
        <f t="shared" ref="AI91" si="1608">AND(OR(I91, J91), NOT(K91))</f>
        <v>0</v>
      </c>
      <c r="AJ91" s="2" t="b">
        <f t="shared" ref="AJ91" si="1609">J91</f>
        <v>0</v>
      </c>
      <c r="AK91" s="2" t="b">
        <f t="shared" ref="AK91" si="1610">J91</f>
        <v>0</v>
      </c>
      <c r="AN91" s="2" t="b">
        <f t="shared" ref="AN91:AN92" si="1611">K91</f>
        <v>1</v>
      </c>
      <c r="AO91" s="2" t="b">
        <f t="shared" ref="AO91:AO92" si="1612">K91</f>
        <v>1</v>
      </c>
      <c r="AR91" s="2" t="b">
        <f t="shared" si="1569"/>
        <v>0</v>
      </c>
      <c r="AS91" s="2" t="b">
        <f t="shared" ref="AS91" si="1613">J91</f>
        <v>0</v>
      </c>
      <c r="AT91" s="2" t="b">
        <f t="shared" ref="AT91" si="1614">J91</f>
        <v>0</v>
      </c>
      <c r="AW91" s="2" t="b">
        <f t="shared" ref="AW91:AW92" si="1615">K91</f>
        <v>1</v>
      </c>
      <c r="AX91" s="2" t="b">
        <f t="shared" ref="AX91:AX92" si="1616">K91</f>
        <v>1</v>
      </c>
      <c r="AY91" s="2" t="b">
        <f t="shared" ref="AY91:AY92" si="1617">K91</f>
        <v>1</v>
      </c>
    </row>
    <row r="92" spans="2:51" ht="18" customHeight="1" x14ac:dyDescent="0.3">
      <c r="B92" s="412"/>
      <c r="C92" s="332"/>
      <c r="D92" s="332"/>
      <c r="E92" s="2" t="s">
        <v>236</v>
      </c>
      <c r="F92" s="2" t="str">
        <f>IF('Full Season Entries'!N27 &lt;&gt; "", LEFT('Full Season Entries'!N27, 1), "")</f>
        <v/>
      </c>
      <c r="G92" s="2" t="b">
        <f t="shared" si="1575"/>
        <v>0</v>
      </c>
      <c r="H92" s="2" t="b">
        <f t="shared" si="1576"/>
        <v>0</v>
      </c>
      <c r="I92" s="2" t="b">
        <f t="shared" si="1577"/>
        <v>0</v>
      </c>
      <c r="J92" s="2" t="b">
        <f t="shared" si="1578"/>
        <v>0</v>
      </c>
      <c r="K92" s="27" t="b">
        <f t="shared" si="1579"/>
        <v>1</v>
      </c>
      <c r="L92" s="412"/>
      <c r="O92" s="1" t="s">
        <v>388</v>
      </c>
      <c r="P92" s="1" t="b">
        <f t="shared" ref="P92" si="1618">IF(SUM(Q89:Q92) &gt; 1, TRUE, FALSE)</f>
        <v>0</v>
      </c>
      <c r="Q92" s="1">
        <f t="shared" si="1268"/>
        <v>0</v>
      </c>
      <c r="T92" s="2" t="b">
        <f t="shared" ref="T92" si="1619">IF(D89 = 0, FALSE, IF(C89 = 1, CHOOSE(D89, W92, X92, Y92, Z92), IF(C89 = 2, CHOOSE(D89, AC92, AD92, AE92, AF92), IF(C89 = 2.1, K92, IF(C89 = 3, CHOOSE(D89, AI92, AJ92, AK92), IF(C89 = 4, CHOOSE(D89, AN92, AO92), IF(C89 = 5, CHOOSE(D89, AR92, AS92, AT92), IF(C89 = 7, CHOOSE(D89, AW92, AX92, AY92), FALSE))))))))</f>
        <v>0</v>
      </c>
      <c r="W92" s="2" t="b">
        <f t="shared" ref="W92" si="1620">K92</f>
        <v>1</v>
      </c>
      <c r="X92" s="2" t="b">
        <f t="shared" ref="X92" si="1621">K92</f>
        <v>1</v>
      </c>
      <c r="Y92" s="2" t="b">
        <f t="shared" ref="Y92" si="1622">K92</f>
        <v>1</v>
      </c>
      <c r="Z92" s="2" t="b">
        <f t="shared" ref="Z92" si="1623">K92</f>
        <v>1</v>
      </c>
      <c r="AC92" s="2" t="b">
        <v>1</v>
      </c>
      <c r="AD92" s="2" t="b">
        <f t="shared" ref="AD92" si="1624">NOT(K92)</f>
        <v>0</v>
      </c>
      <c r="AE92" s="2" t="b">
        <v>1</v>
      </c>
      <c r="AF92" s="2" t="b">
        <f t="shared" ref="AF92" si="1625">NOT(K92)</f>
        <v>0</v>
      </c>
      <c r="AI92" s="2" t="b">
        <f t="shared" ref="AI92" si="1626">K92</f>
        <v>1</v>
      </c>
      <c r="AJ92" s="2" t="b">
        <f t="shared" ref="AJ92" si="1627">K92</f>
        <v>1</v>
      </c>
      <c r="AK92" s="2" t="b">
        <f t="shared" ref="AK92" si="1628">K92</f>
        <v>1</v>
      </c>
      <c r="AN92" s="2" t="b">
        <f t="shared" si="1611"/>
        <v>1</v>
      </c>
      <c r="AO92" s="2" t="b">
        <f t="shared" si="1612"/>
        <v>1</v>
      </c>
      <c r="AR92" s="2" t="b">
        <f t="shared" ref="AR92" si="1629">K92</f>
        <v>1</v>
      </c>
      <c r="AS92" s="2" t="b">
        <f t="shared" ref="AS92" si="1630">K92</f>
        <v>1</v>
      </c>
      <c r="AT92" s="2" t="b">
        <f t="shared" ref="AT92" si="1631">K92</f>
        <v>1</v>
      </c>
      <c r="AW92" s="2" t="b">
        <f t="shared" si="1615"/>
        <v>1</v>
      </c>
      <c r="AX92" s="2" t="b">
        <f t="shared" si="1616"/>
        <v>1</v>
      </c>
      <c r="AY92" s="2" t="b">
        <f t="shared" si="1617"/>
        <v>1</v>
      </c>
    </row>
    <row r="93" spans="2:51" ht="18" customHeight="1" x14ac:dyDescent="0.3">
      <c r="B93" s="415">
        <v>23</v>
      </c>
      <c r="C93" s="332">
        <f>IF('Full Season Entries'!AF28 = 2.2, 2, 'Full Season Entries'!AF28)</f>
        <v>0</v>
      </c>
      <c r="D93" s="332">
        <f>'Full Season Entries'!AG28</f>
        <v>0</v>
      </c>
      <c r="E93" s="2" t="s">
        <v>233</v>
      </c>
      <c r="F93" s="2" t="str">
        <f>IF('Full Season Entries'!K28 &lt;&gt; "", LEFT('Full Season Entries'!K28, 1), "")</f>
        <v/>
      </c>
      <c r="G93" s="2" t="b">
        <f>IF(F93 = "P", TRUE, FALSE)</f>
        <v>0</v>
      </c>
      <c r="H93" s="2" t="b">
        <f>IF(F93 = "G", TRUE, FALSE)</f>
        <v>0</v>
      </c>
      <c r="I93" s="2" t="b">
        <f>IF(F93 = "S", TRUE, FALSE)</f>
        <v>0</v>
      </c>
      <c r="J93" s="2" t="b">
        <f>IF(F93 = "B", TRUE, FALSE)</f>
        <v>0</v>
      </c>
      <c r="K93" s="27" t="b">
        <f>IF(AND(IF(G93 = FALSE, TRUE, FALSE), IF(H93 = FALSE, TRUE, FALSE), IF(I93 = FALSE, TRUE, FALSE), IF(J93 = FALSE, TRUE, FALSE)) = TRUE, TRUE, FALSE)</f>
        <v>1</v>
      </c>
      <c r="L93" s="415" t="str">
        <f>IF(P93, "", IF(AND(P94, P95), AND(T93, T94, T95, T96), AND(NOT(P96), T93, T94, T95, T96)))</f>
        <v/>
      </c>
      <c r="O93" s="1" t="s">
        <v>232</v>
      </c>
      <c r="P93" s="1" t="b">
        <f t="shared" ref="P93" si="1632">AND(K93, K94, K95, K96)</f>
        <v>1</v>
      </c>
      <c r="Q93" s="1">
        <f t="shared" si="1268"/>
        <v>0</v>
      </c>
      <c r="T93" s="2" t="b">
        <f t="shared" ref="T93" si="1633">IF(D93 = 0, FALSE, IF(C93 = 1, CHOOSE(D93, W93, X93, Y93, Z93), IF(C93 = 2, CHOOSE(D93, AC93, AD93, AE93, AF93), IF(C93 = 2.1, CHOOSE(D93, AC93, AD93, AE93, AF93), IF(C93 = 3, CHOOSE(D93, AI93, AJ93, AK93), IF(C93 = 4, CHOOSE(D93, AN93, AO93), IF(C93 = 5, CHOOSE(D93, AR93, AS93, AT93), IF(C93 = 7, CHOOSE(D93, AW93, AX93, AY93), FALSE))))))))</f>
        <v>0</v>
      </c>
      <c r="W93" s="2" t="b">
        <f t="shared" ref="W93" si="1634">AND(NOT(I93), NOT(K93), NOT(J93))</f>
        <v>0</v>
      </c>
      <c r="X93" s="2" t="b">
        <f t="shared" ref="X93" si="1635">AND(NOT(I93), NOT(K93), NOT(J93))</f>
        <v>0</v>
      </c>
      <c r="Y93" s="2" t="b">
        <f t="shared" ref="Y93" si="1636">AND(NOT(I93), NOT(K93), NOT(J93))</f>
        <v>0</v>
      </c>
      <c r="Z93" s="2" t="b">
        <f t="shared" ref="Z93" si="1637">AND(NOT(I93), NOT(K93), NOT(J93))</f>
        <v>0</v>
      </c>
      <c r="AC93" s="2" t="b">
        <f t="shared" ref="AC93" si="1638">AND(NOT(I93), NOT(K93), NOT(J93))</f>
        <v>0</v>
      </c>
      <c r="AD93" s="2" t="b">
        <f t="shared" ref="AD93" si="1639">AND(NOT(G93), NOT(K93), NOT(J93))</f>
        <v>0</v>
      </c>
      <c r="AE93" s="2" t="b">
        <f t="shared" ref="AE93" si="1640">AND(NOT(I93), NOT(K93), NOT(J93))</f>
        <v>0</v>
      </c>
      <c r="AF93" s="2" t="b">
        <f t="shared" ref="AF93" si="1641">AND(NOT(I93), NOT(K93), NOT(J93))</f>
        <v>0</v>
      </c>
      <c r="AI93" s="2" t="b">
        <f t="shared" ref="AI93" si="1642">AND(NOT(I93), NOT(K93), NOT(J93))</f>
        <v>0</v>
      </c>
      <c r="AJ93" s="2" t="b">
        <f t="shared" ref="AJ93" si="1643">AND(NOT(J93), NOT(K93))</f>
        <v>0</v>
      </c>
      <c r="AK93" s="2" t="b">
        <f t="shared" ref="AK93" si="1644">AND(NOT(I93), NOT(K93), NOT(J93))</f>
        <v>0</v>
      </c>
      <c r="AN93" s="2" t="b">
        <f t="shared" ref="AN93" si="1645">AND(NOT(I93), NOT(K93), NOT(J93))</f>
        <v>0</v>
      </c>
      <c r="AO93" s="2" t="b">
        <f t="shared" ref="AO93" si="1646">AND(NOT(G93), NOT(J93), NOT(K93))</f>
        <v>0</v>
      </c>
      <c r="AR93" s="2" t="b">
        <f t="shared" ref="AR93:AR95" si="1647">AND(NOT(J93), NOT(K93))</f>
        <v>0</v>
      </c>
      <c r="AS93" s="2" t="b">
        <f t="shared" ref="AS93" si="1648">AND(NOT(I93), NOT(K93), NOT(J93))</f>
        <v>0</v>
      </c>
      <c r="AT93" s="2" t="b">
        <f t="shared" ref="AT93" si="1649">AND(NOT(G93), NOT(J93), NOT(K93))</f>
        <v>0</v>
      </c>
      <c r="AW93" s="2" t="b">
        <f t="shared" ref="AW93" si="1650">AND(NOT(G93), NOT(J93), NOT(K93))</f>
        <v>0</v>
      </c>
      <c r="AX93" s="2" t="b">
        <f t="shared" ref="AX93" si="1651">AND(NOT(J93), NOT(K93))</f>
        <v>0</v>
      </c>
      <c r="AY93" s="2" t="b">
        <f t="shared" ref="AY93" si="1652">AND(NOT(G93), NOT(J93), NOT(K93))</f>
        <v>0</v>
      </c>
    </row>
    <row r="94" spans="2:51" ht="18" customHeight="1" x14ac:dyDescent="0.3">
      <c r="B94" s="416"/>
      <c r="C94" s="332"/>
      <c r="D94" s="332"/>
      <c r="E94" s="2" t="s">
        <v>234</v>
      </c>
      <c r="F94" s="2" t="str">
        <f>IF('Full Season Entries'!L28 &lt;&gt; "", LEFT('Full Season Entries'!L28, 1), "")</f>
        <v/>
      </c>
      <c r="G94" s="2" t="b">
        <f t="shared" ref="G94:G96" si="1653">IF(F94 = "P", TRUE, FALSE)</f>
        <v>0</v>
      </c>
      <c r="H94" s="2" t="b">
        <f t="shared" ref="H94:H96" si="1654">IF(F94 = "G", TRUE, FALSE)</f>
        <v>0</v>
      </c>
      <c r="I94" s="2" t="b">
        <f t="shared" ref="I94:I96" si="1655">IF(F94 = "S", TRUE, FALSE)</f>
        <v>0</v>
      </c>
      <c r="J94" s="2" t="b">
        <f t="shared" ref="J94:J96" si="1656">IF(F94 = "B", TRUE, FALSE)</f>
        <v>0</v>
      </c>
      <c r="K94" s="27" t="b">
        <f t="shared" ref="K94:K96" si="1657">IF(AND(IF(G94 = FALSE, TRUE, FALSE), IF(H94 = FALSE, TRUE, FALSE), IF(I94 = FALSE, TRUE, FALSE), IF(J94 = FALSE, TRUE, FALSE)) = TRUE, TRUE, FALSE)</f>
        <v>1</v>
      </c>
      <c r="L94" s="416"/>
      <c r="O94" s="1" t="s">
        <v>386</v>
      </c>
      <c r="P94" s="1" t="b">
        <f t="shared" ref="P94" si="1658">OR(IF(C93 = 2, TRUE, FALSE), IF(C93 = 2.2, TRUE, FALSE))</f>
        <v>0</v>
      </c>
      <c r="Q94" s="1">
        <f t="shared" si="1268"/>
        <v>0</v>
      </c>
      <c r="T94" s="2" t="b">
        <f t="shared" ref="T94" si="1659">IF(D93 = 0, FALSE, IF(C93 = 1, CHOOSE(D93, W94, X94, Y94, Z94), IF(C93 = 2, CHOOSE(D93, AC94, AD94, AE94, AF94), IF(C93 = 2.1, CHOOSE(D93, AC94, AD94, AE94, AF94), IF(C93 = 3, CHOOSE(D93, AI94, AJ94, AK94), IF(C93 = 4, CHOOSE(D93, AN94, AO94), IF(C93 = 5, CHOOSE(D93, AR94, AS94, AT94), IF(C93 = 7, CHOOSE(D93, AW94, AX94, AY94), FALSE))))))))</f>
        <v>0</v>
      </c>
      <c r="W94" s="2" t="b">
        <f t="shared" ref="W94:W95" si="1660">AND(NOT(K94), NOT(J94))</f>
        <v>0</v>
      </c>
      <c r="X94" s="2" t="b">
        <f t="shared" ref="X94" si="1661">NOT(K93)</f>
        <v>0</v>
      </c>
      <c r="Y94" s="2" t="b">
        <f t="shared" ref="Y94:Y95" si="1662">AND(NOT(K94), NOT(J94))</f>
        <v>0</v>
      </c>
      <c r="Z94" s="2" t="b">
        <f t="shared" ref="Z94" si="1663">OR(I94, J94)</f>
        <v>0</v>
      </c>
      <c r="AC94" s="2" t="b">
        <f t="shared" ref="AC94" si="1664">AND(NOT(K94), NOT(J94))</f>
        <v>0</v>
      </c>
      <c r="AD94" s="2" t="b">
        <f t="shared" ref="AD94" si="1665">J94</f>
        <v>0</v>
      </c>
      <c r="AE94" s="2" t="b">
        <f t="shared" ref="AE94" si="1666">AND(NOT(K94), NOT(J94))</f>
        <v>0</v>
      </c>
      <c r="AF94" s="2" t="b">
        <f t="shared" ref="AF94" si="1667">J94</f>
        <v>0</v>
      </c>
      <c r="AI94" s="2" t="b">
        <f t="shared" ref="AI94" si="1668">AND(NOT(J94), NOT(K94))</f>
        <v>0</v>
      </c>
      <c r="AJ94" s="2" t="b">
        <f t="shared" ref="AJ94" si="1669">OR(I94, J94)</f>
        <v>0</v>
      </c>
      <c r="AK94" s="2" t="b">
        <f t="shared" ref="AK94" si="1670">OR(I94, J94)</f>
        <v>0</v>
      </c>
      <c r="AN94" s="2" t="b">
        <f t="shared" ref="AN94" si="1671">OR(I94, J94)</f>
        <v>0</v>
      </c>
      <c r="AO94" s="2" t="b">
        <f t="shared" ref="AO94" si="1672">J94</f>
        <v>0</v>
      </c>
      <c r="AR94" s="2" t="b">
        <f t="shared" si="1647"/>
        <v>0</v>
      </c>
      <c r="AS94" s="2" t="b">
        <f t="shared" ref="AS94" si="1673">OR(I94, J94)</f>
        <v>0</v>
      </c>
      <c r="AT94" s="2" t="b">
        <f t="shared" ref="AT94" si="1674">OR(I94, J94)</f>
        <v>0</v>
      </c>
      <c r="AW94" s="2" t="b">
        <f t="shared" ref="AW94" si="1675">J94</f>
        <v>0</v>
      </c>
      <c r="AX94" s="2" t="b">
        <f t="shared" ref="AX94" si="1676">J94</f>
        <v>0</v>
      </c>
      <c r="AY94" s="2" t="b">
        <f t="shared" ref="AY94" si="1677">J94</f>
        <v>0</v>
      </c>
    </row>
    <row r="95" spans="2:51" ht="18" customHeight="1" x14ac:dyDescent="0.3">
      <c r="B95" s="416"/>
      <c r="C95" s="332"/>
      <c r="D95" s="332"/>
      <c r="E95" s="2" t="s">
        <v>235</v>
      </c>
      <c r="F95" s="2" t="str">
        <f>IF('Full Season Entries'!M28 &lt;&gt; "", LEFT('Full Season Entries'!M28, 1), "")</f>
        <v/>
      </c>
      <c r="G95" s="2" t="b">
        <f t="shared" si="1653"/>
        <v>0</v>
      </c>
      <c r="H95" s="2" t="b">
        <f t="shared" si="1654"/>
        <v>0</v>
      </c>
      <c r="I95" s="2" t="b">
        <f t="shared" si="1655"/>
        <v>0</v>
      </c>
      <c r="J95" s="2" t="b">
        <f t="shared" si="1656"/>
        <v>0</v>
      </c>
      <c r="K95" s="27" t="b">
        <f t="shared" si="1657"/>
        <v>1</v>
      </c>
      <c r="L95" s="416"/>
      <c r="O95" s="1" t="s">
        <v>387</v>
      </c>
      <c r="P95" s="1" t="b">
        <f t="shared" ref="P95" si="1678">OR(IF(D93 = 2, TRUE, FALSE), IF(D93 = 4, TRUE, FALSE))</f>
        <v>0</v>
      </c>
      <c r="Q95" s="1">
        <f t="shared" si="1268"/>
        <v>0</v>
      </c>
      <c r="T95" s="2" t="b">
        <f t="shared" ref="T95" si="1679">IF(D93 = 0, FALSE, IF(C93 = 1, CHOOSE(D93, W95, X95, Y95, Z95), IF(C93 = 2, CHOOSE(D93, AC95, AD95, AE95, AF95), IF(C93 = 2.1, K95, IF(C93 = 3, CHOOSE(D93, AI95, AJ95, AK95), IF(C93 = 4, CHOOSE(D93, AN95, AO95), IF(C93 = 5, CHOOSE(D93, AR95, AS95, AT95), IF(C93 = 7, CHOOSE(D93, AW95, AX95, AY95), FALSE))))))))</f>
        <v>0</v>
      </c>
      <c r="W95" s="2" t="b">
        <f t="shared" si="1660"/>
        <v>0</v>
      </c>
      <c r="X95" s="2" t="b">
        <f t="shared" ref="X95" si="1680">OR(I95, J95)</f>
        <v>0</v>
      </c>
      <c r="Y95" s="2" t="b">
        <f t="shared" si="1662"/>
        <v>0</v>
      </c>
      <c r="Z95" s="2" t="b">
        <f t="shared" ref="Z95" si="1681">J95</f>
        <v>0</v>
      </c>
      <c r="AC95" s="2" t="b">
        <f t="shared" ref="AC95" si="1682">NOT(K95)</f>
        <v>0</v>
      </c>
      <c r="AD95" s="2" t="b">
        <f t="shared" ref="AD95" si="1683">OR(I95, J95)</f>
        <v>0</v>
      </c>
      <c r="AE95" s="2" t="b">
        <f t="shared" ref="AE95" si="1684">NOT(K95)</f>
        <v>0</v>
      </c>
      <c r="AF95" s="2" t="b">
        <f t="shared" ref="AF95" si="1685">OR(I95, J95)</f>
        <v>0</v>
      </c>
      <c r="AI95" s="2" t="b">
        <f t="shared" ref="AI95" si="1686">AND(OR(I95, J95), NOT(K95))</f>
        <v>0</v>
      </c>
      <c r="AJ95" s="2" t="b">
        <f t="shared" ref="AJ95" si="1687">J95</f>
        <v>0</v>
      </c>
      <c r="AK95" s="2" t="b">
        <f t="shared" ref="AK95" si="1688">J95</f>
        <v>0</v>
      </c>
      <c r="AN95" s="2" t="b">
        <f t="shared" ref="AN95:AN96" si="1689">K95</f>
        <v>1</v>
      </c>
      <c r="AO95" s="2" t="b">
        <f t="shared" ref="AO95:AO96" si="1690">K95</f>
        <v>1</v>
      </c>
      <c r="AR95" s="2" t="b">
        <f t="shared" si="1647"/>
        <v>0</v>
      </c>
      <c r="AS95" s="2" t="b">
        <f t="shared" ref="AS95" si="1691">J95</f>
        <v>0</v>
      </c>
      <c r="AT95" s="2" t="b">
        <f t="shared" ref="AT95" si="1692">J95</f>
        <v>0</v>
      </c>
      <c r="AW95" s="2" t="b">
        <f t="shared" ref="AW95:AW96" si="1693">K95</f>
        <v>1</v>
      </c>
      <c r="AX95" s="2" t="b">
        <f t="shared" ref="AX95:AX96" si="1694">K95</f>
        <v>1</v>
      </c>
      <c r="AY95" s="2" t="b">
        <f t="shared" ref="AY95:AY96" si="1695">K95</f>
        <v>1</v>
      </c>
    </row>
    <row r="96" spans="2:51" ht="18" customHeight="1" x14ac:dyDescent="0.3">
      <c r="B96" s="412"/>
      <c r="C96" s="332"/>
      <c r="D96" s="332"/>
      <c r="E96" s="2" t="s">
        <v>236</v>
      </c>
      <c r="F96" s="2" t="str">
        <f>IF('Full Season Entries'!N28 &lt;&gt; "", LEFT('Full Season Entries'!N28, 1), "")</f>
        <v/>
      </c>
      <c r="G96" s="2" t="b">
        <f t="shared" si="1653"/>
        <v>0</v>
      </c>
      <c r="H96" s="2" t="b">
        <f t="shared" si="1654"/>
        <v>0</v>
      </c>
      <c r="I96" s="2" t="b">
        <f t="shared" si="1655"/>
        <v>0</v>
      </c>
      <c r="J96" s="2" t="b">
        <f t="shared" si="1656"/>
        <v>0</v>
      </c>
      <c r="K96" s="27" t="b">
        <f t="shared" si="1657"/>
        <v>1</v>
      </c>
      <c r="L96" s="412"/>
      <c r="O96" s="1" t="s">
        <v>388</v>
      </c>
      <c r="P96" s="1" t="b">
        <f t="shared" ref="P96" si="1696">IF(SUM(Q93:Q96) &gt; 1, TRUE, FALSE)</f>
        <v>0</v>
      </c>
      <c r="Q96" s="1">
        <f t="shared" si="1268"/>
        <v>0</v>
      </c>
      <c r="T96" s="2" t="b">
        <f t="shared" ref="T96" si="1697">IF(D93 = 0, FALSE, IF(C93 = 1, CHOOSE(D93, W96, X96, Y96, Z96), IF(C93 = 2, CHOOSE(D93, AC96, AD96, AE96, AF96), IF(C93 = 2.1, K96, IF(C93 = 3, CHOOSE(D93, AI96, AJ96, AK96), IF(C93 = 4, CHOOSE(D93, AN96, AO96), IF(C93 = 5, CHOOSE(D93, AR96, AS96, AT96), IF(C93 = 7, CHOOSE(D93, AW96, AX96, AY96), FALSE))))))))</f>
        <v>0</v>
      </c>
      <c r="W96" s="2" t="b">
        <f t="shared" ref="W96" si="1698">K96</f>
        <v>1</v>
      </c>
      <c r="X96" s="2" t="b">
        <f t="shared" ref="X96" si="1699">K96</f>
        <v>1</v>
      </c>
      <c r="Y96" s="2" t="b">
        <f t="shared" ref="Y96" si="1700">K96</f>
        <v>1</v>
      </c>
      <c r="Z96" s="2" t="b">
        <f t="shared" ref="Z96" si="1701">K96</f>
        <v>1</v>
      </c>
      <c r="AC96" s="2" t="b">
        <v>1</v>
      </c>
      <c r="AD96" s="2" t="b">
        <f t="shared" ref="AD96" si="1702">NOT(K96)</f>
        <v>0</v>
      </c>
      <c r="AE96" s="2" t="b">
        <v>1</v>
      </c>
      <c r="AF96" s="2" t="b">
        <f t="shared" ref="AF96" si="1703">NOT(K96)</f>
        <v>0</v>
      </c>
      <c r="AI96" s="2" t="b">
        <f t="shared" ref="AI96" si="1704">K96</f>
        <v>1</v>
      </c>
      <c r="AJ96" s="2" t="b">
        <f t="shared" ref="AJ96" si="1705">K96</f>
        <v>1</v>
      </c>
      <c r="AK96" s="2" t="b">
        <f t="shared" ref="AK96" si="1706">K96</f>
        <v>1</v>
      </c>
      <c r="AN96" s="2" t="b">
        <f t="shared" si="1689"/>
        <v>1</v>
      </c>
      <c r="AO96" s="2" t="b">
        <f t="shared" si="1690"/>
        <v>1</v>
      </c>
      <c r="AR96" s="2" t="b">
        <f t="shared" ref="AR96" si="1707">K96</f>
        <v>1</v>
      </c>
      <c r="AS96" s="2" t="b">
        <f t="shared" ref="AS96" si="1708">K96</f>
        <v>1</v>
      </c>
      <c r="AT96" s="2" t="b">
        <f t="shared" ref="AT96" si="1709">K96</f>
        <v>1</v>
      </c>
      <c r="AW96" s="2" t="b">
        <f t="shared" si="1693"/>
        <v>1</v>
      </c>
      <c r="AX96" s="2" t="b">
        <f t="shared" si="1694"/>
        <v>1</v>
      </c>
      <c r="AY96" s="2" t="b">
        <f t="shared" si="1695"/>
        <v>1</v>
      </c>
    </row>
    <row r="97" spans="2:51" ht="18" customHeight="1" x14ac:dyDescent="0.3">
      <c r="B97" s="415">
        <v>24</v>
      </c>
      <c r="C97" s="332">
        <f>IF('Full Season Entries'!AF29 = 2.2, 2, 'Full Season Entries'!AF29)</f>
        <v>0</v>
      </c>
      <c r="D97" s="332">
        <f>'Full Season Entries'!AG29</f>
        <v>0</v>
      </c>
      <c r="E97" s="2" t="s">
        <v>233</v>
      </c>
      <c r="F97" s="2" t="str">
        <f>IF('Full Season Entries'!K29 &lt;&gt; "", LEFT('Full Season Entries'!K29, 1), "")</f>
        <v/>
      </c>
      <c r="G97" s="2" t="b">
        <f>IF(F97 = "P", TRUE, FALSE)</f>
        <v>0</v>
      </c>
      <c r="H97" s="2" t="b">
        <f>IF(F97 = "G", TRUE, FALSE)</f>
        <v>0</v>
      </c>
      <c r="I97" s="2" t="b">
        <f>IF(F97 = "S", TRUE, FALSE)</f>
        <v>0</v>
      </c>
      <c r="J97" s="2" t="b">
        <f>IF(F97 = "B", TRUE, FALSE)</f>
        <v>0</v>
      </c>
      <c r="K97" s="27" t="b">
        <f>IF(AND(IF(G97 = FALSE, TRUE, FALSE), IF(H97 = FALSE, TRUE, FALSE), IF(I97 = FALSE, TRUE, FALSE), IF(J97 = FALSE, TRUE, FALSE)) = TRUE, TRUE, FALSE)</f>
        <v>1</v>
      </c>
      <c r="L97" s="415" t="str">
        <f>IF(P97, "", IF(AND(P98, P99), AND(T97, T98, T99, T100), AND(NOT(P100), T97, T98, T99, T100)))</f>
        <v/>
      </c>
      <c r="O97" s="1" t="s">
        <v>232</v>
      </c>
      <c r="P97" s="1" t="b">
        <f t="shared" ref="P97" si="1710">AND(K97, K98, K99, K100)</f>
        <v>1</v>
      </c>
      <c r="Q97" s="1">
        <f t="shared" si="1268"/>
        <v>0</v>
      </c>
      <c r="T97" s="2" t="b">
        <f t="shared" ref="T97" si="1711">IF(D97 = 0, FALSE, IF(C97 = 1, CHOOSE(D97, W97, X97, Y97, Z97), IF(C97 = 2, CHOOSE(D97, AC97, AD97, AE97, AF97), IF(C97 = 2.1, CHOOSE(D97, AC97, AD97, AE97, AF97), IF(C97 = 3, CHOOSE(D97, AI97, AJ97, AK97), IF(C97 = 4, CHOOSE(D97, AN97, AO97), IF(C97 = 5, CHOOSE(D97, AR97, AS97, AT97), IF(C97 = 7, CHOOSE(D97, AW97, AX97, AY97), FALSE))))))))</f>
        <v>0</v>
      </c>
      <c r="W97" s="2" t="b">
        <f t="shared" ref="W97" si="1712">AND(NOT(I97), NOT(K97), NOT(J97))</f>
        <v>0</v>
      </c>
      <c r="X97" s="2" t="b">
        <f t="shared" ref="X97" si="1713">AND(NOT(I97), NOT(K97), NOT(J97))</f>
        <v>0</v>
      </c>
      <c r="Y97" s="2" t="b">
        <f t="shared" ref="Y97" si="1714">AND(NOT(I97), NOT(K97), NOT(J97))</f>
        <v>0</v>
      </c>
      <c r="Z97" s="2" t="b">
        <f t="shared" ref="Z97" si="1715">AND(NOT(I97), NOT(K97), NOT(J97))</f>
        <v>0</v>
      </c>
      <c r="AC97" s="2" t="b">
        <f t="shared" ref="AC97" si="1716">AND(NOT(I97), NOT(K97), NOT(J97))</f>
        <v>0</v>
      </c>
      <c r="AD97" s="2" t="b">
        <f t="shared" ref="AD97" si="1717">AND(NOT(G97), NOT(K97), NOT(J97))</f>
        <v>0</v>
      </c>
      <c r="AE97" s="2" t="b">
        <f t="shared" ref="AE97" si="1718">AND(NOT(I97), NOT(K97), NOT(J97))</f>
        <v>0</v>
      </c>
      <c r="AF97" s="2" t="b">
        <f t="shared" ref="AF97" si="1719">AND(NOT(I97), NOT(K97), NOT(J97))</f>
        <v>0</v>
      </c>
      <c r="AI97" s="2" t="b">
        <f t="shared" ref="AI97" si="1720">AND(NOT(I97), NOT(K97), NOT(J97))</f>
        <v>0</v>
      </c>
      <c r="AJ97" s="2" t="b">
        <f t="shared" ref="AJ97" si="1721">AND(NOT(J97), NOT(K97))</f>
        <v>0</v>
      </c>
      <c r="AK97" s="2" t="b">
        <f t="shared" ref="AK97" si="1722">AND(NOT(I97), NOT(K97), NOT(J97))</f>
        <v>0</v>
      </c>
      <c r="AN97" s="2" t="b">
        <f t="shared" ref="AN97" si="1723">AND(NOT(I97), NOT(K97), NOT(J97))</f>
        <v>0</v>
      </c>
      <c r="AO97" s="2" t="b">
        <f t="shared" ref="AO97" si="1724">AND(NOT(G97), NOT(J97), NOT(K97))</f>
        <v>0</v>
      </c>
      <c r="AR97" s="2" t="b">
        <f t="shared" ref="AR97:AR99" si="1725">AND(NOT(J97), NOT(K97))</f>
        <v>0</v>
      </c>
      <c r="AS97" s="2" t="b">
        <f t="shared" ref="AS97" si="1726">AND(NOT(I97), NOT(K97), NOT(J97))</f>
        <v>0</v>
      </c>
      <c r="AT97" s="2" t="b">
        <f t="shared" ref="AT97" si="1727">AND(NOT(G97), NOT(J97), NOT(K97))</f>
        <v>0</v>
      </c>
      <c r="AW97" s="2" t="b">
        <f t="shared" ref="AW97" si="1728">AND(NOT(G97), NOT(J97), NOT(K97))</f>
        <v>0</v>
      </c>
      <c r="AX97" s="2" t="b">
        <f t="shared" ref="AX97" si="1729">AND(NOT(J97), NOT(K97))</f>
        <v>0</v>
      </c>
      <c r="AY97" s="2" t="b">
        <f t="shared" ref="AY97" si="1730">AND(NOT(G97), NOT(J97), NOT(K97))</f>
        <v>0</v>
      </c>
    </row>
    <row r="98" spans="2:51" ht="18" customHeight="1" x14ac:dyDescent="0.3">
      <c r="B98" s="416"/>
      <c r="C98" s="332"/>
      <c r="D98" s="332"/>
      <c r="E98" s="2" t="s">
        <v>234</v>
      </c>
      <c r="F98" s="2" t="str">
        <f>IF('Full Season Entries'!L29 &lt;&gt; "", LEFT('Full Season Entries'!L29, 1), "")</f>
        <v/>
      </c>
      <c r="G98" s="2" t="b">
        <f t="shared" ref="G98:G100" si="1731">IF(F98 = "P", TRUE, FALSE)</f>
        <v>0</v>
      </c>
      <c r="H98" s="2" t="b">
        <f t="shared" ref="H98:H100" si="1732">IF(F98 = "G", TRUE, FALSE)</f>
        <v>0</v>
      </c>
      <c r="I98" s="2" t="b">
        <f t="shared" ref="I98:I100" si="1733">IF(F98 = "S", TRUE, FALSE)</f>
        <v>0</v>
      </c>
      <c r="J98" s="2" t="b">
        <f t="shared" ref="J98:J100" si="1734">IF(F98 = "B", TRUE, FALSE)</f>
        <v>0</v>
      </c>
      <c r="K98" s="27" t="b">
        <f t="shared" ref="K98:K100" si="1735">IF(AND(IF(G98 = FALSE, TRUE, FALSE), IF(H98 = FALSE, TRUE, FALSE), IF(I98 = FALSE, TRUE, FALSE), IF(J98 = FALSE, TRUE, FALSE)) = TRUE, TRUE, FALSE)</f>
        <v>1</v>
      </c>
      <c r="L98" s="416"/>
      <c r="O98" s="1" t="s">
        <v>386</v>
      </c>
      <c r="P98" s="1" t="b">
        <f t="shared" ref="P98" si="1736">OR(IF(C97 = 2, TRUE, FALSE), IF(C97 = 2.2, TRUE, FALSE))</f>
        <v>0</v>
      </c>
      <c r="Q98" s="1">
        <f t="shared" si="1268"/>
        <v>0</v>
      </c>
      <c r="T98" s="2" t="b">
        <f t="shared" ref="T98" si="1737">IF(D97 = 0, FALSE, IF(C97 = 1, CHOOSE(D97, W98, X98, Y98, Z98), IF(C97 = 2, CHOOSE(D97, AC98, AD98, AE98, AF98), IF(C97 = 2.1, CHOOSE(D97, AC98, AD98, AE98, AF98), IF(C97 = 3, CHOOSE(D97, AI98, AJ98, AK98), IF(C97 = 4, CHOOSE(D97, AN98, AO98), IF(C97 = 5, CHOOSE(D97, AR98, AS98, AT98), IF(C97 = 7, CHOOSE(D97, AW98, AX98, AY98), FALSE))))))))</f>
        <v>0</v>
      </c>
      <c r="W98" s="2" t="b">
        <f t="shared" ref="W98:W99" si="1738">AND(NOT(K98), NOT(J98))</f>
        <v>0</v>
      </c>
      <c r="X98" s="2" t="b">
        <f t="shared" ref="X98" si="1739">NOT(K97)</f>
        <v>0</v>
      </c>
      <c r="Y98" s="2" t="b">
        <f t="shared" ref="Y98:Y99" si="1740">AND(NOT(K98), NOT(J98))</f>
        <v>0</v>
      </c>
      <c r="Z98" s="2" t="b">
        <f t="shared" ref="Z98" si="1741">OR(I98, J98)</f>
        <v>0</v>
      </c>
      <c r="AC98" s="2" t="b">
        <f t="shared" ref="AC98" si="1742">AND(NOT(K98), NOT(J98))</f>
        <v>0</v>
      </c>
      <c r="AD98" s="2" t="b">
        <f t="shared" ref="AD98" si="1743">J98</f>
        <v>0</v>
      </c>
      <c r="AE98" s="2" t="b">
        <f t="shared" ref="AE98" si="1744">AND(NOT(K98), NOT(J98))</f>
        <v>0</v>
      </c>
      <c r="AF98" s="2" t="b">
        <f t="shared" ref="AF98" si="1745">J98</f>
        <v>0</v>
      </c>
      <c r="AI98" s="2" t="b">
        <f t="shared" ref="AI98" si="1746">AND(NOT(J98), NOT(K98))</f>
        <v>0</v>
      </c>
      <c r="AJ98" s="2" t="b">
        <f t="shared" ref="AJ98" si="1747">OR(I98, J98)</f>
        <v>0</v>
      </c>
      <c r="AK98" s="2" t="b">
        <f t="shared" ref="AK98" si="1748">OR(I98, J98)</f>
        <v>0</v>
      </c>
      <c r="AN98" s="2" t="b">
        <f t="shared" ref="AN98" si="1749">OR(I98, J98)</f>
        <v>0</v>
      </c>
      <c r="AO98" s="2" t="b">
        <f t="shared" ref="AO98" si="1750">J98</f>
        <v>0</v>
      </c>
      <c r="AR98" s="2" t="b">
        <f t="shared" si="1725"/>
        <v>0</v>
      </c>
      <c r="AS98" s="2" t="b">
        <f t="shared" ref="AS98" si="1751">OR(I98, J98)</f>
        <v>0</v>
      </c>
      <c r="AT98" s="2" t="b">
        <f t="shared" ref="AT98" si="1752">OR(I98, J98)</f>
        <v>0</v>
      </c>
      <c r="AW98" s="2" t="b">
        <f t="shared" ref="AW98" si="1753">J98</f>
        <v>0</v>
      </c>
      <c r="AX98" s="2" t="b">
        <f t="shared" ref="AX98" si="1754">J98</f>
        <v>0</v>
      </c>
      <c r="AY98" s="2" t="b">
        <f t="shared" ref="AY98" si="1755">J98</f>
        <v>0</v>
      </c>
    </row>
    <row r="99" spans="2:51" ht="18" customHeight="1" x14ac:dyDescent="0.3">
      <c r="B99" s="416"/>
      <c r="C99" s="332"/>
      <c r="D99" s="332"/>
      <c r="E99" s="2" t="s">
        <v>235</v>
      </c>
      <c r="F99" s="2" t="str">
        <f>IF('Full Season Entries'!M29 &lt;&gt; "", LEFT('Full Season Entries'!M29, 1), "")</f>
        <v/>
      </c>
      <c r="G99" s="2" t="b">
        <f t="shared" si="1731"/>
        <v>0</v>
      </c>
      <c r="H99" s="2" t="b">
        <f t="shared" si="1732"/>
        <v>0</v>
      </c>
      <c r="I99" s="2" t="b">
        <f t="shared" si="1733"/>
        <v>0</v>
      </c>
      <c r="J99" s="2" t="b">
        <f t="shared" si="1734"/>
        <v>0</v>
      </c>
      <c r="K99" s="27" t="b">
        <f t="shared" si="1735"/>
        <v>1</v>
      </c>
      <c r="L99" s="416"/>
      <c r="O99" s="1" t="s">
        <v>387</v>
      </c>
      <c r="P99" s="1" t="b">
        <f t="shared" ref="P99" si="1756">OR(IF(D97 = 2, TRUE, FALSE), IF(D97 = 4, TRUE, FALSE))</f>
        <v>0</v>
      </c>
      <c r="Q99" s="1">
        <f t="shared" si="1268"/>
        <v>0</v>
      </c>
      <c r="T99" s="2" t="b">
        <f t="shared" ref="T99" si="1757">IF(D97 = 0, FALSE, IF(C97 = 1, CHOOSE(D97, W99, X99, Y99, Z99), IF(C97 = 2, CHOOSE(D97, AC99, AD99, AE99, AF99), IF(C97 = 2.1, K99, IF(C97 = 3, CHOOSE(D97, AI99, AJ99, AK99), IF(C97 = 4, CHOOSE(D97, AN99, AO99), IF(C97 = 5, CHOOSE(D97, AR99, AS99, AT99), IF(C97 = 7, CHOOSE(D97, AW99, AX99, AY99), FALSE))))))))</f>
        <v>0</v>
      </c>
      <c r="W99" s="2" t="b">
        <f t="shared" si="1738"/>
        <v>0</v>
      </c>
      <c r="X99" s="2" t="b">
        <f t="shared" ref="X99" si="1758">OR(I99, J99)</f>
        <v>0</v>
      </c>
      <c r="Y99" s="2" t="b">
        <f t="shared" si="1740"/>
        <v>0</v>
      </c>
      <c r="Z99" s="2" t="b">
        <f t="shared" ref="Z99" si="1759">J99</f>
        <v>0</v>
      </c>
      <c r="AC99" s="2" t="b">
        <f t="shared" ref="AC99" si="1760">NOT(K99)</f>
        <v>0</v>
      </c>
      <c r="AD99" s="2" t="b">
        <f t="shared" ref="AD99" si="1761">OR(I99, J99)</f>
        <v>0</v>
      </c>
      <c r="AE99" s="2" t="b">
        <f t="shared" ref="AE99" si="1762">NOT(K99)</f>
        <v>0</v>
      </c>
      <c r="AF99" s="2" t="b">
        <f t="shared" ref="AF99" si="1763">OR(I99, J99)</f>
        <v>0</v>
      </c>
      <c r="AI99" s="2" t="b">
        <f t="shared" ref="AI99" si="1764">AND(OR(I99, J99), NOT(K99))</f>
        <v>0</v>
      </c>
      <c r="AJ99" s="2" t="b">
        <f t="shared" ref="AJ99" si="1765">J99</f>
        <v>0</v>
      </c>
      <c r="AK99" s="2" t="b">
        <f t="shared" ref="AK99" si="1766">J99</f>
        <v>0</v>
      </c>
      <c r="AN99" s="2" t="b">
        <f t="shared" ref="AN99:AN100" si="1767">K99</f>
        <v>1</v>
      </c>
      <c r="AO99" s="2" t="b">
        <f t="shared" ref="AO99:AO100" si="1768">K99</f>
        <v>1</v>
      </c>
      <c r="AR99" s="2" t="b">
        <f t="shared" si="1725"/>
        <v>0</v>
      </c>
      <c r="AS99" s="2" t="b">
        <f t="shared" ref="AS99" si="1769">J99</f>
        <v>0</v>
      </c>
      <c r="AT99" s="2" t="b">
        <f t="shared" ref="AT99" si="1770">J99</f>
        <v>0</v>
      </c>
      <c r="AW99" s="2" t="b">
        <f t="shared" ref="AW99:AW100" si="1771">K99</f>
        <v>1</v>
      </c>
      <c r="AX99" s="2" t="b">
        <f t="shared" ref="AX99:AX100" si="1772">K99</f>
        <v>1</v>
      </c>
      <c r="AY99" s="2" t="b">
        <f t="shared" ref="AY99:AY100" si="1773">K99</f>
        <v>1</v>
      </c>
    </row>
    <row r="100" spans="2:51" ht="18" customHeight="1" x14ac:dyDescent="0.3">
      <c r="B100" s="412"/>
      <c r="C100" s="332"/>
      <c r="D100" s="332"/>
      <c r="E100" s="2" t="s">
        <v>236</v>
      </c>
      <c r="F100" s="2" t="str">
        <f>IF('Full Season Entries'!N29 &lt;&gt; "", LEFT('Full Season Entries'!N29, 1), "")</f>
        <v/>
      </c>
      <c r="G100" s="2" t="b">
        <f t="shared" si="1731"/>
        <v>0</v>
      </c>
      <c r="H100" s="2" t="b">
        <f t="shared" si="1732"/>
        <v>0</v>
      </c>
      <c r="I100" s="2" t="b">
        <f t="shared" si="1733"/>
        <v>0</v>
      </c>
      <c r="J100" s="2" t="b">
        <f t="shared" si="1734"/>
        <v>0</v>
      </c>
      <c r="K100" s="27" t="b">
        <f t="shared" si="1735"/>
        <v>1</v>
      </c>
      <c r="L100" s="412"/>
      <c r="O100" s="1" t="s">
        <v>388</v>
      </c>
      <c r="P100" s="1" t="b">
        <f t="shared" ref="P100" si="1774">IF(SUM(Q97:Q100) &gt; 1, TRUE, FALSE)</f>
        <v>0</v>
      </c>
      <c r="Q100" s="1">
        <f t="shared" si="1268"/>
        <v>0</v>
      </c>
      <c r="T100" s="2" t="b">
        <f t="shared" ref="T100" si="1775">IF(D97 = 0, FALSE, IF(C97 = 1, CHOOSE(D97, W100, X100, Y100, Z100), IF(C97 = 2, CHOOSE(D97, AC100, AD100, AE100, AF100), IF(C97 = 2.1, K100, IF(C97 = 3, CHOOSE(D97, AI100, AJ100, AK100), IF(C97 = 4, CHOOSE(D97, AN100, AO100), IF(C97 = 5, CHOOSE(D97, AR100, AS100, AT100), IF(C97 = 7, CHOOSE(D97, AW100, AX100, AY100), FALSE))))))))</f>
        <v>0</v>
      </c>
      <c r="W100" s="2" t="b">
        <f t="shared" ref="W100" si="1776">K100</f>
        <v>1</v>
      </c>
      <c r="X100" s="2" t="b">
        <f t="shared" ref="X100" si="1777">K100</f>
        <v>1</v>
      </c>
      <c r="Y100" s="2" t="b">
        <f t="shared" ref="Y100" si="1778">K100</f>
        <v>1</v>
      </c>
      <c r="Z100" s="2" t="b">
        <f t="shared" ref="Z100" si="1779">K100</f>
        <v>1</v>
      </c>
      <c r="AC100" s="2" t="b">
        <v>1</v>
      </c>
      <c r="AD100" s="2" t="b">
        <f t="shared" ref="AD100" si="1780">NOT(K100)</f>
        <v>0</v>
      </c>
      <c r="AE100" s="2" t="b">
        <v>1</v>
      </c>
      <c r="AF100" s="2" t="b">
        <f t="shared" ref="AF100" si="1781">NOT(K100)</f>
        <v>0</v>
      </c>
      <c r="AI100" s="2" t="b">
        <f t="shared" ref="AI100" si="1782">K100</f>
        <v>1</v>
      </c>
      <c r="AJ100" s="2" t="b">
        <f t="shared" ref="AJ100" si="1783">K100</f>
        <v>1</v>
      </c>
      <c r="AK100" s="2" t="b">
        <f t="shared" ref="AK100" si="1784">K100</f>
        <v>1</v>
      </c>
      <c r="AN100" s="2" t="b">
        <f t="shared" si="1767"/>
        <v>1</v>
      </c>
      <c r="AO100" s="2" t="b">
        <f t="shared" si="1768"/>
        <v>1</v>
      </c>
      <c r="AR100" s="2" t="b">
        <f t="shared" ref="AR100" si="1785">K100</f>
        <v>1</v>
      </c>
      <c r="AS100" s="2" t="b">
        <f t="shared" ref="AS100" si="1786">K100</f>
        <v>1</v>
      </c>
      <c r="AT100" s="2" t="b">
        <f t="shared" ref="AT100" si="1787">K100</f>
        <v>1</v>
      </c>
      <c r="AW100" s="2" t="b">
        <f t="shared" si="1771"/>
        <v>1</v>
      </c>
      <c r="AX100" s="2" t="b">
        <f t="shared" si="1772"/>
        <v>1</v>
      </c>
      <c r="AY100" s="2" t="b">
        <f t="shared" si="1773"/>
        <v>1</v>
      </c>
    </row>
    <row r="101" spans="2:51" ht="18" customHeight="1" x14ac:dyDescent="0.3">
      <c r="B101" s="415">
        <v>25</v>
      </c>
      <c r="C101" s="332">
        <f>IF('Full Season Entries'!AF30 = 2.2, 2, 'Full Season Entries'!AF30)</f>
        <v>0</v>
      </c>
      <c r="D101" s="332">
        <f>'Full Season Entries'!AG30</f>
        <v>0</v>
      </c>
      <c r="E101" s="2" t="s">
        <v>233</v>
      </c>
      <c r="F101" s="2" t="str">
        <f>IF('Full Season Entries'!K30 &lt;&gt; "", LEFT('Full Season Entries'!K30, 1), "")</f>
        <v/>
      </c>
      <c r="G101" s="2" t="b">
        <f>IF(F101 = "P", TRUE, FALSE)</f>
        <v>0</v>
      </c>
      <c r="H101" s="2" t="b">
        <f>IF(F101 = "G", TRUE, FALSE)</f>
        <v>0</v>
      </c>
      <c r="I101" s="2" t="b">
        <f>IF(F101 = "S", TRUE, FALSE)</f>
        <v>0</v>
      </c>
      <c r="J101" s="2" t="b">
        <f>IF(F101 = "B", TRUE, FALSE)</f>
        <v>0</v>
      </c>
      <c r="K101" s="27" t="b">
        <f>IF(AND(IF(G101 = FALSE, TRUE, FALSE), IF(H101 = FALSE, TRUE, FALSE), IF(I101 = FALSE, TRUE, FALSE), IF(J101 = FALSE, TRUE, FALSE)) = TRUE, TRUE, FALSE)</f>
        <v>1</v>
      </c>
      <c r="L101" s="415" t="str">
        <f>IF(P101, "", IF(AND(P102, P103), AND(T101, T102, T103, T104), AND(NOT(P104), T101, T102, T103, T104)))</f>
        <v/>
      </c>
      <c r="O101" s="1" t="s">
        <v>232</v>
      </c>
      <c r="P101" s="1" t="b">
        <f t="shared" ref="P101" si="1788">AND(K101, K102, K103, K104)</f>
        <v>1</v>
      </c>
      <c r="Q101" s="1">
        <f t="shared" si="1268"/>
        <v>0</v>
      </c>
      <c r="T101" s="2" t="b">
        <f t="shared" ref="T101" si="1789">IF(D101 = 0, FALSE, IF(C101 = 1, CHOOSE(D101, W101, X101, Y101, Z101), IF(C101 = 2, CHOOSE(D101, AC101, AD101, AE101, AF101), IF(C101 = 2.1, CHOOSE(D101, AC101, AD101, AE101, AF101), IF(C101 = 3, CHOOSE(D101, AI101, AJ101, AK101), IF(C101 = 4, CHOOSE(D101, AN101, AO101), IF(C101 = 5, CHOOSE(D101, AR101, AS101, AT101), IF(C101 = 7, CHOOSE(D101, AW101, AX101, AY101), FALSE))))))))</f>
        <v>0</v>
      </c>
      <c r="W101" s="2" t="b">
        <f t="shared" ref="W101" si="1790">AND(NOT(I101), NOT(K101), NOT(J101))</f>
        <v>0</v>
      </c>
      <c r="X101" s="2" t="b">
        <f t="shared" ref="X101" si="1791">AND(NOT(I101), NOT(K101), NOT(J101))</f>
        <v>0</v>
      </c>
      <c r="Y101" s="2" t="b">
        <f t="shared" ref="Y101" si="1792">AND(NOT(I101), NOT(K101), NOT(J101))</f>
        <v>0</v>
      </c>
      <c r="Z101" s="2" t="b">
        <f t="shared" ref="Z101" si="1793">AND(NOT(I101), NOT(K101), NOT(J101))</f>
        <v>0</v>
      </c>
      <c r="AC101" s="2" t="b">
        <f t="shared" ref="AC101" si="1794">AND(NOT(I101), NOT(K101), NOT(J101))</f>
        <v>0</v>
      </c>
      <c r="AD101" s="2" t="b">
        <f t="shared" ref="AD101" si="1795">AND(NOT(G101), NOT(K101), NOT(J101))</f>
        <v>0</v>
      </c>
      <c r="AE101" s="2" t="b">
        <f t="shared" ref="AE101" si="1796">AND(NOT(I101), NOT(K101), NOT(J101))</f>
        <v>0</v>
      </c>
      <c r="AF101" s="2" t="b">
        <f t="shared" ref="AF101" si="1797">AND(NOT(I101), NOT(K101), NOT(J101))</f>
        <v>0</v>
      </c>
      <c r="AI101" s="2" t="b">
        <f t="shared" ref="AI101" si="1798">AND(NOT(I101), NOT(K101), NOT(J101))</f>
        <v>0</v>
      </c>
      <c r="AJ101" s="2" t="b">
        <f t="shared" ref="AJ101" si="1799">AND(NOT(J101), NOT(K101))</f>
        <v>0</v>
      </c>
      <c r="AK101" s="2" t="b">
        <f t="shared" ref="AK101" si="1800">AND(NOT(I101), NOT(K101), NOT(J101))</f>
        <v>0</v>
      </c>
      <c r="AN101" s="2" t="b">
        <f t="shared" ref="AN101" si="1801">AND(NOT(I101), NOT(K101), NOT(J101))</f>
        <v>0</v>
      </c>
      <c r="AO101" s="2" t="b">
        <f t="shared" ref="AO101" si="1802">AND(NOT(G101), NOT(J101), NOT(K101))</f>
        <v>0</v>
      </c>
      <c r="AR101" s="2" t="b">
        <f t="shared" ref="AR101:AR103" si="1803">AND(NOT(J101), NOT(K101))</f>
        <v>0</v>
      </c>
      <c r="AS101" s="2" t="b">
        <f t="shared" ref="AS101" si="1804">AND(NOT(I101), NOT(K101), NOT(J101))</f>
        <v>0</v>
      </c>
      <c r="AT101" s="2" t="b">
        <f t="shared" ref="AT101" si="1805">AND(NOT(G101), NOT(J101), NOT(K101))</f>
        <v>0</v>
      </c>
      <c r="AW101" s="2" t="b">
        <f t="shared" ref="AW101" si="1806">AND(NOT(G101), NOT(J101), NOT(K101))</f>
        <v>0</v>
      </c>
      <c r="AX101" s="2" t="b">
        <f t="shared" ref="AX101" si="1807">AND(NOT(J101), NOT(K101))</f>
        <v>0</v>
      </c>
      <c r="AY101" s="2" t="b">
        <f t="shared" ref="AY101" si="1808">AND(NOT(G101), NOT(J101), NOT(K101))</f>
        <v>0</v>
      </c>
    </row>
    <row r="102" spans="2:51" ht="18" customHeight="1" x14ac:dyDescent="0.3">
      <c r="B102" s="416"/>
      <c r="C102" s="332"/>
      <c r="D102" s="332"/>
      <c r="E102" s="2" t="s">
        <v>234</v>
      </c>
      <c r="F102" s="2" t="str">
        <f>IF('Full Season Entries'!L30 &lt;&gt; "", LEFT('Full Season Entries'!L30, 1), "")</f>
        <v/>
      </c>
      <c r="G102" s="2" t="b">
        <f t="shared" ref="G102:G104" si="1809">IF(F102 = "P", TRUE, FALSE)</f>
        <v>0</v>
      </c>
      <c r="H102" s="2" t="b">
        <f t="shared" ref="H102:H104" si="1810">IF(F102 = "G", TRUE, FALSE)</f>
        <v>0</v>
      </c>
      <c r="I102" s="2" t="b">
        <f t="shared" ref="I102:I104" si="1811">IF(F102 = "S", TRUE, FALSE)</f>
        <v>0</v>
      </c>
      <c r="J102" s="2" t="b">
        <f t="shared" ref="J102:J104" si="1812">IF(F102 = "B", TRUE, FALSE)</f>
        <v>0</v>
      </c>
      <c r="K102" s="27" t="b">
        <f t="shared" ref="K102:K104" si="1813">IF(AND(IF(G102 = FALSE, TRUE, FALSE), IF(H102 = FALSE, TRUE, FALSE), IF(I102 = FALSE, TRUE, FALSE), IF(J102 = FALSE, TRUE, FALSE)) = TRUE, TRUE, FALSE)</f>
        <v>1</v>
      </c>
      <c r="L102" s="416"/>
      <c r="O102" s="1" t="s">
        <v>386</v>
      </c>
      <c r="P102" s="1" t="b">
        <f t="shared" ref="P102" si="1814">OR(IF(C101 = 2, TRUE, FALSE), IF(C101 = 2.2, TRUE, FALSE))</f>
        <v>0</v>
      </c>
      <c r="Q102" s="1">
        <f t="shared" si="1268"/>
        <v>0</v>
      </c>
      <c r="T102" s="2" t="b">
        <f t="shared" ref="T102" si="1815">IF(D101 = 0, FALSE, IF(C101 = 1, CHOOSE(D101, W102, X102, Y102, Z102), IF(C101 = 2, CHOOSE(D101, AC102, AD102, AE102, AF102), IF(C101 = 2.1, CHOOSE(D101, AC102, AD102, AE102, AF102), IF(C101 = 3, CHOOSE(D101, AI102, AJ102, AK102), IF(C101 = 4, CHOOSE(D101, AN102, AO102), IF(C101 = 5, CHOOSE(D101, AR102, AS102, AT102), IF(C101 = 7, CHOOSE(D101, AW102, AX102, AY102), FALSE))))))))</f>
        <v>0</v>
      </c>
      <c r="W102" s="2" t="b">
        <f t="shared" ref="W102:W103" si="1816">AND(NOT(K102), NOT(J102))</f>
        <v>0</v>
      </c>
      <c r="X102" s="2" t="b">
        <f t="shared" ref="X102" si="1817">NOT(K101)</f>
        <v>0</v>
      </c>
      <c r="Y102" s="2" t="b">
        <f t="shared" ref="Y102:Y103" si="1818">AND(NOT(K102), NOT(J102))</f>
        <v>0</v>
      </c>
      <c r="Z102" s="2" t="b">
        <f t="shared" ref="Z102" si="1819">OR(I102, J102)</f>
        <v>0</v>
      </c>
      <c r="AC102" s="2" t="b">
        <f t="shared" ref="AC102" si="1820">AND(NOT(K102), NOT(J102))</f>
        <v>0</v>
      </c>
      <c r="AD102" s="2" t="b">
        <f t="shared" ref="AD102" si="1821">J102</f>
        <v>0</v>
      </c>
      <c r="AE102" s="2" t="b">
        <f t="shared" ref="AE102" si="1822">AND(NOT(K102), NOT(J102))</f>
        <v>0</v>
      </c>
      <c r="AF102" s="2" t="b">
        <f t="shared" ref="AF102" si="1823">J102</f>
        <v>0</v>
      </c>
      <c r="AI102" s="2" t="b">
        <f t="shared" ref="AI102" si="1824">AND(NOT(J102), NOT(K102))</f>
        <v>0</v>
      </c>
      <c r="AJ102" s="2" t="b">
        <f t="shared" ref="AJ102" si="1825">OR(I102, J102)</f>
        <v>0</v>
      </c>
      <c r="AK102" s="2" t="b">
        <f t="shared" ref="AK102" si="1826">OR(I102, J102)</f>
        <v>0</v>
      </c>
      <c r="AN102" s="2" t="b">
        <f t="shared" ref="AN102" si="1827">OR(I102, J102)</f>
        <v>0</v>
      </c>
      <c r="AO102" s="2" t="b">
        <f t="shared" ref="AO102" si="1828">J102</f>
        <v>0</v>
      </c>
      <c r="AR102" s="2" t="b">
        <f t="shared" si="1803"/>
        <v>0</v>
      </c>
      <c r="AS102" s="2" t="b">
        <f t="shared" ref="AS102" si="1829">OR(I102, J102)</f>
        <v>0</v>
      </c>
      <c r="AT102" s="2" t="b">
        <f t="shared" ref="AT102" si="1830">OR(I102, J102)</f>
        <v>0</v>
      </c>
      <c r="AW102" s="2" t="b">
        <f t="shared" ref="AW102" si="1831">J102</f>
        <v>0</v>
      </c>
      <c r="AX102" s="2" t="b">
        <f t="shared" ref="AX102" si="1832">J102</f>
        <v>0</v>
      </c>
      <c r="AY102" s="2" t="b">
        <f t="shared" ref="AY102" si="1833">J102</f>
        <v>0</v>
      </c>
    </row>
    <row r="103" spans="2:51" ht="18" customHeight="1" x14ac:dyDescent="0.3">
      <c r="B103" s="416"/>
      <c r="C103" s="332"/>
      <c r="D103" s="332"/>
      <c r="E103" s="2" t="s">
        <v>235</v>
      </c>
      <c r="F103" s="2" t="str">
        <f>IF('Full Season Entries'!M30 &lt;&gt; "", LEFT('Full Season Entries'!M30, 1), "")</f>
        <v/>
      </c>
      <c r="G103" s="2" t="b">
        <f t="shared" si="1809"/>
        <v>0</v>
      </c>
      <c r="H103" s="2" t="b">
        <f t="shared" si="1810"/>
        <v>0</v>
      </c>
      <c r="I103" s="2" t="b">
        <f t="shared" si="1811"/>
        <v>0</v>
      </c>
      <c r="J103" s="2" t="b">
        <f t="shared" si="1812"/>
        <v>0</v>
      </c>
      <c r="K103" s="27" t="b">
        <f t="shared" si="1813"/>
        <v>1</v>
      </c>
      <c r="L103" s="416"/>
      <c r="O103" s="1" t="s">
        <v>387</v>
      </c>
      <c r="P103" s="1" t="b">
        <f t="shared" ref="P103" si="1834">OR(IF(D101 = 2, TRUE, FALSE), IF(D101 = 4, TRUE, FALSE))</f>
        <v>0</v>
      </c>
      <c r="Q103" s="1">
        <f t="shared" si="1268"/>
        <v>0</v>
      </c>
      <c r="T103" s="2" t="b">
        <f t="shared" ref="T103" si="1835">IF(D101 = 0, FALSE, IF(C101 = 1, CHOOSE(D101, W103, X103, Y103, Z103), IF(C101 = 2, CHOOSE(D101, AC103, AD103, AE103, AF103), IF(C101 = 2.1, K103, IF(C101 = 3, CHOOSE(D101, AI103, AJ103, AK103), IF(C101 = 4, CHOOSE(D101, AN103, AO103), IF(C101 = 5, CHOOSE(D101, AR103, AS103, AT103), IF(C101 = 7, CHOOSE(D101, AW103, AX103, AY103), FALSE))))))))</f>
        <v>0</v>
      </c>
      <c r="W103" s="2" t="b">
        <f t="shared" si="1816"/>
        <v>0</v>
      </c>
      <c r="X103" s="2" t="b">
        <f t="shared" ref="X103" si="1836">OR(I103, J103)</f>
        <v>0</v>
      </c>
      <c r="Y103" s="2" t="b">
        <f t="shared" si="1818"/>
        <v>0</v>
      </c>
      <c r="Z103" s="2" t="b">
        <f t="shared" ref="Z103" si="1837">J103</f>
        <v>0</v>
      </c>
      <c r="AC103" s="2" t="b">
        <f t="shared" ref="AC103" si="1838">NOT(K103)</f>
        <v>0</v>
      </c>
      <c r="AD103" s="2" t="b">
        <f t="shared" ref="AD103" si="1839">OR(I103, J103)</f>
        <v>0</v>
      </c>
      <c r="AE103" s="2" t="b">
        <f t="shared" ref="AE103" si="1840">NOT(K103)</f>
        <v>0</v>
      </c>
      <c r="AF103" s="2" t="b">
        <f t="shared" ref="AF103" si="1841">OR(I103, J103)</f>
        <v>0</v>
      </c>
      <c r="AI103" s="2" t="b">
        <f t="shared" ref="AI103" si="1842">AND(OR(I103, J103), NOT(K103))</f>
        <v>0</v>
      </c>
      <c r="AJ103" s="2" t="b">
        <f t="shared" ref="AJ103" si="1843">J103</f>
        <v>0</v>
      </c>
      <c r="AK103" s="2" t="b">
        <f t="shared" ref="AK103" si="1844">J103</f>
        <v>0</v>
      </c>
      <c r="AN103" s="2" t="b">
        <f t="shared" ref="AN103:AN104" si="1845">K103</f>
        <v>1</v>
      </c>
      <c r="AO103" s="2" t="b">
        <f t="shared" ref="AO103:AO104" si="1846">K103</f>
        <v>1</v>
      </c>
      <c r="AR103" s="2" t="b">
        <f t="shared" si="1803"/>
        <v>0</v>
      </c>
      <c r="AS103" s="2" t="b">
        <f t="shared" ref="AS103" si="1847">J103</f>
        <v>0</v>
      </c>
      <c r="AT103" s="2" t="b">
        <f t="shared" ref="AT103" si="1848">J103</f>
        <v>0</v>
      </c>
      <c r="AW103" s="2" t="b">
        <f t="shared" ref="AW103:AW104" si="1849">K103</f>
        <v>1</v>
      </c>
      <c r="AX103" s="2" t="b">
        <f t="shared" ref="AX103:AX104" si="1850">K103</f>
        <v>1</v>
      </c>
      <c r="AY103" s="2" t="b">
        <f t="shared" ref="AY103:AY104" si="1851">K103</f>
        <v>1</v>
      </c>
    </row>
    <row r="104" spans="2:51" ht="18" customHeight="1" x14ac:dyDescent="0.3">
      <c r="B104" s="412"/>
      <c r="C104" s="332"/>
      <c r="D104" s="332"/>
      <c r="E104" s="2" t="s">
        <v>236</v>
      </c>
      <c r="F104" s="2" t="str">
        <f>IF('Full Season Entries'!N30 &lt;&gt; "", LEFT('Full Season Entries'!N30, 1), "")</f>
        <v/>
      </c>
      <c r="G104" s="2" t="b">
        <f t="shared" si="1809"/>
        <v>0</v>
      </c>
      <c r="H104" s="2" t="b">
        <f t="shared" si="1810"/>
        <v>0</v>
      </c>
      <c r="I104" s="2" t="b">
        <f t="shared" si="1811"/>
        <v>0</v>
      </c>
      <c r="J104" s="2" t="b">
        <f t="shared" si="1812"/>
        <v>0</v>
      </c>
      <c r="K104" s="27" t="b">
        <f t="shared" si="1813"/>
        <v>1</v>
      </c>
      <c r="L104" s="412"/>
      <c r="O104" s="1" t="s">
        <v>388</v>
      </c>
      <c r="P104" s="1" t="b">
        <f t="shared" ref="P104" si="1852">IF(SUM(Q101:Q104) &gt; 1, TRUE, FALSE)</f>
        <v>0</v>
      </c>
      <c r="Q104" s="1">
        <f t="shared" si="1268"/>
        <v>0</v>
      </c>
      <c r="T104" s="2" t="b">
        <f t="shared" ref="T104" si="1853">IF(D101 = 0, FALSE, IF(C101 = 1, CHOOSE(D101, W104, X104, Y104, Z104), IF(C101 = 2, CHOOSE(D101, AC104, AD104, AE104, AF104), IF(C101 = 2.1, K104, IF(C101 = 3, CHOOSE(D101, AI104, AJ104, AK104), IF(C101 = 4, CHOOSE(D101, AN104, AO104), IF(C101 = 5, CHOOSE(D101, AR104, AS104, AT104), IF(C101 = 7, CHOOSE(D101, AW104, AX104, AY104), FALSE))))))))</f>
        <v>0</v>
      </c>
      <c r="W104" s="2" t="b">
        <f t="shared" ref="W104" si="1854">K104</f>
        <v>1</v>
      </c>
      <c r="X104" s="2" t="b">
        <f t="shared" ref="X104" si="1855">K104</f>
        <v>1</v>
      </c>
      <c r="Y104" s="2" t="b">
        <f t="shared" ref="Y104" si="1856">K104</f>
        <v>1</v>
      </c>
      <c r="Z104" s="2" t="b">
        <f t="shared" ref="Z104" si="1857">K104</f>
        <v>1</v>
      </c>
      <c r="AC104" s="2" t="b">
        <v>1</v>
      </c>
      <c r="AD104" s="2" t="b">
        <f t="shared" ref="AD104" si="1858">NOT(K104)</f>
        <v>0</v>
      </c>
      <c r="AE104" s="2" t="b">
        <v>1</v>
      </c>
      <c r="AF104" s="2" t="b">
        <f t="shared" ref="AF104" si="1859">NOT(K104)</f>
        <v>0</v>
      </c>
      <c r="AI104" s="2" t="b">
        <f t="shared" ref="AI104" si="1860">K104</f>
        <v>1</v>
      </c>
      <c r="AJ104" s="2" t="b">
        <f t="shared" ref="AJ104" si="1861">K104</f>
        <v>1</v>
      </c>
      <c r="AK104" s="2" t="b">
        <f t="shared" ref="AK104" si="1862">K104</f>
        <v>1</v>
      </c>
      <c r="AN104" s="2" t="b">
        <f t="shared" si="1845"/>
        <v>1</v>
      </c>
      <c r="AO104" s="2" t="b">
        <f t="shared" si="1846"/>
        <v>1</v>
      </c>
      <c r="AR104" s="2" t="b">
        <f t="shared" ref="AR104" si="1863">K104</f>
        <v>1</v>
      </c>
      <c r="AS104" s="2" t="b">
        <f t="shared" ref="AS104" si="1864">K104</f>
        <v>1</v>
      </c>
      <c r="AT104" s="2" t="b">
        <f t="shared" ref="AT104" si="1865">K104</f>
        <v>1</v>
      </c>
      <c r="AW104" s="2" t="b">
        <f t="shared" si="1849"/>
        <v>1</v>
      </c>
      <c r="AX104" s="2" t="b">
        <f t="shared" si="1850"/>
        <v>1</v>
      </c>
      <c r="AY104" s="2" t="b">
        <f t="shared" si="1851"/>
        <v>1</v>
      </c>
    </row>
    <row r="105" spans="2:51" ht="18" customHeight="1" x14ac:dyDescent="0.3">
      <c r="B105" s="415">
        <v>26</v>
      </c>
      <c r="C105" s="332">
        <f>IF('Full Season Entries'!AF31 = 2.2, 2, 'Full Season Entries'!AF31)</f>
        <v>0</v>
      </c>
      <c r="D105" s="332">
        <f>'Full Season Entries'!AG31</f>
        <v>0</v>
      </c>
      <c r="E105" s="2" t="s">
        <v>233</v>
      </c>
      <c r="F105" s="2" t="str">
        <f>IF('Full Season Entries'!K31 &lt;&gt; "", LEFT('Full Season Entries'!K31, 1), "")</f>
        <v/>
      </c>
      <c r="G105" s="2" t="b">
        <f>IF(F105 = "P", TRUE, FALSE)</f>
        <v>0</v>
      </c>
      <c r="H105" s="2" t="b">
        <f>IF(F105 = "G", TRUE, FALSE)</f>
        <v>0</v>
      </c>
      <c r="I105" s="2" t="b">
        <f>IF(F105 = "S", TRUE, FALSE)</f>
        <v>0</v>
      </c>
      <c r="J105" s="2" t="b">
        <f>IF(F105 = "B", TRUE, FALSE)</f>
        <v>0</v>
      </c>
      <c r="K105" s="27" t="b">
        <f>IF(AND(IF(G105 = FALSE, TRUE, FALSE), IF(H105 = FALSE, TRUE, FALSE), IF(I105 = FALSE, TRUE, FALSE), IF(J105 = FALSE, TRUE, FALSE)) = TRUE, TRUE, FALSE)</f>
        <v>1</v>
      </c>
      <c r="L105" s="415" t="str">
        <f>IF(P105, "", IF(AND(P106, P107), AND(T105, T106, T107, T108), AND(NOT(P108), T105, T106, T107, T108)))</f>
        <v/>
      </c>
      <c r="O105" s="1" t="s">
        <v>232</v>
      </c>
      <c r="P105" s="1" t="b">
        <f t="shared" ref="P105" si="1866">AND(K105, K106, K107, K108)</f>
        <v>1</v>
      </c>
      <c r="Q105" s="1">
        <f t="shared" si="1268"/>
        <v>0</v>
      </c>
      <c r="T105" s="2" t="b">
        <f t="shared" ref="T105" si="1867">IF(D105 = 0, FALSE, IF(C105 = 1, CHOOSE(D105, W105, X105, Y105, Z105), IF(C105 = 2, CHOOSE(D105, AC105, AD105, AE105, AF105), IF(C105 = 2.1, CHOOSE(D105, AC105, AD105, AE105, AF105), IF(C105 = 3, CHOOSE(D105, AI105, AJ105, AK105), IF(C105 = 4, CHOOSE(D105, AN105, AO105), IF(C105 = 5, CHOOSE(D105, AR105, AS105, AT105), IF(C105 = 7, CHOOSE(D105, AW105, AX105, AY105), FALSE))))))))</f>
        <v>0</v>
      </c>
      <c r="W105" s="2" t="b">
        <f t="shared" ref="W105" si="1868">AND(NOT(I105), NOT(K105), NOT(J105))</f>
        <v>0</v>
      </c>
      <c r="X105" s="2" t="b">
        <f t="shared" ref="X105" si="1869">AND(NOT(I105), NOT(K105), NOT(J105))</f>
        <v>0</v>
      </c>
      <c r="Y105" s="2" t="b">
        <f t="shared" ref="Y105" si="1870">AND(NOT(I105), NOT(K105), NOT(J105))</f>
        <v>0</v>
      </c>
      <c r="Z105" s="2" t="b">
        <f t="shared" ref="Z105" si="1871">AND(NOT(I105), NOT(K105), NOT(J105))</f>
        <v>0</v>
      </c>
      <c r="AC105" s="2" t="b">
        <f t="shared" ref="AC105" si="1872">AND(NOT(I105), NOT(K105), NOT(J105))</f>
        <v>0</v>
      </c>
      <c r="AD105" s="2" t="b">
        <f t="shared" ref="AD105" si="1873">AND(NOT(G105), NOT(K105), NOT(J105))</f>
        <v>0</v>
      </c>
      <c r="AE105" s="2" t="b">
        <f t="shared" ref="AE105" si="1874">AND(NOT(I105), NOT(K105), NOT(J105))</f>
        <v>0</v>
      </c>
      <c r="AF105" s="2" t="b">
        <f t="shared" ref="AF105" si="1875">AND(NOT(I105), NOT(K105), NOT(J105))</f>
        <v>0</v>
      </c>
      <c r="AI105" s="2" t="b">
        <f t="shared" ref="AI105" si="1876">AND(NOT(I105), NOT(K105), NOT(J105))</f>
        <v>0</v>
      </c>
      <c r="AJ105" s="2" t="b">
        <f t="shared" ref="AJ105" si="1877">AND(NOT(J105), NOT(K105))</f>
        <v>0</v>
      </c>
      <c r="AK105" s="2" t="b">
        <f t="shared" ref="AK105" si="1878">AND(NOT(I105), NOT(K105), NOT(J105))</f>
        <v>0</v>
      </c>
      <c r="AN105" s="2" t="b">
        <f t="shared" ref="AN105" si="1879">AND(NOT(I105), NOT(K105), NOT(J105))</f>
        <v>0</v>
      </c>
      <c r="AO105" s="2" t="b">
        <f t="shared" ref="AO105" si="1880">AND(NOT(G105), NOT(J105), NOT(K105))</f>
        <v>0</v>
      </c>
      <c r="AR105" s="2" t="b">
        <f t="shared" ref="AR105:AR107" si="1881">AND(NOT(J105), NOT(K105))</f>
        <v>0</v>
      </c>
      <c r="AS105" s="2" t="b">
        <f t="shared" ref="AS105" si="1882">AND(NOT(I105), NOT(K105), NOT(J105))</f>
        <v>0</v>
      </c>
      <c r="AT105" s="2" t="b">
        <f t="shared" ref="AT105" si="1883">AND(NOT(G105), NOT(J105), NOT(K105))</f>
        <v>0</v>
      </c>
      <c r="AW105" s="2" t="b">
        <f t="shared" ref="AW105" si="1884">AND(NOT(G105), NOT(J105), NOT(K105))</f>
        <v>0</v>
      </c>
      <c r="AX105" s="2" t="b">
        <f t="shared" ref="AX105" si="1885">AND(NOT(J105), NOT(K105))</f>
        <v>0</v>
      </c>
      <c r="AY105" s="2" t="b">
        <f t="shared" ref="AY105" si="1886">AND(NOT(G105), NOT(J105), NOT(K105))</f>
        <v>0</v>
      </c>
    </row>
    <row r="106" spans="2:51" ht="18" customHeight="1" x14ac:dyDescent="0.3">
      <c r="B106" s="416"/>
      <c r="C106" s="332"/>
      <c r="D106" s="332"/>
      <c r="E106" s="2" t="s">
        <v>234</v>
      </c>
      <c r="F106" s="2" t="str">
        <f>IF('Full Season Entries'!L31 &lt;&gt; "", LEFT('Full Season Entries'!L31, 1), "")</f>
        <v/>
      </c>
      <c r="G106" s="2" t="b">
        <f t="shared" ref="G106:G108" si="1887">IF(F106 = "P", TRUE, FALSE)</f>
        <v>0</v>
      </c>
      <c r="H106" s="2" t="b">
        <f t="shared" ref="H106:H108" si="1888">IF(F106 = "G", TRUE, FALSE)</f>
        <v>0</v>
      </c>
      <c r="I106" s="2" t="b">
        <f t="shared" ref="I106:I108" si="1889">IF(F106 = "S", TRUE, FALSE)</f>
        <v>0</v>
      </c>
      <c r="J106" s="2" t="b">
        <f t="shared" ref="J106:J108" si="1890">IF(F106 = "B", TRUE, FALSE)</f>
        <v>0</v>
      </c>
      <c r="K106" s="27" t="b">
        <f t="shared" ref="K106:K108" si="1891">IF(AND(IF(G106 = FALSE, TRUE, FALSE), IF(H106 = FALSE, TRUE, FALSE), IF(I106 = FALSE, TRUE, FALSE), IF(J106 = FALSE, TRUE, FALSE)) = TRUE, TRUE, FALSE)</f>
        <v>1</v>
      </c>
      <c r="L106" s="416"/>
      <c r="O106" s="1" t="s">
        <v>386</v>
      </c>
      <c r="P106" s="1" t="b">
        <f t="shared" ref="P106" si="1892">OR(IF(C105 = 2, TRUE, FALSE), IF(C105 = 2.2, TRUE, FALSE))</f>
        <v>0</v>
      </c>
      <c r="Q106" s="1">
        <f t="shared" si="1268"/>
        <v>0</v>
      </c>
      <c r="T106" s="2" t="b">
        <f t="shared" ref="T106" si="1893">IF(D105 = 0, FALSE, IF(C105 = 1, CHOOSE(D105, W106, X106, Y106, Z106), IF(C105 = 2, CHOOSE(D105, AC106, AD106, AE106, AF106), IF(C105 = 2.1, CHOOSE(D105, AC106, AD106, AE106, AF106), IF(C105 = 3, CHOOSE(D105, AI106, AJ106, AK106), IF(C105 = 4, CHOOSE(D105, AN106, AO106), IF(C105 = 5, CHOOSE(D105, AR106, AS106, AT106), IF(C105 = 7, CHOOSE(D105, AW106, AX106, AY106), FALSE))))))))</f>
        <v>0</v>
      </c>
      <c r="W106" s="2" t="b">
        <f t="shared" ref="W106:W107" si="1894">AND(NOT(K106), NOT(J106))</f>
        <v>0</v>
      </c>
      <c r="X106" s="2" t="b">
        <f t="shared" ref="X106" si="1895">NOT(K105)</f>
        <v>0</v>
      </c>
      <c r="Y106" s="2" t="b">
        <f t="shared" ref="Y106:Y107" si="1896">AND(NOT(K106), NOT(J106))</f>
        <v>0</v>
      </c>
      <c r="Z106" s="2" t="b">
        <f t="shared" ref="Z106" si="1897">OR(I106, J106)</f>
        <v>0</v>
      </c>
      <c r="AC106" s="2" t="b">
        <f t="shared" ref="AC106" si="1898">AND(NOT(K106), NOT(J106))</f>
        <v>0</v>
      </c>
      <c r="AD106" s="2" t="b">
        <f t="shared" ref="AD106" si="1899">J106</f>
        <v>0</v>
      </c>
      <c r="AE106" s="2" t="b">
        <f t="shared" ref="AE106" si="1900">AND(NOT(K106), NOT(J106))</f>
        <v>0</v>
      </c>
      <c r="AF106" s="2" t="b">
        <f t="shared" ref="AF106" si="1901">J106</f>
        <v>0</v>
      </c>
      <c r="AI106" s="2" t="b">
        <f t="shared" ref="AI106" si="1902">AND(NOT(J106), NOT(K106))</f>
        <v>0</v>
      </c>
      <c r="AJ106" s="2" t="b">
        <f t="shared" ref="AJ106" si="1903">OR(I106, J106)</f>
        <v>0</v>
      </c>
      <c r="AK106" s="2" t="b">
        <f t="shared" ref="AK106" si="1904">OR(I106, J106)</f>
        <v>0</v>
      </c>
      <c r="AN106" s="2" t="b">
        <f t="shared" ref="AN106" si="1905">OR(I106, J106)</f>
        <v>0</v>
      </c>
      <c r="AO106" s="2" t="b">
        <f t="shared" ref="AO106" si="1906">J106</f>
        <v>0</v>
      </c>
      <c r="AR106" s="2" t="b">
        <f t="shared" si="1881"/>
        <v>0</v>
      </c>
      <c r="AS106" s="2" t="b">
        <f t="shared" ref="AS106" si="1907">OR(I106, J106)</f>
        <v>0</v>
      </c>
      <c r="AT106" s="2" t="b">
        <f t="shared" ref="AT106" si="1908">OR(I106, J106)</f>
        <v>0</v>
      </c>
      <c r="AW106" s="2" t="b">
        <f t="shared" ref="AW106" si="1909">J106</f>
        <v>0</v>
      </c>
      <c r="AX106" s="2" t="b">
        <f t="shared" ref="AX106" si="1910">J106</f>
        <v>0</v>
      </c>
      <c r="AY106" s="2" t="b">
        <f t="shared" ref="AY106" si="1911">J106</f>
        <v>0</v>
      </c>
    </row>
    <row r="107" spans="2:51" ht="18" customHeight="1" x14ac:dyDescent="0.3">
      <c r="B107" s="416"/>
      <c r="C107" s="332"/>
      <c r="D107" s="332"/>
      <c r="E107" s="2" t="s">
        <v>235</v>
      </c>
      <c r="F107" s="2" t="str">
        <f>IF('Full Season Entries'!M31 &lt;&gt; "", LEFT('Full Season Entries'!M31, 1), "")</f>
        <v/>
      </c>
      <c r="G107" s="2" t="b">
        <f t="shared" si="1887"/>
        <v>0</v>
      </c>
      <c r="H107" s="2" t="b">
        <f t="shared" si="1888"/>
        <v>0</v>
      </c>
      <c r="I107" s="2" t="b">
        <f t="shared" si="1889"/>
        <v>0</v>
      </c>
      <c r="J107" s="2" t="b">
        <f t="shared" si="1890"/>
        <v>0</v>
      </c>
      <c r="K107" s="27" t="b">
        <f t="shared" si="1891"/>
        <v>1</v>
      </c>
      <c r="L107" s="416"/>
      <c r="O107" s="1" t="s">
        <v>387</v>
      </c>
      <c r="P107" s="1" t="b">
        <f t="shared" ref="P107" si="1912">OR(IF(D105 = 2, TRUE, FALSE), IF(D105 = 4, TRUE, FALSE))</f>
        <v>0</v>
      </c>
      <c r="Q107" s="1">
        <f t="shared" si="1268"/>
        <v>0</v>
      </c>
      <c r="T107" s="2" t="b">
        <f t="shared" ref="T107" si="1913">IF(D105 = 0, FALSE, IF(C105 = 1, CHOOSE(D105, W107, X107, Y107, Z107), IF(C105 = 2, CHOOSE(D105, AC107, AD107, AE107, AF107), IF(C105 = 2.1, K107, IF(C105 = 3, CHOOSE(D105, AI107, AJ107, AK107), IF(C105 = 4, CHOOSE(D105, AN107, AO107), IF(C105 = 5, CHOOSE(D105, AR107, AS107, AT107), IF(C105 = 7, CHOOSE(D105, AW107, AX107, AY107), FALSE))))))))</f>
        <v>0</v>
      </c>
      <c r="W107" s="2" t="b">
        <f t="shared" si="1894"/>
        <v>0</v>
      </c>
      <c r="X107" s="2" t="b">
        <f t="shared" ref="X107" si="1914">OR(I107, J107)</f>
        <v>0</v>
      </c>
      <c r="Y107" s="2" t="b">
        <f t="shared" si="1896"/>
        <v>0</v>
      </c>
      <c r="Z107" s="2" t="b">
        <f t="shared" ref="Z107" si="1915">J107</f>
        <v>0</v>
      </c>
      <c r="AC107" s="2" t="b">
        <f t="shared" ref="AC107" si="1916">NOT(K107)</f>
        <v>0</v>
      </c>
      <c r="AD107" s="2" t="b">
        <f t="shared" ref="AD107" si="1917">OR(I107, J107)</f>
        <v>0</v>
      </c>
      <c r="AE107" s="2" t="b">
        <f t="shared" ref="AE107" si="1918">NOT(K107)</f>
        <v>0</v>
      </c>
      <c r="AF107" s="2" t="b">
        <f t="shared" ref="AF107" si="1919">OR(I107, J107)</f>
        <v>0</v>
      </c>
      <c r="AI107" s="2" t="b">
        <f t="shared" ref="AI107" si="1920">AND(OR(I107, J107), NOT(K107))</f>
        <v>0</v>
      </c>
      <c r="AJ107" s="2" t="b">
        <f t="shared" ref="AJ107" si="1921">J107</f>
        <v>0</v>
      </c>
      <c r="AK107" s="2" t="b">
        <f t="shared" ref="AK107" si="1922">J107</f>
        <v>0</v>
      </c>
      <c r="AN107" s="2" t="b">
        <f t="shared" ref="AN107:AN108" si="1923">K107</f>
        <v>1</v>
      </c>
      <c r="AO107" s="2" t="b">
        <f t="shared" ref="AO107:AO108" si="1924">K107</f>
        <v>1</v>
      </c>
      <c r="AR107" s="2" t="b">
        <f t="shared" si="1881"/>
        <v>0</v>
      </c>
      <c r="AS107" s="2" t="b">
        <f t="shared" ref="AS107" si="1925">J107</f>
        <v>0</v>
      </c>
      <c r="AT107" s="2" t="b">
        <f t="shared" ref="AT107" si="1926">J107</f>
        <v>0</v>
      </c>
      <c r="AW107" s="2" t="b">
        <f t="shared" ref="AW107:AW108" si="1927">K107</f>
        <v>1</v>
      </c>
      <c r="AX107" s="2" t="b">
        <f t="shared" ref="AX107:AX108" si="1928">K107</f>
        <v>1</v>
      </c>
      <c r="AY107" s="2" t="b">
        <f t="shared" ref="AY107:AY108" si="1929">K107</f>
        <v>1</v>
      </c>
    </row>
    <row r="108" spans="2:51" ht="18" customHeight="1" x14ac:dyDescent="0.3">
      <c r="B108" s="412"/>
      <c r="C108" s="332"/>
      <c r="D108" s="332"/>
      <c r="E108" s="2" t="s">
        <v>236</v>
      </c>
      <c r="F108" s="2" t="str">
        <f>IF('Full Season Entries'!N31 &lt;&gt; "", LEFT('Full Season Entries'!N31, 1), "")</f>
        <v/>
      </c>
      <c r="G108" s="2" t="b">
        <f t="shared" si="1887"/>
        <v>0</v>
      </c>
      <c r="H108" s="2" t="b">
        <f t="shared" si="1888"/>
        <v>0</v>
      </c>
      <c r="I108" s="2" t="b">
        <f t="shared" si="1889"/>
        <v>0</v>
      </c>
      <c r="J108" s="2" t="b">
        <f t="shared" si="1890"/>
        <v>0</v>
      </c>
      <c r="K108" s="27" t="b">
        <f t="shared" si="1891"/>
        <v>1</v>
      </c>
      <c r="L108" s="412"/>
      <c r="O108" s="1" t="s">
        <v>388</v>
      </c>
      <c r="P108" s="1" t="b">
        <f t="shared" ref="P108" si="1930">IF(SUM(Q105:Q108) &gt; 1, TRUE, FALSE)</f>
        <v>0</v>
      </c>
      <c r="Q108" s="1">
        <f t="shared" si="1268"/>
        <v>0</v>
      </c>
      <c r="T108" s="2" t="b">
        <f t="shared" ref="T108" si="1931">IF(D105 = 0, FALSE, IF(C105 = 1, CHOOSE(D105, W108, X108, Y108, Z108), IF(C105 = 2, CHOOSE(D105, AC108, AD108, AE108, AF108), IF(C105 = 2.1, K108, IF(C105 = 3, CHOOSE(D105, AI108, AJ108, AK108), IF(C105 = 4, CHOOSE(D105, AN108, AO108), IF(C105 = 5, CHOOSE(D105, AR108, AS108, AT108), IF(C105 = 7, CHOOSE(D105, AW108, AX108, AY108), FALSE))))))))</f>
        <v>0</v>
      </c>
      <c r="W108" s="2" t="b">
        <f t="shared" ref="W108" si="1932">K108</f>
        <v>1</v>
      </c>
      <c r="X108" s="2" t="b">
        <f t="shared" ref="X108" si="1933">K108</f>
        <v>1</v>
      </c>
      <c r="Y108" s="2" t="b">
        <f t="shared" ref="Y108" si="1934">K108</f>
        <v>1</v>
      </c>
      <c r="Z108" s="2" t="b">
        <f t="shared" ref="Z108" si="1935">K108</f>
        <v>1</v>
      </c>
      <c r="AC108" s="2" t="b">
        <v>1</v>
      </c>
      <c r="AD108" s="2" t="b">
        <f t="shared" ref="AD108" si="1936">NOT(K108)</f>
        <v>0</v>
      </c>
      <c r="AE108" s="2" t="b">
        <v>1</v>
      </c>
      <c r="AF108" s="2" t="b">
        <f t="shared" ref="AF108" si="1937">NOT(K108)</f>
        <v>0</v>
      </c>
      <c r="AI108" s="2" t="b">
        <f t="shared" ref="AI108" si="1938">K108</f>
        <v>1</v>
      </c>
      <c r="AJ108" s="2" t="b">
        <f t="shared" ref="AJ108" si="1939">K108</f>
        <v>1</v>
      </c>
      <c r="AK108" s="2" t="b">
        <f t="shared" ref="AK108" si="1940">K108</f>
        <v>1</v>
      </c>
      <c r="AN108" s="2" t="b">
        <f t="shared" si="1923"/>
        <v>1</v>
      </c>
      <c r="AO108" s="2" t="b">
        <f t="shared" si="1924"/>
        <v>1</v>
      </c>
      <c r="AR108" s="2" t="b">
        <f t="shared" ref="AR108" si="1941">K108</f>
        <v>1</v>
      </c>
      <c r="AS108" s="2" t="b">
        <f t="shared" ref="AS108" si="1942">K108</f>
        <v>1</v>
      </c>
      <c r="AT108" s="2" t="b">
        <f t="shared" ref="AT108" si="1943">K108</f>
        <v>1</v>
      </c>
      <c r="AW108" s="2" t="b">
        <f t="shared" si="1927"/>
        <v>1</v>
      </c>
      <c r="AX108" s="2" t="b">
        <f t="shared" si="1928"/>
        <v>1</v>
      </c>
      <c r="AY108" s="2" t="b">
        <f t="shared" si="1929"/>
        <v>1</v>
      </c>
    </row>
    <row r="109" spans="2:51" ht="18" customHeight="1" x14ac:dyDescent="0.3">
      <c r="B109" s="415">
        <v>27</v>
      </c>
      <c r="C109" s="332">
        <f>IF('Full Season Entries'!AF32 = 2.2, 2, 'Full Season Entries'!AF32)</f>
        <v>0</v>
      </c>
      <c r="D109" s="332">
        <f>'Full Season Entries'!AG32</f>
        <v>0</v>
      </c>
      <c r="E109" s="2" t="s">
        <v>233</v>
      </c>
      <c r="F109" s="2" t="str">
        <f>IF('Full Season Entries'!K32 &lt;&gt; "", LEFT('Full Season Entries'!K32, 1), "")</f>
        <v/>
      </c>
      <c r="G109" s="2" t="b">
        <f>IF(F109 = "P", TRUE, FALSE)</f>
        <v>0</v>
      </c>
      <c r="H109" s="2" t="b">
        <f>IF(F109 = "G", TRUE, FALSE)</f>
        <v>0</v>
      </c>
      <c r="I109" s="2" t="b">
        <f>IF(F109 = "S", TRUE, FALSE)</f>
        <v>0</v>
      </c>
      <c r="J109" s="2" t="b">
        <f>IF(F109 = "B", TRUE, FALSE)</f>
        <v>0</v>
      </c>
      <c r="K109" s="27" t="b">
        <f>IF(AND(IF(G109 = FALSE, TRUE, FALSE), IF(H109 = FALSE, TRUE, FALSE), IF(I109 = FALSE, TRUE, FALSE), IF(J109 = FALSE, TRUE, FALSE)) = TRUE, TRUE, FALSE)</f>
        <v>1</v>
      </c>
      <c r="L109" s="415" t="str">
        <f>IF(P109, "", IF(AND(P110, P111), AND(T109, T110, T111, T112), AND(NOT(P112), T109, T110, T111, T112)))</f>
        <v/>
      </c>
      <c r="O109" s="1" t="s">
        <v>232</v>
      </c>
      <c r="P109" s="1" t="b">
        <f t="shared" ref="P109" si="1944">AND(K109, K110, K111, K112)</f>
        <v>1</v>
      </c>
      <c r="Q109" s="1">
        <f t="shared" si="1268"/>
        <v>0</v>
      </c>
      <c r="T109" s="2" t="b">
        <f t="shared" ref="T109" si="1945">IF(D109 = 0, FALSE, IF(C109 = 1, CHOOSE(D109, W109, X109, Y109, Z109), IF(C109 = 2, CHOOSE(D109, AC109, AD109, AE109, AF109), IF(C109 = 2.1, CHOOSE(D109, AC109, AD109, AE109, AF109), IF(C109 = 3, CHOOSE(D109, AI109, AJ109, AK109), IF(C109 = 4, CHOOSE(D109, AN109, AO109), IF(C109 = 5, CHOOSE(D109, AR109, AS109, AT109), IF(C109 = 7, CHOOSE(D109, AW109, AX109, AY109), FALSE))))))))</f>
        <v>0</v>
      </c>
      <c r="W109" s="2" t="b">
        <f t="shared" ref="W109" si="1946">AND(NOT(I109), NOT(K109), NOT(J109))</f>
        <v>0</v>
      </c>
      <c r="X109" s="2" t="b">
        <f t="shared" ref="X109" si="1947">AND(NOT(I109), NOT(K109), NOT(J109))</f>
        <v>0</v>
      </c>
      <c r="Y109" s="2" t="b">
        <f t="shared" ref="Y109" si="1948">AND(NOT(I109), NOT(K109), NOT(J109))</f>
        <v>0</v>
      </c>
      <c r="Z109" s="2" t="b">
        <f t="shared" ref="Z109" si="1949">AND(NOT(I109), NOT(K109), NOT(J109))</f>
        <v>0</v>
      </c>
      <c r="AC109" s="2" t="b">
        <f t="shared" ref="AC109" si="1950">AND(NOT(I109), NOT(K109), NOT(J109))</f>
        <v>0</v>
      </c>
      <c r="AD109" s="2" t="b">
        <f t="shared" ref="AD109" si="1951">AND(NOT(G109), NOT(K109), NOT(J109))</f>
        <v>0</v>
      </c>
      <c r="AE109" s="2" t="b">
        <f t="shared" ref="AE109" si="1952">AND(NOT(I109), NOT(K109), NOT(J109))</f>
        <v>0</v>
      </c>
      <c r="AF109" s="2" t="b">
        <f t="shared" ref="AF109" si="1953">AND(NOT(I109), NOT(K109), NOT(J109))</f>
        <v>0</v>
      </c>
      <c r="AI109" s="2" t="b">
        <f t="shared" ref="AI109" si="1954">AND(NOT(I109), NOT(K109), NOT(J109))</f>
        <v>0</v>
      </c>
      <c r="AJ109" s="2" t="b">
        <f t="shared" ref="AJ109" si="1955">AND(NOT(J109), NOT(K109))</f>
        <v>0</v>
      </c>
      <c r="AK109" s="2" t="b">
        <f t="shared" ref="AK109" si="1956">AND(NOT(I109), NOT(K109), NOT(J109))</f>
        <v>0</v>
      </c>
      <c r="AN109" s="2" t="b">
        <f t="shared" ref="AN109" si="1957">AND(NOT(I109), NOT(K109), NOT(J109))</f>
        <v>0</v>
      </c>
      <c r="AO109" s="2" t="b">
        <f t="shared" ref="AO109" si="1958">AND(NOT(G109), NOT(J109), NOT(K109))</f>
        <v>0</v>
      </c>
      <c r="AR109" s="2" t="b">
        <f t="shared" ref="AR109:AR111" si="1959">AND(NOT(J109), NOT(K109))</f>
        <v>0</v>
      </c>
      <c r="AS109" s="2" t="b">
        <f t="shared" ref="AS109" si="1960">AND(NOT(I109), NOT(K109), NOT(J109))</f>
        <v>0</v>
      </c>
      <c r="AT109" s="2" t="b">
        <f t="shared" ref="AT109" si="1961">AND(NOT(G109), NOT(J109), NOT(K109))</f>
        <v>0</v>
      </c>
      <c r="AW109" s="2" t="b">
        <f t="shared" ref="AW109" si="1962">AND(NOT(G109), NOT(J109), NOT(K109))</f>
        <v>0</v>
      </c>
      <c r="AX109" s="2" t="b">
        <f t="shared" ref="AX109" si="1963">AND(NOT(J109), NOT(K109))</f>
        <v>0</v>
      </c>
      <c r="AY109" s="2" t="b">
        <f t="shared" ref="AY109" si="1964">AND(NOT(G109), NOT(J109), NOT(K109))</f>
        <v>0</v>
      </c>
    </row>
    <row r="110" spans="2:51" ht="18" customHeight="1" x14ac:dyDescent="0.3">
      <c r="B110" s="416"/>
      <c r="C110" s="332"/>
      <c r="D110" s="332"/>
      <c r="E110" s="2" t="s">
        <v>234</v>
      </c>
      <c r="F110" s="2" t="str">
        <f>IF('Full Season Entries'!L32 &lt;&gt; "", LEFT('Full Season Entries'!L32, 1), "")</f>
        <v/>
      </c>
      <c r="G110" s="2" t="b">
        <f t="shared" ref="G110:G112" si="1965">IF(F110 = "P", TRUE, FALSE)</f>
        <v>0</v>
      </c>
      <c r="H110" s="2" t="b">
        <f t="shared" ref="H110:H112" si="1966">IF(F110 = "G", TRUE, FALSE)</f>
        <v>0</v>
      </c>
      <c r="I110" s="2" t="b">
        <f t="shared" ref="I110:I112" si="1967">IF(F110 = "S", TRUE, FALSE)</f>
        <v>0</v>
      </c>
      <c r="J110" s="2" t="b">
        <f t="shared" ref="J110:J112" si="1968">IF(F110 = "B", TRUE, FALSE)</f>
        <v>0</v>
      </c>
      <c r="K110" s="27" t="b">
        <f t="shared" ref="K110:K112" si="1969">IF(AND(IF(G110 = FALSE, TRUE, FALSE), IF(H110 = FALSE, TRUE, FALSE), IF(I110 = FALSE, TRUE, FALSE), IF(J110 = FALSE, TRUE, FALSE)) = TRUE, TRUE, FALSE)</f>
        <v>1</v>
      </c>
      <c r="L110" s="416"/>
      <c r="O110" s="1" t="s">
        <v>386</v>
      </c>
      <c r="P110" s="1" t="b">
        <f t="shared" ref="P110" si="1970">OR(IF(C109 = 2, TRUE, FALSE), IF(C109 = 2.2, TRUE, FALSE))</f>
        <v>0</v>
      </c>
      <c r="Q110" s="1">
        <f t="shared" si="1268"/>
        <v>0</v>
      </c>
      <c r="T110" s="2" t="b">
        <f t="shared" ref="T110" si="1971">IF(D109 = 0, FALSE, IF(C109 = 1, CHOOSE(D109, W110, X110, Y110, Z110), IF(C109 = 2, CHOOSE(D109, AC110, AD110, AE110, AF110), IF(C109 = 2.1, CHOOSE(D109, AC110, AD110, AE110, AF110), IF(C109 = 3, CHOOSE(D109, AI110, AJ110, AK110), IF(C109 = 4, CHOOSE(D109, AN110, AO110), IF(C109 = 5, CHOOSE(D109, AR110, AS110, AT110), IF(C109 = 7, CHOOSE(D109, AW110, AX110, AY110), FALSE))))))))</f>
        <v>0</v>
      </c>
      <c r="W110" s="2" t="b">
        <f t="shared" ref="W110:W111" si="1972">AND(NOT(K110), NOT(J110))</f>
        <v>0</v>
      </c>
      <c r="X110" s="2" t="b">
        <f t="shared" ref="X110" si="1973">NOT(K109)</f>
        <v>0</v>
      </c>
      <c r="Y110" s="2" t="b">
        <f t="shared" ref="Y110:Y111" si="1974">AND(NOT(K110), NOT(J110))</f>
        <v>0</v>
      </c>
      <c r="Z110" s="2" t="b">
        <f t="shared" ref="Z110" si="1975">OR(I110, J110)</f>
        <v>0</v>
      </c>
      <c r="AC110" s="2" t="b">
        <f t="shared" ref="AC110" si="1976">AND(NOT(K110), NOT(J110))</f>
        <v>0</v>
      </c>
      <c r="AD110" s="2" t="b">
        <f t="shared" ref="AD110" si="1977">J110</f>
        <v>0</v>
      </c>
      <c r="AE110" s="2" t="b">
        <f t="shared" ref="AE110" si="1978">AND(NOT(K110), NOT(J110))</f>
        <v>0</v>
      </c>
      <c r="AF110" s="2" t="b">
        <f t="shared" ref="AF110" si="1979">J110</f>
        <v>0</v>
      </c>
      <c r="AI110" s="2" t="b">
        <f t="shared" ref="AI110" si="1980">AND(NOT(J110), NOT(K110))</f>
        <v>0</v>
      </c>
      <c r="AJ110" s="2" t="b">
        <f t="shared" ref="AJ110" si="1981">OR(I110, J110)</f>
        <v>0</v>
      </c>
      <c r="AK110" s="2" t="b">
        <f t="shared" ref="AK110" si="1982">OR(I110, J110)</f>
        <v>0</v>
      </c>
      <c r="AN110" s="2" t="b">
        <f t="shared" ref="AN110" si="1983">OR(I110, J110)</f>
        <v>0</v>
      </c>
      <c r="AO110" s="2" t="b">
        <f t="shared" ref="AO110" si="1984">J110</f>
        <v>0</v>
      </c>
      <c r="AR110" s="2" t="b">
        <f t="shared" si="1959"/>
        <v>0</v>
      </c>
      <c r="AS110" s="2" t="b">
        <f t="shared" ref="AS110" si="1985">OR(I110, J110)</f>
        <v>0</v>
      </c>
      <c r="AT110" s="2" t="b">
        <f t="shared" ref="AT110" si="1986">OR(I110, J110)</f>
        <v>0</v>
      </c>
      <c r="AW110" s="2" t="b">
        <f t="shared" ref="AW110" si="1987">J110</f>
        <v>0</v>
      </c>
      <c r="AX110" s="2" t="b">
        <f t="shared" ref="AX110" si="1988">J110</f>
        <v>0</v>
      </c>
      <c r="AY110" s="2" t="b">
        <f t="shared" ref="AY110" si="1989">J110</f>
        <v>0</v>
      </c>
    </row>
    <row r="111" spans="2:51" ht="18" customHeight="1" x14ac:dyDescent="0.3">
      <c r="B111" s="416"/>
      <c r="C111" s="332"/>
      <c r="D111" s="332"/>
      <c r="E111" s="2" t="s">
        <v>235</v>
      </c>
      <c r="F111" s="2" t="str">
        <f>IF('Full Season Entries'!M32 &lt;&gt; "", LEFT('Full Season Entries'!M32, 1), "")</f>
        <v/>
      </c>
      <c r="G111" s="2" t="b">
        <f t="shared" si="1965"/>
        <v>0</v>
      </c>
      <c r="H111" s="2" t="b">
        <f t="shared" si="1966"/>
        <v>0</v>
      </c>
      <c r="I111" s="2" t="b">
        <f t="shared" si="1967"/>
        <v>0</v>
      </c>
      <c r="J111" s="2" t="b">
        <f t="shared" si="1968"/>
        <v>0</v>
      </c>
      <c r="K111" s="27" t="b">
        <f t="shared" si="1969"/>
        <v>1</v>
      </c>
      <c r="L111" s="416"/>
      <c r="O111" s="1" t="s">
        <v>387</v>
      </c>
      <c r="P111" s="1" t="b">
        <f t="shared" ref="P111" si="1990">OR(IF(D109 = 2, TRUE, FALSE), IF(D109 = 4, TRUE, FALSE))</f>
        <v>0</v>
      </c>
      <c r="Q111" s="1">
        <f t="shared" si="1268"/>
        <v>0</v>
      </c>
      <c r="T111" s="2" t="b">
        <f t="shared" ref="T111" si="1991">IF(D109 = 0, FALSE, IF(C109 = 1, CHOOSE(D109, W111, X111, Y111, Z111), IF(C109 = 2, CHOOSE(D109, AC111, AD111, AE111, AF111), IF(C109 = 2.1, K111, IF(C109 = 3, CHOOSE(D109, AI111, AJ111, AK111), IF(C109 = 4, CHOOSE(D109, AN111, AO111), IF(C109 = 5, CHOOSE(D109, AR111, AS111, AT111), IF(C109 = 7, CHOOSE(D109, AW111, AX111, AY111), FALSE))))))))</f>
        <v>0</v>
      </c>
      <c r="W111" s="2" t="b">
        <f t="shared" si="1972"/>
        <v>0</v>
      </c>
      <c r="X111" s="2" t="b">
        <f t="shared" ref="X111" si="1992">OR(I111, J111)</f>
        <v>0</v>
      </c>
      <c r="Y111" s="2" t="b">
        <f t="shared" si="1974"/>
        <v>0</v>
      </c>
      <c r="Z111" s="2" t="b">
        <f t="shared" ref="Z111" si="1993">J111</f>
        <v>0</v>
      </c>
      <c r="AC111" s="2" t="b">
        <f t="shared" ref="AC111" si="1994">NOT(K111)</f>
        <v>0</v>
      </c>
      <c r="AD111" s="2" t="b">
        <f t="shared" ref="AD111" si="1995">OR(I111, J111)</f>
        <v>0</v>
      </c>
      <c r="AE111" s="2" t="b">
        <f t="shared" ref="AE111" si="1996">NOT(K111)</f>
        <v>0</v>
      </c>
      <c r="AF111" s="2" t="b">
        <f t="shared" ref="AF111" si="1997">OR(I111, J111)</f>
        <v>0</v>
      </c>
      <c r="AI111" s="2" t="b">
        <f t="shared" ref="AI111" si="1998">AND(OR(I111, J111), NOT(K111))</f>
        <v>0</v>
      </c>
      <c r="AJ111" s="2" t="b">
        <f t="shared" ref="AJ111" si="1999">J111</f>
        <v>0</v>
      </c>
      <c r="AK111" s="2" t="b">
        <f t="shared" ref="AK111" si="2000">J111</f>
        <v>0</v>
      </c>
      <c r="AN111" s="2" t="b">
        <f t="shared" ref="AN111:AN112" si="2001">K111</f>
        <v>1</v>
      </c>
      <c r="AO111" s="2" t="b">
        <f t="shared" ref="AO111:AO112" si="2002">K111</f>
        <v>1</v>
      </c>
      <c r="AR111" s="2" t="b">
        <f t="shared" si="1959"/>
        <v>0</v>
      </c>
      <c r="AS111" s="2" t="b">
        <f t="shared" ref="AS111" si="2003">J111</f>
        <v>0</v>
      </c>
      <c r="AT111" s="2" t="b">
        <f t="shared" ref="AT111" si="2004">J111</f>
        <v>0</v>
      </c>
      <c r="AW111" s="2" t="b">
        <f t="shared" ref="AW111:AW112" si="2005">K111</f>
        <v>1</v>
      </c>
      <c r="AX111" s="2" t="b">
        <f t="shared" ref="AX111:AX112" si="2006">K111</f>
        <v>1</v>
      </c>
      <c r="AY111" s="2" t="b">
        <f t="shared" ref="AY111:AY112" si="2007">K111</f>
        <v>1</v>
      </c>
    </row>
    <row r="112" spans="2:51" ht="18" customHeight="1" x14ac:dyDescent="0.3">
      <c r="B112" s="412"/>
      <c r="C112" s="332"/>
      <c r="D112" s="332"/>
      <c r="E112" s="2" t="s">
        <v>236</v>
      </c>
      <c r="F112" s="2" t="str">
        <f>IF('Full Season Entries'!N32 &lt;&gt; "", LEFT('Full Season Entries'!N32, 1), "")</f>
        <v/>
      </c>
      <c r="G112" s="2" t="b">
        <f t="shared" si="1965"/>
        <v>0</v>
      </c>
      <c r="H112" s="2" t="b">
        <f t="shared" si="1966"/>
        <v>0</v>
      </c>
      <c r="I112" s="2" t="b">
        <f t="shared" si="1967"/>
        <v>0</v>
      </c>
      <c r="J112" s="2" t="b">
        <f t="shared" si="1968"/>
        <v>0</v>
      </c>
      <c r="K112" s="27" t="b">
        <f t="shared" si="1969"/>
        <v>1</v>
      </c>
      <c r="L112" s="412"/>
      <c r="O112" s="1" t="s">
        <v>388</v>
      </c>
      <c r="P112" s="1" t="b">
        <f t="shared" ref="P112" si="2008">IF(SUM(Q109:Q112) &gt; 1, TRUE, FALSE)</f>
        <v>0</v>
      </c>
      <c r="Q112" s="1">
        <f t="shared" si="1268"/>
        <v>0</v>
      </c>
      <c r="T112" s="2" t="b">
        <f t="shared" ref="T112" si="2009">IF(D109 = 0, FALSE, IF(C109 = 1, CHOOSE(D109, W112, X112, Y112, Z112), IF(C109 = 2, CHOOSE(D109, AC112, AD112, AE112, AF112), IF(C109 = 2.1, K112, IF(C109 = 3, CHOOSE(D109, AI112, AJ112, AK112), IF(C109 = 4, CHOOSE(D109, AN112, AO112), IF(C109 = 5, CHOOSE(D109, AR112, AS112, AT112), IF(C109 = 7, CHOOSE(D109, AW112, AX112, AY112), FALSE))))))))</f>
        <v>0</v>
      </c>
      <c r="W112" s="2" t="b">
        <f t="shared" ref="W112" si="2010">K112</f>
        <v>1</v>
      </c>
      <c r="X112" s="2" t="b">
        <f t="shared" ref="X112" si="2011">K112</f>
        <v>1</v>
      </c>
      <c r="Y112" s="2" t="b">
        <f t="shared" ref="Y112" si="2012">K112</f>
        <v>1</v>
      </c>
      <c r="Z112" s="2" t="b">
        <f t="shared" ref="Z112" si="2013">K112</f>
        <v>1</v>
      </c>
      <c r="AC112" s="2" t="b">
        <v>1</v>
      </c>
      <c r="AD112" s="2" t="b">
        <f t="shared" ref="AD112" si="2014">NOT(K112)</f>
        <v>0</v>
      </c>
      <c r="AE112" s="2" t="b">
        <v>1</v>
      </c>
      <c r="AF112" s="2" t="b">
        <f t="shared" ref="AF112" si="2015">NOT(K112)</f>
        <v>0</v>
      </c>
      <c r="AI112" s="2" t="b">
        <f t="shared" ref="AI112" si="2016">K112</f>
        <v>1</v>
      </c>
      <c r="AJ112" s="2" t="b">
        <f t="shared" ref="AJ112" si="2017">K112</f>
        <v>1</v>
      </c>
      <c r="AK112" s="2" t="b">
        <f t="shared" ref="AK112" si="2018">K112</f>
        <v>1</v>
      </c>
      <c r="AN112" s="2" t="b">
        <f t="shared" si="2001"/>
        <v>1</v>
      </c>
      <c r="AO112" s="2" t="b">
        <f t="shared" si="2002"/>
        <v>1</v>
      </c>
      <c r="AR112" s="2" t="b">
        <f t="shared" ref="AR112" si="2019">K112</f>
        <v>1</v>
      </c>
      <c r="AS112" s="2" t="b">
        <f t="shared" ref="AS112" si="2020">K112</f>
        <v>1</v>
      </c>
      <c r="AT112" s="2" t="b">
        <f t="shared" ref="AT112" si="2021">K112</f>
        <v>1</v>
      </c>
      <c r="AW112" s="2" t="b">
        <f t="shared" si="2005"/>
        <v>1</v>
      </c>
      <c r="AX112" s="2" t="b">
        <f t="shared" si="2006"/>
        <v>1</v>
      </c>
      <c r="AY112" s="2" t="b">
        <f t="shared" si="2007"/>
        <v>1</v>
      </c>
    </row>
    <row r="113" spans="2:51" ht="18" customHeight="1" x14ac:dyDescent="0.3">
      <c r="B113" s="415">
        <v>28</v>
      </c>
      <c r="C113" s="332">
        <f>IF('Full Season Entries'!AF33 = 2.2, 2, 'Full Season Entries'!AF33)</f>
        <v>0</v>
      </c>
      <c r="D113" s="332">
        <f>'Full Season Entries'!AG33</f>
        <v>0</v>
      </c>
      <c r="E113" s="2" t="s">
        <v>233</v>
      </c>
      <c r="F113" s="2" t="str">
        <f>IF('Full Season Entries'!K33 &lt;&gt; "", LEFT('Full Season Entries'!K33, 1), "")</f>
        <v/>
      </c>
      <c r="G113" s="2" t="b">
        <f>IF(F113 = "P", TRUE, FALSE)</f>
        <v>0</v>
      </c>
      <c r="H113" s="2" t="b">
        <f>IF(F113 = "G", TRUE, FALSE)</f>
        <v>0</v>
      </c>
      <c r="I113" s="2" t="b">
        <f>IF(F113 = "S", TRUE, FALSE)</f>
        <v>0</v>
      </c>
      <c r="J113" s="2" t="b">
        <f>IF(F113 = "B", TRUE, FALSE)</f>
        <v>0</v>
      </c>
      <c r="K113" s="27" t="b">
        <f>IF(AND(IF(G113 = FALSE, TRUE, FALSE), IF(H113 = FALSE, TRUE, FALSE), IF(I113 = FALSE, TRUE, FALSE), IF(J113 = FALSE, TRUE, FALSE)) = TRUE, TRUE, FALSE)</f>
        <v>1</v>
      </c>
      <c r="L113" s="415" t="str">
        <f>IF(P113, "", IF(AND(P114, P115), AND(T113, T114, T115, T116), AND(NOT(P116), T113, T114, T115, T116)))</f>
        <v/>
      </c>
      <c r="O113" s="1" t="s">
        <v>232</v>
      </c>
      <c r="P113" s="1" t="b">
        <f t="shared" ref="P113" si="2022">AND(K113, K114, K115, K116)</f>
        <v>1</v>
      </c>
      <c r="Q113" s="1">
        <f t="shared" si="1268"/>
        <v>0</v>
      </c>
      <c r="T113" s="2" t="b">
        <f t="shared" ref="T113" si="2023">IF(D113 = 0, FALSE, IF(C113 = 1, CHOOSE(D113, W113, X113, Y113, Z113), IF(C113 = 2, CHOOSE(D113, AC113, AD113, AE113, AF113), IF(C113 = 2.1, CHOOSE(D113, AC113, AD113, AE113, AF113), IF(C113 = 3, CHOOSE(D113, AI113, AJ113, AK113), IF(C113 = 4, CHOOSE(D113, AN113, AO113), IF(C113 = 5, CHOOSE(D113, AR113, AS113, AT113), IF(C113 = 7, CHOOSE(D113, AW113, AX113, AY113), FALSE))))))))</f>
        <v>0</v>
      </c>
      <c r="W113" s="2" t="b">
        <f t="shared" ref="W113" si="2024">AND(NOT(I113), NOT(K113), NOT(J113))</f>
        <v>0</v>
      </c>
      <c r="X113" s="2" t="b">
        <f t="shared" ref="X113" si="2025">AND(NOT(I113), NOT(K113), NOT(J113))</f>
        <v>0</v>
      </c>
      <c r="Y113" s="2" t="b">
        <f t="shared" ref="Y113" si="2026">AND(NOT(I113), NOT(K113), NOT(J113))</f>
        <v>0</v>
      </c>
      <c r="Z113" s="2" t="b">
        <f t="shared" ref="Z113" si="2027">AND(NOT(I113), NOT(K113), NOT(J113))</f>
        <v>0</v>
      </c>
      <c r="AC113" s="2" t="b">
        <f t="shared" ref="AC113" si="2028">AND(NOT(I113), NOT(K113), NOT(J113))</f>
        <v>0</v>
      </c>
      <c r="AD113" s="2" t="b">
        <f t="shared" ref="AD113" si="2029">AND(NOT(G113), NOT(K113), NOT(J113))</f>
        <v>0</v>
      </c>
      <c r="AE113" s="2" t="b">
        <f t="shared" ref="AE113" si="2030">AND(NOT(I113), NOT(K113), NOT(J113))</f>
        <v>0</v>
      </c>
      <c r="AF113" s="2" t="b">
        <f t="shared" ref="AF113" si="2031">AND(NOT(I113), NOT(K113), NOT(J113))</f>
        <v>0</v>
      </c>
      <c r="AI113" s="2" t="b">
        <f t="shared" ref="AI113" si="2032">AND(NOT(I113), NOT(K113), NOT(J113))</f>
        <v>0</v>
      </c>
      <c r="AJ113" s="2" t="b">
        <f t="shared" ref="AJ113" si="2033">AND(NOT(J113), NOT(K113))</f>
        <v>0</v>
      </c>
      <c r="AK113" s="2" t="b">
        <f t="shared" ref="AK113" si="2034">AND(NOT(I113), NOT(K113), NOT(J113))</f>
        <v>0</v>
      </c>
      <c r="AN113" s="2" t="b">
        <f t="shared" ref="AN113" si="2035">AND(NOT(I113), NOT(K113), NOT(J113))</f>
        <v>0</v>
      </c>
      <c r="AO113" s="2" t="b">
        <f t="shared" ref="AO113" si="2036">AND(NOT(G113), NOT(J113), NOT(K113))</f>
        <v>0</v>
      </c>
      <c r="AR113" s="2" t="b">
        <f t="shared" ref="AR113:AR115" si="2037">AND(NOT(J113), NOT(K113))</f>
        <v>0</v>
      </c>
      <c r="AS113" s="2" t="b">
        <f t="shared" ref="AS113" si="2038">AND(NOT(I113), NOT(K113), NOT(J113))</f>
        <v>0</v>
      </c>
      <c r="AT113" s="2" t="b">
        <f t="shared" ref="AT113" si="2039">AND(NOT(G113), NOT(J113), NOT(K113))</f>
        <v>0</v>
      </c>
      <c r="AW113" s="2" t="b">
        <f t="shared" ref="AW113" si="2040">AND(NOT(G113), NOT(J113), NOT(K113))</f>
        <v>0</v>
      </c>
      <c r="AX113" s="2" t="b">
        <f t="shared" ref="AX113" si="2041">AND(NOT(J113), NOT(K113))</f>
        <v>0</v>
      </c>
      <c r="AY113" s="2" t="b">
        <f t="shared" ref="AY113" si="2042">AND(NOT(G113), NOT(J113), NOT(K113))</f>
        <v>0</v>
      </c>
    </row>
    <row r="114" spans="2:51" ht="18" customHeight="1" x14ac:dyDescent="0.3">
      <c r="B114" s="416"/>
      <c r="C114" s="332"/>
      <c r="D114" s="332"/>
      <c r="E114" s="2" t="s">
        <v>234</v>
      </c>
      <c r="F114" s="2" t="str">
        <f>IF('Full Season Entries'!L33 &lt;&gt; "", LEFT('Full Season Entries'!L33, 1), "")</f>
        <v/>
      </c>
      <c r="G114" s="2" t="b">
        <f t="shared" ref="G114:G116" si="2043">IF(F114 = "P", TRUE, FALSE)</f>
        <v>0</v>
      </c>
      <c r="H114" s="2" t="b">
        <f t="shared" ref="H114:H116" si="2044">IF(F114 = "G", TRUE, FALSE)</f>
        <v>0</v>
      </c>
      <c r="I114" s="2" t="b">
        <f t="shared" ref="I114:I116" si="2045">IF(F114 = "S", TRUE, FALSE)</f>
        <v>0</v>
      </c>
      <c r="J114" s="2" t="b">
        <f t="shared" ref="J114:J116" si="2046">IF(F114 = "B", TRUE, FALSE)</f>
        <v>0</v>
      </c>
      <c r="K114" s="27" t="b">
        <f t="shared" ref="K114:K116" si="2047">IF(AND(IF(G114 = FALSE, TRUE, FALSE), IF(H114 = FALSE, TRUE, FALSE), IF(I114 = FALSE, TRUE, FALSE), IF(J114 = FALSE, TRUE, FALSE)) = TRUE, TRUE, FALSE)</f>
        <v>1</v>
      </c>
      <c r="L114" s="416"/>
      <c r="O114" s="1" t="s">
        <v>386</v>
      </c>
      <c r="P114" s="1" t="b">
        <f t="shared" ref="P114" si="2048">OR(IF(C113 = 2, TRUE, FALSE), IF(C113 = 2.2, TRUE, FALSE))</f>
        <v>0</v>
      </c>
      <c r="Q114" s="1">
        <f t="shared" si="1268"/>
        <v>0</v>
      </c>
      <c r="T114" s="2" t="b">
        <f t="shared" ref="T114" si="2049">IF(D113 = 0, FALSE, IF(C113 = 1, CHOOSE(D113, W114, X114, Y114, Z114), IF(C113 = 2, CHOOSE(D113, AC114, AD114, AE114, AF114), IF(C113 = 2.1, CHOOSE(D113, AC114, AD114, AE114, AF114), IF(C113 = 3, CHOOSE(D113, AI114, AJ114, AK114), IF(C113 = 4, CHOOSE(D113, AN114, AO114), IF(C113 = 5, CHOOSE(D113, AR114, AS114, AT114), IF(C113 = 7, CHOOSE(D113, AW114, AX114, AY114), FALSE))))))))</f>
        <v>0</v>
      </c>
      <c r="W114" s="2" t="b">
        <f t="shared" ref="W114:W115" si="2050">AND(NOT(K114), NOT(J114))</f>
        <v>0</v>
      </c>
      <c r="X114" s="2" t="b">
        <f t="shared" ref="X114" si="2051">NOT(K113)</f>
        <v>0</v>
      </c>
      <c r="Y114" s="2" t="b">
        <f t="shared" ref="Y114:Y115" si="2052">AND(NOT(K114), NOT(J114))</f>
        <v>0</v>
      </c>
      <c r="Z114" s="2" t="b">
        <f t="shared" ref="Z114" si="2053">OR(I114, J114)</f>
        <v>0</v>
      </c>
      <c r="AC114" s="2" t="b">
        <f t="shared" ref="AC114" si="2054">AND(NOT(K114), NOT(J114))</f>
        <v>0</v>
      </c>
      <c r="AD114" s="2" t="b">
        <f t="shared" ref="AD114" si="2055">J114</f>
        <v>0</v>
      </c>
      <c r="AE114" s="2" t="b">
        <f t="shared" ref="AE114" si="2056">AND(NOT(K114), NOT(J114))</f>
        <v>0</v>
      </c>
      <c r="AF114" s="2" t="b">
        <f t="shared" ref="AF114" si="2057">J114</f>
        <v>0</v>
      </c>
      <c r="AI114" s="2" t="b">
        <f t="shared" ref="AI114" si="2058">AND(NOT(J114), NOT(K114))</f>
        <v>0</v>
      </c>
      <c r="AJ114" s="2" t="b">
        <f t="shared" ref="AJ114" si="2059">OR(I114, J114)</f>
        <v>0</v>
      </c>
      <c r="AK114" s="2" t="b">
        <f t="shared" ref="AK114" si="2060">OR(I114, J114)</f>
        <v>0</v>
      </c>
      <c r="AN114" s="2" t="b">
        <f t="shared" ref="AN114" si="2061">OR(I114, J114)</f>
        <v>0</v>
      </c>
      <c r="AO114" s="2" t="b">
        <f t="shared" ref="AO114" si="2062">J114</f>
        <v>0</v>
      </c>
      <c r="AR114" s="2" t="b">
        <f t="shared" si="2037"/>
        <v>0</v>
      </c>
      <c r="AS114" s="2" t="b">
        <f t="shared" ref="AS114" si="2063">OR(I114, J114)</f>
        <v>0</v>
      </c>
      <c r="AT114" s="2" t="b">
        <f t="shared" ref="AT114" si="2064">OR(I114, J114)</f>
        <v>0</v>
      </c>
      <c r="AW114" s="2" t="b">
        <f t="shared" ref="AW114" si="2065">J114</f>
        <v>0</v>
      </c>
      <c r="AX114" s="2" t="b">
        <f t="shared" ref="AX114" si="2066">J114</f>
        <v>0</v>
      </c>
      <c r="AY114" s="2" t="b">
        <f t="shared" ref="AY114" si="2067">J114</f>
        <v>0</v>
      </c>
    </row>
    <row r="115" spans="2:51" ht="18" customHeight="1" x14ac:dyDescent="0.3">
      <c r="B115" s="416"/>
      <c r="C115" s="332"/>
      <c r="D115" s="332"/>
      <c r="E115" s="2" t="s">
        <v>235</v>
      </c>
      <c r="F115" s="2" t="str">
        <f>IF('Full Season Entries'!M33 &lt;&gt; "", LEFT('Full Season Entries'!M33, 1), "")</f>
        <v/>
      </c>
      <c r="G115" s="2" t="b">
        <f t="shared" si="2043"/>
        <v>0</v>
      </c>
      <c r="H115" s="2" t="b">
        <f t="shared" si="2044"/>
        <v>0</v>
      </c>
      <c r="I115" s="2" t="b">
        <f t="shared" si="2045"/>
        <v>0</v>
      </c>
      <c r="J115" s="2" t="b">
        <f t="shared" si="2046"/>
        <v>0</v>
      </c>
      <c r="K115" s="27" t="b">
        <f t="shared" si="2047"/>
        <v>1</v>
      </c>
      <c r="L115" s="416"/>
      <c r="O115" s="1" t="s">
        <v>387</v>
      </c>
      <c r="P115" s="1" t="b">
        <f t="shared" ref="P115" si="2068">OR(IF(D113 = 2, TRUE, FALSE), IF(D113 = 4, TRUE, FALSE))</f>
        <v>0</v>
      </c>
      <c r="Q115" s="1">
        <f t="shared" si="1268"/>
        <v>0</v>
      </c>
      <c r="T115" s="2" t="b">
        <f t="shared" ref="T115" si="2069">IF(D113 = 0, FALSE, IF(C113 = 1, CHOOSE(D113, W115, X115, Y115, Z115), IF(C113 = 2, CHOOSE(D113, AC115, AD115, AE115, AF115), IF(C113 = 2.1, K115, IF(C113 = 3, CHOOSE(D113, AI115, AJ115, AK115), IF(C113 = 4, CHOOSE(D113, AN115, AO115), IF(C113 = 5, CHOOSE(D113, AR115, AS115, AT115), IF(C113 = 7, CHOOSE(D113, AW115, AX115, AY115), FALSE))))))))</f>
        <v>0</v>
      </c>
      <c r="W115" s="2" t="b">
        <f t="shared" si="2050"/>
        <v>0</v>
      </c>
      <c r="X115" s="2" t="b">
        <f t="shared" ref="X115" si="2070">OR(I115, J115)</f>
        <v>0</v>
      </c>
      <c r="Y115" s="2" t="b">
        <f t="shared" si="2052"/>
        <v>0</v>
      </c>
      <c r="Z115" s="2" t="b">
        <f t="shared" ref="Z115" si="2071">J115</f>
        <v>0</v>
      </c>
      <c r="AC115" s="2" t="b">
        <f t="shared" ref="AC115" si="2072">NOT(K115)</f>
        <v>0</v>
      </c>
      <c r="AD115" s="2" t="b">
        <f t="shared" ref="AD115" si="2073">OR(I115, J115)</f>
        <v>0</v>
      </c>
      <c r="AE115" s="2" t="b">
        <f t="shared" ref="AE115" si="2074">NOT(K115)</f>
        <v>0</v>
      </c>
      <c r="AF115" s="2" t="b">
        <f t="shared" ref="AF115" si="2075">OR(I115, J115)</f>
        <v>0</v>
      </c>
      <c r="AI115" s="2" t="b">
        <f t="shared" ref="AI115" si="2076">AND(OR(I115, J115), NOT(K115))</f>
        <v>0</v>
      </c>
      <c r="AJ115" s="2" t="b">
        <f t="shared" ref="AJ115" si="2077">J115</f>
        <v>0</v>
      </c>
      <c r="AK115" s="2" t="b">
        <f t="shared" ref="AK115" si="2078">J115</f>
        <v>0</v>
      </c>
      <c r="AN115" s="2" t="b">
        <f t="shared" ref="AN115:AN116" si="2079">K115</f>
        <v>1</v>
      </c>
      <c r="AO115" s="2" t="b">
        <f t="shared" ref="AO115:AO116" si="2080">K115</f>
        <v>1</v>
      </c>
      <c r="AR115" s="2" t="b">
        <f t="shared" si="2037"/>
        <v>0</v>
      </c>
      <c r="AS115" s="2" t="b">
        <f t="shared" ref="AS115" si="2081">J115</f>
        <v>0</v>
      </c>
      <c r="AT115" s="2" t="b">
        <f t="shared" ref="AT115" si="2082">J115</f>
        <v>0</v>
      </c>
      <c r="AW115" s="2" t="b">
        <f t="shared" ref="AW115:AW116" si="2083">K115</f>
        <v>1</v>
      </c>
      <c r="AX115" s="2" t="b">
        <f t="shared" ref="AX115:AX116" si="2084">K115</f>
        <v>1</v>
      </c>
      <c r="AY115" s="2" t="b">
        <f t="shared" ref="AY115:AY116" si="2085">K115</f>
        <v>1</v>
      </c>
    </row>
    <row r="116" spans="2:51" ht="18" customHeight="1" x14ac:dyDescent="0.3">
      <c r="B116" s="412"/>
      <c r="C116" s="332"/>
      <c r="D116" s="332"/>
      <c r="E116" s="2" t="s">
        <v>236</v>
      </c>
      <c r="F116" s="2" t="str">
        <f>IF('Full Season Entries'!N33 &lt;&gt; "", LEFT('Full Season Entries'!N33, 1), "")</f>
        <v/>
      </c>
      <c r="G116" s="2" t="b">
        <f t="shared" si="2043"/>
        <v>0</v>
      </c>
      <c r="H116" s="2" t="b">
        <f t="shared" si="2044"/>
        <v>0</v>
      </c>
      <c r="I116" s="2" t="b">
        <f t="shared" si="2045"/>
        <v>0</v>
      </c>
      <c r="J116" s="2" t="b">
        <f t="shared" si="2046"/>
        <v>0</v>
      </c>
      <c r="K116" s="27" t="b">
        <f t="shared" si="2047"/>
        <v>1</v>
      </c>
      <c r="L116" s="412"/>
      <c r="O116" s="1" t="s">
        <v>388</v>
      </c>
      <c r="P116" s="1" t="b">
        <f t="shared" ref="P116" si="2086">IF(SUM(Q113:Q116) &gt; 1, TRUE, FALSE)</f>
        <v>0</v>
      </c>
      <c r="Q116" s="1">
        <f t="shared" si="1268"/>
        <v>0</v>
      </c>
      <c r="T116" s="2" t="b">
        <f t="shared" ref="T116" si="2087">IF(D113 = 0, FALSE, IF(C113 = 1, CHOOSE(D113, W116, X116, Y116, Z116), IF(C113 = 2, CHOOSE(D113, AC116, AD116, AE116, AF116), IF(C113 = 2.1, K116, IF(C113 = 3, CHOOSE(D113, AI116, AJ116, AK116), IF(C113 = 4, CHOOSE(D113, AN116, AO116), IF(C113 = 5, CHOOSE(D113, AR116, AS116, AT116), IF(C113 = 7, CHOOSE(D113, AW116, AX116, AY116), FALSE))))))))</f>
        <v>0</v>
      </c>
      <c r="W116" s="2" t="b">
        <f t="shared" ref="W116" si="2088">K116</f>
        <v>1</v>
      </c>
      <c r="X116" s="2" t="b">
        <f t="shared" ref="X116" si="2089">K116</f>
        <v>1</v>
      </c>
      <c r="Y116" s="2" t="b">
        <f t="shared" ref="Y116" si="2090">K116</f>
        <v>1</v>
      </c>
      <c r="Z116" s="2" t="b">
        <f t="shared" ref="Z116" si="2091">K116</f>
        <v>1</v>
      </c>
      <c r="AC116" s="2" t="b">
        <v>1</v>
      </c>
      <c r="AD116" s="2" t="b">
        <f t="shared" ref="AD116" si="2092">NOT(K116)</f>
        <v>0</v>
      </c>
      <c r="AE116" s="2" t="b">
        <v>1</v>
      </c>
      <c r="AF116" s="2" t="b">
        <f t="shared" ref="AF116" si="2093">NOT(K116)</f>
        <v>0</v>
      </c>
      <c r="AI116" s="2" t="b">
        <f t="shared" ref="AI116" si="2094">K116</f>
        <v>1</v>
      </c>
      <c r="AJ116" s="2" t="b">
        <f t="shared" ref="AJ116" si="2095">K116</f>
        <v>1</v>
      </c>
      <c r="AK116" s="2" t="b">
        <f t="shared" ref="AK116" si="2096">K116</f>
        <v>1</v>
      </c>
      <c r="AN116" s="2" t="b">
        <f t="shared" si="2079"/>
        <v>1</v>
      </c>
      <c r="AO116" s="2" t="b">
        <f t="shared" si="2080"/>
        <v>1</v>
      </c>
      <c r="AR116" s="2" t="b">
        <f t="shared" ref="AR116" si="2097">K116</f>
        <v>1</v>
      </c>
      <c r="AS116" s="2" t="b">
        <f t="shared" ref="AS116" si="2098">K116</f>
        <v>1</v>
      </c>
      <c r="AT116" s="2" t="b">
        <f t="shared" ref="AT116" si="2099">K116</f>
        <v>1</v>
      </c>
      <c r="AW116" s="2" t="b">
        <f t="shared" si="2083"/>
        <v>1</v>
      </c>
      <c r="AX116" s="2" t="b">
        <f t="shared" si="2084"/>
        <v>1</v>
      </c>
      <c r="AY116" s="2" t="b">
        <f t="shared" si="2085"/>
        <v>1</v>
      </c>
    </row>
    <row r="117" spans="2:51" ht="18" customHeight="1" x14ac:dyDescent="0.3">
      <c r="B117" s="415">
        <v>29</v>
      </c>
      <c r="C117" s="332">
        <f>IF('Full Season Entries'!AF34 = 2.2, 2, 'Full Season Entries'!AF34)</f>
        <v>0</v>
      </c>
      <c r="D117" s="332">
        <f>'Full Season Entries'!AG34</f>
        <v>0</v>
      </c>
      <c r="E117" s="2" t="s">
        <v>233</v>
      </c>
      <c r="F117" s="2" t="str">
        <f>IF('Full Season Entries'!K34 &lt;&gt; "", LEFT('Full Season Entries'!K34, 1), "")</f>
        <v/>
      </c>
      <c r="G117" s="2" t="b">
        <f>IF(F117 = "P", TRUE, FALSE)</f>
        <v>0</v>
      </c>
      <c r="H117" s="2" t="b">
        <f>IF(F117 = "G", TRUE, FALSE)</f>
        <v>0</v>
      </c>
      <c r="I117" s="2" t="b">
        <f>IF(F117 = "S", TRUE, FALSE)</f>
        <v>0</v>
      </c>
      <c r="J117" s="2" t="b">
        <f>IF(F117 = "B", TRUE, FALSE)</f>
        <v>0</v>
      </c>
      <c r="K117" s="27" t="b">
        <f>IF(AND(IF(G117 = FALSE, TRUE, FALSE), IF(H117 = FALSE, TRUE, FALSE), IF(I117 = FALSE, TRUE, FALSE), IF(J117 = FALSE, TRUE, FALSE)) = TRUE, TRUE, FALSE)</f>
        <v>1</v>
      </c>
      <c r="L117" s="415" t="str">
        <f>IF(P117, "", IF(AND(P118, P119), AND(T117, T118, T119, T120), AND(NOT(P120), T117, T118, T119, T120)))</f>
        <v/>
      </c>
      <c r="O117" s="1" t="s">
        <v>232</v>
      </c>
      <c r="P117" s="1" t="b">
        <f t="shared" ref="P117" si="2100">AND(K117, K118, K119, K120)</f>
        <v>1</v>
      </c>
      <c r="Q117" s="1">
        <f t="shared" si="1268"/>
        <v>0</v>
      </c>
      <c r="T117" s="2" t="b">
        <f t="shared" ref="T117" si="2101">IF(D117 = 0, FALSE, IF(C117 = 1, CHOOSE(D117, W117, X117, Y117, Z117), IF(C117 = 2, CHOOSE(D117, AC117, AD117, AE117, AF117), IF(C117 = 2.1, CHOOSE(D117, AC117, AD117, AE117, AF117), IF(C117 = 3, CHOOSE(D117, AI117, AJ117, AK117), IF(C117 = 4, CHOOSE(D117, AN117, AO117), IF(C117 = 5, CHOOSE(D117, AR117, AS117, AT117), IF(C117 = 7, CHOOSE(D117, AW117, AX117, AY117), FALSE))))))))</f>
        <v>0</v>
      </c>
      <c r="W117" s="2" t="b">
        <f t="shared" ref="W117" si="2102">AND(NOT(I117), NOT(K117), NOT(J117))</f>
        <v>0</v>
      </c>
      <c r="X117" s="2" t="b">
        <f t="shared" ref="X117" si="2103">AND(NOT(I117), NOT(K117), NOT(J117))</f>
        <v>0</v>
      </c>
      <c r="Y117" s="2" t="b">
        <f t="shared" ref="Y117" si="2104">AND(NOT(I117), NOT(K117), NOT(J117))</f>
        <v>0</v>
      </c>
      <c r="Z117" s="2" t="b">
        <f t="shared" ref="Z117" si="2105">AND(NOT(I117), NOT(K117), NOT(J117))</f>
        <v>0</v>
      </c>
      <c r="AC117" s="2" t="b">
        <f t="shared" ref="AC117" si="2106">AND(NOT(I117), NOT(K117), NOT(J117))</f>
        <v>0</v>
      </c>
      <c r="AD117" s="2" t="b">
        <f t="shared" ref="AD117" si="2107">AND(NOT(G117), NOT(K117), NOT(J117))</f>
        <v>0</v>
      </c>
      <c r="AE117" s="2" t="b">
        <f t="shared" ref="AE117" si="2108">AND(NOT(I117), NOT(K117), NOT(J117))</f>
        <v>0</v>
      </c>
      <c r="AF117" s="2" t="b">
        <f t="shared" ref="AF117" si="2109">AND(NOT(I117), NOT(K117), NOT(J117))</f>
        <v>0</v>
      </c>
      <c r="AI117" s="2" t="b">
        <f t="shared" ref="AI117" si="2110">AND(NOT(I117), NOT(K117), NOT(J117))</f>
        <v>0</v>
      </c>
      <c r="AJ117" s="2" t="b">
        <f t="shared" ref="AJ117" si="2111">AND(NOT(J117), NOT(K117))</f>
        <v>0</v>
      </c>
      <c r="AK117" s="2" t="b">
        <f t="shared" ref="AK117" si="2112">AND(NOT(I117), NOT(K117), NOT(J117))</f>
        <v>0</v>
      </c>
      <c r="AN117" s="2" t="b">
        <f t="shared" ref="AN117" si="2113">AND(NOT(I117), NOT(K117), NOT(J117))</f>
        <v>0</v>
      </c>
      <c r="AO117" s="2" t="b">
        <f t="shared" ref="AO117" si="2114">AND(NOT(G117), NOT(J117), NOT(K117))</f>
        <v>0</v>
      </c>
      <c r="AR117" s="2" t="b">
        <f t="shared" ref="AR117:AR119" si="2115">AND(NOT(J117), NOT(K117))</f>
        <v>0</v>
      </c>
      <c r="AS117" s="2" t="b">
        <f t="shared" ref="AS117" si="2116">AND(NOT(I117), NOT(K117), NOT(J117))</f>
        <v>0</v>
      </c>
      <c r="AT117" s="2" t="b">
        <f t="shared" ref="AT117" si="2117">AND(NOT(G117), NOT(J117), NOT(K117))</f>
        <v>0</v>
      </c>
      <c r="AW117" s="2" t="b">
        <f t="shared" ref="AW117" si="2118">AND(NOT(G117), NOT(J117), NOT(K117))</f>
        <v>0</v>
      </c>
      <c r="AX117" s="2" t="b">
        <f t="shared" ref="AX117" si="2119">AND(NOT(J117), NOT(K117))</f>
        <v>0</v>
      </c>
      <c r="AY117" s="2" t="b">
        <f t="shared" ref="AY117" si="2120">AND(NOT(G117), NOT(J117), NOT(K117))</f>
        <v>0</v>
      </c>
    </row>
    <row r="118" spans="2:51" ht="18" customHeight="1" x14ac:dyDescent="0.3">
      <c r="B118" s="416"/>
      <c r="C118" s="332"/>
      <c r="D118" s="332"/>
      <c r="E118" s="2" t="s">
        <v>234</v>
      </c>
      <c r="F118" s="2" t="str">
        <f>IF('Full Season Entries'!L34 &lt;&gt; "", LEFT('Full Season Entries'!L34, 1), "")</f>
        <v/>
      </c>
      <c r="G118" s="2" t="b">
        <f t="shared" ref="G118:G120" si="2121">IF(F118 = "P", TRUE, FALSE)</f>
        <v>0</v>
      </c>
      <c r="H118" s="2" t="b">
        <f t="shared" ref="H118:H120" si="2122">IF(F118 = "G", TRUE, FALSE)</f>
        <v>0</v>
      </c>
      <c r="I118" s="2" t="b">
        <f t="shared" ref="I118:I120" si="2123">IF(F118 = "S", TRUE, FALSE)</f>
        <v>0</v>
      </c>
      <c r="J118" s="2" t="b">
        <f t="shared" ref="J118:J120" si="2124">IF(F118 = "B", TRUE, FALSE)</f>
        <v>0</v>
      </c>
      <c r="K118" s="27" t="b">
        <f t="shared" ref="K118:K120" si="2125">IF(AND(IF(G118 = FALSE, TRUE, FALSE), IF(H118 = FALSE, TRUE, FALSE), IF(I118 = FALSE, TRUE, FALSE), IF(J118 = FALSE, TRUE, FALSE)) = TRUE, TRUE, FALSE)</f>
        <v>1</v>
      </c>
      <c r="L118" s="416"/>
      <c r="O118" s="1" t="s">
        <v>386</v>
      </c>
      <c r="P118" s="1" t="b">
        <f t="shared" ref="P118" si="2126">OR(IF(C117 = 2, TRUE, FALSE), IF(C117 = 2.2, TRUE, FALSE))</f>
        <v>0</v>
      </c>
      <c r="Q118" s="1">
        <f t="shared" si="1268"/>
        <v>0</v>
      </c>
      <c r="T118" s="2" t="b">
        <f t="shared" ref="T118" si="2127">IF(D117 = 0, FALSE, IF(C117 = 1, CHOOSE(D117, W118, X118, Y118, Z118), IF(C117 = 2, CHOOSE(D117, AC118, AD118, AE118, AF118), IF(C117 = 2.1, CHOOSE(D117, AC118, AD118, AE118, AF118), IF(C117 = 3, CHOOSE(D117, AI118, AJ118, AK118), IF(C117 = 4, CHOOSE(D117, AN118, AO118), IF(C117 = 5, CHOOSE(D117, AR118, AS118, AT118), IF(C117 = 7, CHOOSE(D117, AW118, AX118, AY118), FALSE))))))))</f>
        <v>0</v>
      </c>
      <c r="W118" s="2" t="b">
        <f t="shared" ref="W118:W119" si="2128">AND(NOT(K118), NOT(J118))</f>
        <v>0</v>
      </c>
      <c r="X118" s="2" t="b">
        <f t="shared" ref="X118" si="2129">NOT(K117)</f>
        <v>0</v>
      </c>
      <c r="Y118" s="2" t="b">
        <f t="shared" ref="Y118:Y119" si="2130">AND(NOT(K118), NOT(J118))</f>
        <v>0</v>
      </c>
      <c r="Z118" s="2" t="b">
        <f t="shared" ref="Z118" si="2131">OR(I118, J118)</f>
        <v>0</v>
      </c>
      <c r="AC118" s="2" t="b">
        <f t="shared" ref="AC118" si="2132">AND(NOT(K118), NOT(J118))</f>
        <v>0</v>
      </c>
      <c r="AD118" s="2" t="b">
        <f t="shared" ref="AD118" si="2133">J118</f>
        <v>0</v>
      </c>
      <c r="AE118" s="2" t="b">
        <f t="shared" ref="AE118" si="2134">AND(NOT(K118), NOT(J118))</f>
        <v>0</v>
      </c>
      <c r="AF118" s="2" t="b">
        <f t="shared" ref="AF118" si="2135">J118</f>
        <v>0</v>
      </c>
      <c r="AI118" s="2" t="b">
        <f t="shared" ref="AI118" si="2136">AND(NOT(J118), NOT(K118))</f>
        <v>0</v>
      </c>
      <c r="AJ118" s="2" t="b">
        <f t="shared" ref="AJ118" si="2137">OR(I118, J118)</f>
        <v>0</v>
      </c>
      <c r="AK118" s="2" t="b">
        <f t="shared" ref="AK118" si="2138">OR(I118, J118)</f>
        <v>0</v>
      </c>
      <c r="AN118" s="2" t="b">
        <f t="shared" ref="AN118" si="2139">OR(I118, J118)</f>
        <v>0</v>
      </c>
      <c r="AO118" s="2" t="b">
        <f t="shared" ref="AO118" si="2140">J118</f>
        <v>0</v>
      </c>
      <c r="AR118" s="2" t="b">
        <f t="shared" si="2115"/>
        <v>0</v>
      </c>
      <c r="AS118" s="2" t="b">
        <f t="shared" ref="AS118" si="2141">OR(I118, J118)</f>
        <v>0</v>
      </c>
      <c r="AT118" s="2" t="b">
        <f t="shared" ref="AT118" si="2142">OR(I118, J118)</f>
        <v>0</v>
      </c>
      <c r="AW118" s="2" t="b">
        <f t="shared" ref="AW118" si="2143">J118</f>
        <v>0</v>
      </c>
      <c r="AX118" s="2" t="b">
        <f t="shared" ref="AX118" si="2144">J118</f>
        <v>0</v>
      </c>
      <c r="AY118" s="2" t="b">
        <f t="shared" ref="AY118" si="2145">J118</f>
        <v>0</v>
      </c>
    </row>
    <row r="119" spans="2:51" ht="18" customHeight="1" x14ac:dyDescent="0.3">
      <c r="B119" s="416"/>
      <c r="C119" s="332"/>
      <c r="D119" s="332"/>
      <c r="E119" s="2" t="s">
        <v>235</v>
      </c>
      <c r="F119" s="2" t="str">
        <f>IF('Full Season Entries'!M34 &lt;&gt; "", LEFT('Full Season Entries'!M34, 1), "")</f>
        <v/>
      </c>
      <c r="G119" s="2" t="b">
        <f t="shared" si="2121"/>
        <v>0</v>
      </c>
      <c r="H119" s="2" t="b">
        <f t="shared" si="2122"/>
        <v>0</v>
      </c>
      <c r="I119" s="2" t="b">
        <f t="shared" si="2123"/>
        <v>0</v>
      </c>
      <c r="J119" s="2" t="b">
        <f t="shared" si="2124"/>
        <v>0</v>
      </c>
      <c r="K119" s="27" t="b">
        <f t="shared" si="2125"/>
        <v>1</v>
      </c>
      <c r="L119" s="416"/>
      <c r="O119" s="1" t="s">
        <v>387</v>
      </c>
      <c r="P119" s="1" t="b">
        <f t="shared" ref="P119" si="2146">OR(IF(D117 = 2, TRUE, FALSE), IF(D117 = 4, TRUE, FALSE))</f>
        <v>0</v>
      </c>
      <c r="Q119" s="1">
        <f t="shared" si="1268"/>
        <v>0</v>
      </c>
      <c r="T119" s="2" t="b">
        <f t="shared" ref="T119" si="2147">IF(D117 = 0, FALSE, IF(C117 = 1, CHOOSE(D117, W119, X119, Y119, Z119), IF(C117 = 2, CHOOSE(D117, AC119, AD119, AE119, AF119), IF(C117 = 2.1, K119, IF(C117 = 3, CHOOSE(D117, AI119, AJ119, AK119), IF(C117 = 4, CHOOSE(D117, AN119, AO119), IF(C117 = 5, CHOOSE(D117, AR119, AS119, AT119), IF(C117 = 7, CHOOSE(D117, AW119, AX119, AY119), FALSE))))))))</f>
        <v>0</v>
      </c>
      <c r="W119" s="2" t="b">
        <f t="shared" si="2128"/>
        <v>0</v>
      </c>
      <c r="X119" s="2" t="b">
        <f t="shared" ref="X119" si="2148">OR(I119, J119)</f>
        <v>0</v>
      </c>
      <c r="Y119" s="2" t="b">
        <f t="shared" si="2130"/>
        <v>0</v>
      </c>
      <c r="Z119" s="2" t="b">
        <f t="shared" ref="Z119" si="2149">J119</f>
        <v>0</v>
      </c>
      <c r="AC119" s="2" t="b">
        <f t="shared" ref="AC119" si="2150">NOT(K119)</f>
        <v>0</v>
      </c>
      <c r="AD119" s="2" t="b">
        <f t="shared" ref="AD119" si="2151">OR(I119, J119)</f>
        <v>0</v>
      </c>
      <c r="AE119" s="2" t="b">
        <f t="shared" ref="AE119" si="2152">NOT(K119)</f>
        <v>0</v>
      </c>
      <c r="AF119" s="2" t="b">
        <f t="shared" ref="AF119" si="2153">OR(I119, J119)</f>
        <v>0</v>
      </c>
      <c r="AI119" s="2" t="b">
        <f t="shared" ref="AI119" si="2154">AND(OR(I119, J119), NOT(K119))</f>
        <v>0</v>
      </c>
      <c r="AJ119" s="2" t="b">
        <f t="shared" ref="AJ119" si="2155">J119</f>
        <v>0</v>
      </c>
      <c r="AK119" s="2" t="b">
        <f t="shared" ref="AK119" si="2156">J119</f>
        <v>0</v>
      </c>
      <c r="AN119" s="2" t="b">
        <f t="shared" ref="AN119:AN120" si="2157">K119</f>
        <v>1</v>
      </c>
      <c r="AO119" s="2" t="b">
        <f t="shared" ref="AO119:AO120" si="2158">K119</f>
        <v>1</v>
      </c>
      <c r="AR119" s="2" t="b">
        <f t="shared" si="2115"/>
        <v>0</v>
      </c>
      <c r="AS119" s="2" t="b">
        <f t="shared" ref="AS119" si="2159">J119</f>
        <v>0</v>
      </c>
      <c r="AT119" s="2" t="b">
        <f t="shared" ref="AT119" si="2160">J119</f>
        <v>0</v>
      </c>
      <c r="AW119" s="2" t="b">
        <f t="shared" ref="AW119:AW120" si="2161">K119</f>
        <v>1</v>
      </c>
      <c r="AX119" s="2" t="b">
        <f t="shared" ref="AX119:AX120" si="2162">K119</f>
        <v>1</v>
      </c>
      <c r="AY119" s="2" t="b">
        <f t="shared" ref="AY119:AY120" si="2163">K119</f>
        <v>1</v>
      </c>
    </row>
    <row r="120" spans="2:51" ht="18" customHeight="1" x14ac:dyDescent="0.3">
      <c r="B120" s="412"/>
      <c r="C120" s="332"/>
      <c r="D120" s="332"/>
      <c r="E120" s="2" t="s">
        <v>236</v>
      </c>
      <c r="F120" s="2" t="str">
        <f>IF('Full Season Entries'!N34 &lt;&gt; "", LEFT('Full Season Entries'!N34, 1), "")</f>
        <v/>
      </c>
      <c r="G120" s="2" t="b">
        <f t="shared" si="2121"/>
        <v>0</v>
      </c>
      <c r="H120" s="2" t="b">
        <f t="shared" si="2122"/>
        <v>0</v>
      </c>
      <c r="I120" s="2" t="b">
        <f t="shared" si="2123"/>
        <v>0</v>
      </c>
      <c r="J120" s="2" t="b">
        <f t="shared" si="2124"/>
        <v>0</v>
      </c>
      <c r="K120" s="27" t="b">
        <f t="shared" si="2125"/>
        <v>1</v>
      </c>
      <c r="L120" s="412"/>
      <c r="O120" s="1" t="s">
        <v>388</v>
      </c>
      <c r="P120" s="1" t="b">
        <f t="shared" ref="P120" si="2164">IF(SUM(Q117:Q120) &gt; 1, TRUE, FALSE)</f>
        <v>0</v>
      </c>
      <c r="Q120" s="1">
        <f t="shared" si="1268"/>
        <v>0</v>
      </c>
      <c r="T120" s="2" t="b">
        <f t="shared" ref="T120" si="2165">IF(D117 = 0, FALSE, IF(C117 = 1, CHOOSE(D117, W120, X120, Y120, Z120), IF(C117 = 2, CHOOSE(D117, AC120, AD120, AE120, AF120), IF(C117 = 2.1, K120, IF(C117 = 3, CHOOSE(D117, AI120, AJ120, AK120), IF(C117 = 4, CHOOSE(D117, AN120, AO120), IF(C117 = 5, CHOOSE(D117, AR120, AS120, AT120), IF(C117 = 7, CHOOSE(D117, AW120, AX120, AY120), FALSE))))))))</f>
        <v>0</v>
      </c>
      <c r="W120" s="2" t="b">
        <f t="shared" ref="W120" si="2166">K120</f>
        <v>1</v>
      </c>
      <c r="X120" s="2" t="b">
        <f t="shared" ref="X120" si="2167">K120</f>
        <v>1</v>
      </c>
      <c r="Y120" s="2" t="b">
        <f t="shared" ref="Y120" si="2168">K120</f>
        <v>1</v>
      </c>
      <c r="Z120" s="2" t="b">
        <f t="shared" ref="Z120" si="2169">K120</f>
        <v>1</v>
      </c>
      <c r="AC120" s="2" t="b">
        <v>1</v>
      </c>
      <c r="AD120" s="2" t="b">
        <f t="shared" ref="AD120" si="2170">NOT(K120)</f>
        <v>0</v>
      </c>
      <c r="AE120" s="2" t="b">
        <v>1</v>
      </c>
      <c r="AF120" s="2" t="b">
        <f t="shared" ref="AF120" si="2171">NOT(K120)</f>
        <v>0</v>
      </c>
      <c r="AI120" s="2" t="b">
        <f t="shared" ref="AI120" si="2172">K120</f>
        <v>1</v>
      </c>
      <c r="AJ120" s="2" t="b">
        <f t="shared" ref="AJ120" si="2173">K120</f>
        <v>1</v>
      </c>
      <c r="AK120" s="2" t="b">
        <f t="shared" ref="AK120" si="2174">K120</f>
        <v>1</v>
      </c>
      <c r="AN120" s="2" t="b">
        <f t="shared" si="2157"/>
        <v>1</v>
      </c>
      <c r="AO120" s="2" t="b">
        <f t="shared" si="2158"/>
        <v>1</v>
      </c>
      <c r="AR120" s="2" t="b">
        <f t="shared" ref="AR120" si="2175">K120</f>
        <v>1</v>
      </c>
      <c r="AS120" s="2" t="b">
        <f t="shared" ref="AS120" si="2176">K120</f>
        <v>1</v>
      </c>
      <c r="AT120" s="2" t="b">
        <f t="shared" ref="AT120" si="2177">K120</f>
        <v>1</v>
      </c>
      <c r="AW120" s="2" t="b">
        <f t="shared" si="2161"/>
        <v>1</v>
      </c>
      <c r="AX120" s="2" t="b">
        <f t="shared" si="2162"/>
        <v>1</v>
      </c>
      <c r="AY120" s="2" t="b">
        <f t="shared" si="2163"/>
        <v>1</v>
      </c>
    </row>
    <row r="121" spans="2:51" ht="18" customHeight="1" x14ac:dyDescent="0.3">
      <c r="B121" s="415">
        <v>30</v>
      </c>
      <c r="C121" s="332">
        <f>IF('Full Season Entries'!AF35 = 2.2, 2, 'Full Season Entries'!AF35)</f>
        <v>0</v>
      </c>
      <c r="D121" s="332">
        <f>'Full Season Entries'!AG35</f>
        <v>0</v>
      </c>
      <c r="E121" s="2" t="s">
        <v>233</v>
      </c>
      <c r="F121" s="2" t="str">
        <f>IF('Full Season Entries'!K35 &lt;&gt; "", LEFT('Full Season Entries'!K35, 1), "")</f>
        <v/>
      </c>
      <c r="G121" s="2" t="b">
        <f>IF(F121 = "P", TRUE, FALSE)</f>
        <v>0</v>
      </c>
      <c r="H121" s="2" t="b">
        <f>IF(F121 = "G", TRUE, FALSE)</f>
        <v>0</v>
      </c>
      <c r="I121" s="2" t="b">
        <f>IF(F121 = "S", TRUE, FALSE)</f>
        <v>0</v>
      </c>
      <c r="J121" s="2" t="b">
        <f>IF(F121 = "B", TRUE, FALSE)</f>
        <v>0</v>
      </c>
      <c r="K121" s="27" t="b">
        <f>IF(AND(IF(G121 = FALSE, TRUE, FALSE), IF(H121 = FALSE, TRUE, FALSE), IF(I121 = FALSE, TRUE, FALSE), IF(J121 = FALSE, TRUE, FALSE)) = TRUE, TRUE, FALSE)</f>
        <v>1</v>
      </c>
      <c r="L121" s="415" t="str">
        <f>IF(P121, "", IF(AND(P122, P123), AND(T121, T122, T123, T124), AND(NOT(P124), T121, T122, T123, T124)))</f>
        <v/>
      </c>
      <c r="O121" s="1" t="s">
        <v>232</v>
      </c>
      <c r="P121" s="1" t="b">
        <f t="shared" ref="P121" si="2178">AND(K121, K122, K123, K124)</f>
        <v>1</v>
      </c>
      <c r="Q121" s="1">
        <f t="shared" si="1268"/>
        <v>0</v>
      </c>
      <c r="T121" s="2" t="b">
        <f t="shared" ref="T121" si="2179">IF(D121 = 0, FALSE, IF(C121 = 1, CHOOSE(D121, W121, X121, Y121, Z121), IF(C121 = 2, CHOOSE(D121, AC121, AD121, AE121, AF121), IF(C121 = 2.1, CHOOSE(D121, AC121, AD121, AE121, AF121), IF(C121 = 3, CHOOSE(D121, AI121, AJ121, AK121), IF(C121 = 4, CHOOSE(D121, AN121, AO121), IF(C121 = 5, CHOOSE(D121, AR121, AS121, AT121), IF(C121 = 7, CHOOSE(D121, AW121, AX121, AY121), FALSE))))))))</f>
        <v>0</v>
      </c>
      <c r="W121" s="2" t="b">
        <f t="shared" ref="W121" si="2180">AND(NOT(I121), NOT(K121), NOT(J121))</f>
        <v>0</v>
      </c>
      <c r="X121" s="2" t="b">
        <f t="shared" ref="X121" si="2181">AND(NOT(I121), NOT(K121), NOT(J121))</f>
        <v>0</v>
      </c>
      <c r="Y121" s="2" t="b">
        <f t="shared" ref="Y121" si="2182">AND(NOT(I121), NOT(K121), NOT(J121))</f>
        <v>0</v>
      </c>
      <c r="Z121" s="2" t="b">
        <f t="shared" ref="Z121" si="2183">AND(NOT(I121), NOT(K121), NOT(J121))</f>
        <v>0</v>
      </c>
      <c r="AC121" s="2" t="b">
        <f t="shared" ref="AC121" si="2184">AND(NOT(I121), NOT(K121), NOT(J121))</f>
        <v>0</v>
      </c>
      <c r="AD121" s="2" t="b">
        <f t="shared" ref="AD121" si="2185">AND(NOT(G121), NOT(K121), NOT(J121))</f>
        <v>0</v>
      </c>
      <c r="AE121" s="2" t="b">
        <f t="shared" ref="AE121" si="2186">AND(NOT(I121), NOT(K121), NOT(J121))</f>
        <v>0</v>
      </c>
      <c r="AF121" s="2" t="b">
        <f t="shared" ref="AF121" si="2187">AND(NOT(I121), NOT(K121), NOT(J121))</f>
        <v>0</v>
      </c>
      <c r="AI121" s="2" t="b">
        <f t="shared" ref="AI121" si="2188">AND(NOT(I121), NOT(K121), NOT(J121))</f>
        <v>0</v>
      </c>
      <c r="AJ121" s="2" t="b">
        <f t="shared" ref="AJ121" si="2189">AND(NOT(J121), NOT(K121))</f>
        <v>0</v>
      </c>
      <c r="AK121" s="2" t="b">
        <f t="shared" ref="AK121" si="2190">AND(NOT(I121), NOT(K121), NOT(J121))</f>
        <v>0</v>
      </c>
      <c r="AN121" s="2" t="b">
        <f t="shared" ref="AN121" si="2191">AND(NOT(I121), NOT(K121), NOT(J121))</f>
        <v>0</v>
      </c>
      <c r="AO121" s="2" t="b">
        <f t="shared" ref="AO121" si="2192">AND(NOT(G121), NOT(J121), NOT(K121))</f>
        <v>0</v>
      </c>
      <c r="AR121" s="2" t="b">
        <f t="shared" ref="AR121:AR123" si="2193">AND(NOT(J121), NOT(K121))</f>
        <v>0</v>
      </c>
      <c r="AS121" s="2" t="b">
        <f t="shared" ref="AS121" si="2194">AND(NOT(I121), NOT(K121), NOT(J121))</f>
        <v>0</v>
      </c>
      <c r="AT121" s="2" t="b">
        <f t="shared" ref="AT121" si="2195">AND(NOT(G121), NOT(J121), NOT(K121))</f>
        <v>0</v>
      </c>
      <c r="AW121" s="2" t="b">
        <f t="shared" ref="AW121" si="2196">AND(NOT(G121), NOT(J121), NOT(K121))</f>
        <v>0</v>
      </c>
      <c r="AX121" s="2" t="b">
        <f t="shared" ref="AX121" si="2197">AND(NOT(J121), NOT(K121))</f>
        <v>0</v>
      </c>
      <c r="AY121" s="2" t="b">
        <f t="shared" ref="AY121" si="2198">AND(NOT(G121), NOT(J121), NOT(K121))</f>
        <v>0</v>
      </c>
    </row>
    <row r="122" spans="2:51" ht="18" customHeight="1" x14ac:dyDescent="0.3">
      <c r="B122" s="416"/>
      <c r="C122" s="332"/>
      <c r="D122" s="332"/>
      <c r="E122" s="2" t="s">
        <v>234</v>
      </c>
      <c r="F122" s="2" t="str">
        <f>IF('Full Season Entries'!L35 &lt;&gt; "", LEFT('Full Season Entries'!L35, 1), "")</f>
        <v/>
      </c>
      <c r="G122" s="2" t="b">
        <f t="shared" ref="G122:G124" si="2199">IF(F122 = "P", TRUE, FALSE)</f>
        <v>0</v>
      </c>
      <c r="H122" s="2" t="b">
        <f t="shared" ref="H122:H124" si="2200">IF(F122 = "G", TRUE, FALSE)</f>
        <v>0</v>
      </c>
      <c r="I122" s="2" t="b">
        <f t="shared" ref="I122:I124" si="2201">IF(F122 = "S", TRUE, FALSE)</f>
        <v>0</v>
      </c>
      <c r="J122" s="2" t="b">
        <f t="shared" ref="J122:J124" si="2202">IF(F122 = "B", TRUE, FALSE)</f>
        <v>0</v>
      </c>
      <c r="K122" s="27" t="b">
        <f t="shared" ref="K122:K124" si="2203">IF(AND(IF(G122 = FALSE, TRUE, FALSE), IF(H122 = FALSE, TRUE, FALSE), IF(I122 = FALSE, TRUE, FALSE), IF(J122 = FALSE, TRUE, FALSE)) = TRUE, TRUE, FALSE)</f>
        <v>1</v>
      </c>
      <c r="L122" s="416"/>
      <c r="O122" s="1" t="s">
        <v>386</v>
      </c>
      <c r="P122" s="1" t="b">
        <f t="shared" ref="P122" si="2204">OR(IF(C121 = 2, TRUE, FALSE), IF(C121 = 2.2, TRUE, FALSE))</f>
        <v>0</v>
      </c>
      <c r="Q122" s="1">
        <f t="shared" si="1268"/>
        <v>0</v>
      </c>
      <c r="T122" s="2" t="b">
        <f t="shared" ref="T122" si="2205">IF(D121 = 0, FALSE, IF(C121 = 1, CHOOSE(D121, W122, X122, Y122, Z122), IF(C121 = 2, CHOOSE(D121, AC122, AD122, AE122, AF122), IF(C121 = 2.1, CHOOSE(D121, AC122, AD122, AE122, AF122), IF(C121 = 3, CHOOSE(D121, AI122, AJ122, AK122), IF(C121 = 4, CHOOSE(D121, AN122, AO122), IF(C121 = 5, CHOOSE(D121, AR122, AS122, AT122), IF(C121 = 7, CHOOSE(D121, AW122, AX122, AY122), FALSE))))))))</f>
        <v>0</v>
      </c>
      <c r="W122" s="2" t="b">
        <f t="shared" ref="W122:W123" si="2206">AND(NOT(K122), NOT(J122))</f>
        <v>0</v>
      </c>
      <c r="X122" s="2" t="b">
        <f t="shared" ref="X122" si="2207">NOT(K121)</f>
        <v>0</v>
      </c>
      <c r="Y122" s="2" t="b">
        <f t="shared" ref="Y122:Y123" si="2208">AND(NOT(K122), NOT(J122))</f>
        <v>0</v>
      </c>
      <c r="Z122" s="2" t="b">
        <f t="shared" ref="Z122" si="2209">OR(I122, J122)</f>
        <v>0</v>
      </c>
      <c r="AC122" s="2" t="b">
        <f t="shared" ref="AC122" si="2210">AND(NOT(K122), NOT(J122))</f>
        <v>0</v>
      </c>
      <c r="AD122" s="2" t="b">
        <f t="shared" ref="AD122" si="2211">J122</f>
        <v>0</v>
      </c>
      <c r="AE122" s="2" t="b">
        <f t="shared" ref="AE122" si="2212">AND(NOT(K122), NOT(J122))</f>
        <v>0</v>
      </c>
      <c r="AF122" s="2" t="b">
        <f t="shared" ref="AF122" si="2213">J122</f>
        <v>0</v>
      </c>
      <c r="AI122" s="2" t="b">
        <f t="shared" ref="AI122" si="2214">AND(NOT(J122), NOT(K122))</f>
        <v>0</v>
      </c>
      <c r="AJ122" s="2" t="b">
        <f t="shared" ref="AJ122" si="2215">OR(I122, J122)</f>
        <v>0</v>
      </c>
      <c r="AK122" s="2" t="b">
        <f t="shared" ref="AK122" si="2216">OR(I122, J122)</f>
        <v>0</v>
      </c>
      <c r="AN122" s="2" t="b">
        <f t="shared" ref="AN122" si="2217">OR(I122, J122)</f>
        <v>0</v>
      </c>
      <c r="AO122" s="2" t="b">
        <f t="shared" ref="AO122" si="2218">J122</f>
        <v>0</v>
      </c>
      <c r="AR122" s="2" t="b">
        <f t="shared" si="2193"/>
        <v>0</v>
      </c>
      <c r="AS122" s="2" t="b">
        <f t="shared" ref="AS122" si="2219">OR(I122, J122)</f>
        <v>0</v>
      </c>
      <c r="AT122" s="2" t="b">
        <f t="shared" ref="AT122" si="2220">OR(I122, J122)</f>
        <v>0</v>
      </c>
      <c r="AW122" s="2" t="b">
        <f t="shared" ref="AW122" si="2221">J122</f>
        <v>0</v>
      </c>
      <c r="AX122" s="2" t="b">
        <f t="shared" ref="AX122" si="2222">J122</f>
        <v>0</v>
      </c>
      <c r="AY122" s="2" t="b">
        <f t="shared" ref="AY122" si="2223">J122</f>
        <v>0</v>
      </c>
    </row>
    <row r="123" spans="2:51" ht="18" customHeight="1" x14ac:dyDescent="0.3">
      <c r="B123" s="416"/>
      <c r="C123" s="332"/>
      <c r="D123" s="332"/>
      <c r="E123" s="2" t="s">
        <v>235</v>
      </c>
      <c r="F123" s="2" t="str">
        <f>IF('Full Season Entries'!M35 &lt;&gt; "", LEFT('Full Season Entries'!M35, 1), "")</f>
        <v/>
      </c>
      <c r="G123" s="2" t="b">
        <f t="shared" si="2199"/>
        <v>0</v>
      </c>
      <c r="H123" s="2" t="b">
        <f t="shared" si="2200"/>
        <v>0</v>
      </c>
      <c r="I123" s="2" t="b">
        <f t="shared" si="2201"/>
        <v>0</v>
      </c>
      <c r="J123" s="2" t="b">
        <f t="shared" si="2202"/>
        <v>0</v>
      </c>
      <c r="K123" s="27" t="b">
        <f t="shared" si="2203"/>
        <v>1</v>
      </c>
      <c r="L123" s="416"/>
      <c r="O123" s="1" t="s">
        <v>387</v>
      </c>
      <c r="P123" s="1" t="b">
        <f t="shared" ref="P123" si="2224">OR(IF(D121 = 2, TRUE, FALSE), IF(D121 = 4, TRUE, FALSE))</f>
        <v>0</v>
      </c>
      <c r="Q123" s="1">
        <f t="shared" si="1268"/>
        <v>0</v>
      </c>
      <c r="T123" s="2" t="b">
        <f t="shared" ref="T123" si="2225">IF(D121 = 0, FALSE, IF(C121 = 1, CHOOSE(D121, W123, X123, Y123, Z123), IF(C121 = 2, CHOOSE(D121, AC123, AD123, AE123, AF123), IF(C121 = 2.1, K123, IF(C121 = 3, CHOOSE(D121, AI123, AJ123, AK123), IF(C121 = 4, CHOOSE(D121, AN123, AO123), IF(C121 = 5, CHOOSE(D121, AR123, AS123, AT123), IF(C121 = 7, CHOOSE(D121, AW123, AX123, AY123), FALSE))))))))</f>
        <v>0</v>
      </c>
      <c r="W123" s="2" t="b">
        <f t="shared" si="2206"/>
        <v>0</v>
      </c>
      <c r="X123" s="2" t="b">
        <f t="shared" ref="X123" si="2226">OR(I123, J123)</f>
        <v>0</v>
      </c>
      <c r="Y123" s="2" t="b">
        <f t="shared" si="2208"/>
        <v>0</v>
      </c>
      <c r="Z123" s="2" t="b">
        <f t="shared" ref="Z123" si="2227">J123</f>
        <v>0</v>
      </c>
      <c r="AC123" s="2" t="b">
        <f t="shared" ref="AC123" si="2228">NOT(K123)</f>
        <v>0</v>
      </c>
      <c r="AD123" s="2" t="b">
        <f t="shared" ref="AD123" si="2229">OR(I123, J123)</f>
        <v>0</v>
      </c>
      <c r="AE123" s="2" t="b">
        <f t="shared" ref="AE123" si="2230">NOT(K123)</f>
        <v>0</v>
      </c>
      <c r="AF123" s="2" t="b">
        <f t="shared" ref="AF123" si="2231">OR(I123, J123)</f>
        <v>0</v>
      </c>
      <c r="AI123" s="2" t="b">
        <f t="shared" ref="AI123" si="2232">AND(OR(I123, J123), NOT(K123))</f>
        <v>0</v>
      </c>
      <c r="AJ123" s="2" t="b">
        <f t="shared" ref="AJ123" si="2233">J123</f>
        <v>0</v>
      </c>
      <c r="AK123" s="2" t="b">
        <f t="shared" ref="AK123" si="2234">J123</f>
        <v>0</v>
      </c>
      <c r="AN123" s="2" t="b">
        <f t="shared" ref="AN123:AN124" si="2235">K123</f>
        <v>1</v>
      </c>
      <c r="AO123" s="2" t="b">
        <f t="shared" ref="AO123:AO124" si="2236">K123</f>
        <v>1</v>
      </c>
      <c r="AR123" s="2" t="b">
        <f t="shared" si="2193"/>
        <v>0</v>
      </c>
      <c r="AS123" s="2" t="b">
        <f t="shared" ref="AS123" si="2237">J123</f>
        <v>0</v>
      </c>
      <c r="AT123" s="2" t="b">
        <f t="shared" ref="AT123" si="2238">J123</f>
        <v>0</v>
      </c>
      <c r="AW123" s="2" t="b">
        <f t="shared" ref="AW123:AW124" si="2239">K123</f>
        <v>1</v>
      </c>
      <c r="AX123" s="2" t="b">
        <f t="shared" ref="AX123:AX124" si="2240">K123</f>
        <v>1</v>
      </c>
      <c r="AY123" s="2" t="b">
        <f t="shared" ref="AY123:AY124" si="2241">K123</f>
        <v>1</v>
      </c>
    </row>
    <row r="124" spans="2:51" ht="18" customHeight="1" x14ac:dyDescent="0.3">
      <c r="B124" s="412"/>
      <c r="C124" s="332"/>
      <c r="D124" s="332"/>
      <c r="E124" s="2" t="s">
        <v>236</v>
      </c>
      <c r="F124" s="2" t="str">
        <f>IF('Full Season Entries'!N35 &lt;&gt; "", LEFT('Full Season Entries'!N35, 1), "")</f>
        <v/>
      </c>
      <c r="G124" s="2" t="b">
        <f t="shared" si="2199"/>
        <v>0</v>
      </c>
      <c r="H124" s="2" t="b">
        <f t="shared" si="2200"/>
        <v>0</v>
      </c>
      <c r="I124" s="2" t="b">
        <f t="shared" si="2201"/>
        <v>0</v>
      </c>
      <c r="J124" s="2" t="b">
        <f t="shared" si="2202"/>
        <v>0</v>
      </c>
      <c r="K124" s="27" t="b">
        <f t="shared" si="2203"/>
        <v>1</v>
      </c>
      <c r="L124" s="412"/>
      <c r="O124" s="1" t="s">
        <v>388</v>
      </c>
      <c r="P124" s="1" t="b">
        <f t="shared" ref="P124" si="2242">IF(SUM(Q121:Q124) &gt; 1, TRUE, FALSE)</f>
        <v>0</v>
      </c>
      <c r="Q124" s="1">
        <f t="shared" si="1268"/>
        <v>0</v>
      </c>
      <c r="T124" s="2" t="b">
        <f t="shared" ref="T124" si="2243">IF(D121 = 0, FALSE, IF(C121 = 1, CHOOSE(D121, W124, X124, Y124, Z124), IF(C121 = 2, CHOOSE(D121, AC124, AD124, AE124, AF124), IF(C121 = 2.1, K124, IF(C121 = 3, CHOOSE(D121, AI124, AJ124, AK124), IF(C121 = 4, CHOOSE(D121, AN124, AO124), IF(C121 = 5, CHOOSE(D121, AR124, AS124, AT124), IF(C121 = 7, CHOOSE(D121, AW124, AX124, AY124), FALSE))))))))</f>
        <v>0</v>
      </c>
      <c r="W124" s="2" t="b">
        <f t="shared" ref="W124" si="2244">K124</f>
        <v>1</v>
      </c>
      <c r="X124" s="2" t="b">
        <f t="shared" ref="X124" si="2245">K124</f>
        <v>1</v>
      </c>
      <c r="Y124" s="2" t="b">
        <f t="shared" ref="Y124" si="2246">K124</f>
        <v>1</v>
      </c>
      <c r="Z124" s="2" t="b">
        <f t="shared" ref="Z124" si="2247">K124</f>
        <v>1</v>
      </c>
      <c r="AC124" s="2" t="b">
        <v>1</v>
      </c>
      <c r="AD124" s="2" t="b">
        <f t="shared" ref="AD124" si="2248">NOT(K124)</f>
        <v>0</v>
      </c>
      <c r="AE124" s="2" t="b">
        <v>1</v>
      </c>
      <c r="AF124" s="2" t="b">
        <f t="shared" ref="AF124" si="2249">NOT(K124)</f>
        <v>0</v>
      </c>
      <c r="AI124" s="2" t="b">
        <f t="shared" ref="AI124" si="2250">K124</f>
        <v>1</v>
      </c>
      <c r="AJ124" s="2" t="b">
        <f t="shared" ref="AJ124" si="2251">K124</f>
        <v>1</v>
      </c>
      <c r="AK124" s="2" t="b">
        <f t="shared" ref="AK124" si="2252">K124</f>
        <v>1</v>
      </c>
      <c r="AN124" s="2" t="b">
        <f t="shared" si="2235"/>
        <v>1</v>
      </c>
      <c r="AO124" s="2" t="b">
        <f t="shared" si="2236"/>
        <v>1</v>
      </c>
      <c r="AR124" s="2" t="b">
        <f t="shared" ref="AR124" si="2253">K124</f>
        <v>1</v>
      </c>
      <c r="AS124" s="2" t="b">
        <f t="shared" ref="AS124" si="2254">K124</f>
        <v>1</v>
      </c>
      <c r="AT124" s="2" t="b">
        <f t="shared" ref="AT124" si="2255">K124</f>
        <v>1</v>
      </c>
      <c r="AW124" s="2" t="b">
        <f t="shared" si="2239"/>
        <v>1</v>
      </c>
      <c r="AX124" s="2" t="b">
        <f t="shared" si="2240"/>
        <v>1</v>
      </c>
      <c r="AY124" s="2" t="b">
        <f t="shared" si="2241"/>
        <v>1</v>
      </c>
    </row>
    <row r="125" spans="2:51" ht="18" customHeight="1" x14ac:dyDescent="0.3">
      <c r="B125" s="415">
        <v>31</v>
      </c>
      <c r="C125" s="332">
        <f>IF('Full Season Entries'!AF36 = 2.2, 2, 'Full Season Entries'!AF36)</f>
        <v>0</v>
      </c>
      <c r="D125" s="332">
        <f>'Full Season Entries'!AG36</f>
        <v>0</v>
      </c>
      <c r="E125" s="2" t="s">
        <v>233</v>
      </c>
      <c r="F125" s="2" t="str">
        <f>IF('Full Season Entries'!K36 &lt;&gt; "", LEFT('Full Season Entries'!K36, 1), "")</f>
        <v/>
      </c>
      <c r="G125" s="2" t="b">
        <f>IF(F125 = "P", TRUE, FALSE)</f>
        <v>0</v>
      </c>
      <c r="H125" s="2" t="b">
        <f>IF(F125 = "G", TRUE, FALSE)</f>
        <v>0</v>
      </c>
      <c r="I125" s="2" t="b">
        <f>IF(F125 = "S", TRUE, FALSE)</f>
        <v>0</v>
      </c>
      <c r="J125" s="2" t="b">
        <f>IF(F125 = "B", TRUE, FALSE)</f>
        <v>0</v>
      </c>
      <c r="K125" s="27" t="b">
        <f>IF(AND(IF(G125 = FALSE, TRUE, FALSE), IF(H125 = FALSE, TRUE, FALSE), IF(I125 = FALSE, TRUE, FALSE), IF(J125 = FALSE, TRUE, FALSE)) = TRUE, TRUE, FALSE)</f>
        <v>1</v>
      </c>
      <c r="L125" s="415" t="str">
        <f>IF(P125, "", IF(AND(P126, P127), AND(T125, T126, T127, T128), AND(NOT(P128), T125, T126, T127, T128)))</f>
        <v/>
      </c>
      <c r="O125" s="1" t="s">
        <v>232</v>
      </c>
      <c r="P125" s="1" t="b">
        <f t="shared" ref="P125" si="2256">AND(K125, K126, K127, K128)</f>
        <v>1</v>
      </c>
      <c r="Q125" s="1">
        <f t="shared" si="1268"/>
        <v>0</v>
      </c>
      <c r="T125" s="2" t="b">
        <f t="shared" ref="T125" si="2257">IF(D125 = 0, FALSE, IF(C125 = 1, CHOOSE(D125, W125, X125, Y125, Z125), IF(C125 = 2, CHOOSE(D125, AC125, AD125, AE125, AF125), IF(C125 = 2.1, CHOOSE(D125, AC125, AD125, AE125, AF125), IF(C125 = 3, CHOOSE(D125, AI125, AJ125, AK125), IF(C125 = 4, CHOOSE(D125, AN125, AO125), IF(C125 = 5, CHOOSE(D125, AR125, AS125, AT125), IF(C125 = 7, CHOOSE(D125, AW125, AX125, AY125), FALSE))))))))</f>
        <v>0</v>
      </c>
      <c r="W125" s="2" t="b">
        <f t="shared" ref="W125" si="2258">AND(NOT(I125), NOT(K125), NOT(J125))</f>
        <v>0</v>
      </c>
      <c r="X125" s="2" t="b">
        <f t="shared" ref="X125" si="2259">AND(NOT(I125), NOT(K125), NOT(J125))</f>
        <v>0</v>
      </c>
      <c r="Y125" s="2" t="b">
        <f t="shared" ref="Y125" si="2260">AND(NOT(I125), NOT(K125), NOT(J125))</f>
        <v>0</v>
      </c>
      <c r="Z125" s="2" t="b">
        <f t="shared" ref="Z125" si="2261">AND(NOT(I125), NOT(K125), NOT(J125))</f>
        <v>0</v>
      </c>
      <c r="AC125" s="2" t="b">
        <f t="shared" ref="AC125" si="2262">AND(NOT(I125), NOT(K125), NOT(J125))</f>
        <v>0</v>
      </c>
      <c r="AD125" s="2" t="b">
        <f t="shared" ref="AD125" si="2263">AND(NOT(G125), NOT(K125), NOT(J125))</f>
        <v>0</v>
      </c>
      <c r="AE125" s="2" t="b">
        <f t="shared" ref="AE125" si="2264">AND(NOT(I125), NOT(K125), NOT(J125))</f>
        <v>0</v>
      </c>
      <c r="AF125" s="2" t="b">
        <f t="shared" ref="AF125" si="2265">AND(NOT(I125), NOT(K125), NOT(J125))</f>
        <v>0</v>
      </c>
      <c r="AI125" s="2" t="b">
        <f t="shared" ref="AI125" si="2266">AND(NOT(I125), NOT(K125), NOT(J125))</f>
        <v>0</v>
      </c>
      <c r="AJ125" s="2" t="b">
        <f t="shared" ref="AJ125" si="2267">AND(NOT(J125), NOT(K125))</f>
        <v>0</v>
      </c>
      <c r="AK125" s="2" t="b">
        <f t="shared" ref="AK125" si="2268">AND(NOT(I125), NOT(K125), NOT(J125))</f>
        <v>0</v>
      </c>
      <c r="AN125" s="2" t="b">
        <f t="shared" ref="AN125" si="2269">AND(NOT(I125), NOT(K125), NOT(J125))</f>
        <v>0</v>
      </c>
      <c r="AO125" s="2" t="b">
        <f t="shared" ref="AO125" si="2270">AND(NOT(G125), NOT(J125), NOT(K125))</f>
        <v>0</v>
      </c>
      <c r="AR125" s="2" t="b">
        <f t="shared" ref="AR125:AR127" si="2271">AND(NOT(J125), NOT(K125))</f>
        <v>0</v>
      </c>
      <c r="AS125" s="2" t="b">
        <f t="shared" ref="AS125" si="2272">AND(NOT(I125), NOT(K125), NOT(J125))</f>
        <v>0</v>
      </c>
      <c r="AT125" s="2" t="b">
        <f t="shared" ref="AT125" si="2273">AND(NOT(G125), NOT(J125), NOT(K125))</f>
        <v>0</v>
      </c>
      <c r="AW125" s="2" t="b">
        <f t="shared" ref="AW125" si="2274">AND(NOT(G125), NOT(J125), NOT(K125))</f>
        <v>0</v>
      </c>
      <c r="AX125" s="2" t="b">
        <f t="shared" ref="AX125" si="2275">AND(NOT(J125), NOT(K125))</f>
        <v>0</v>
      </c>
      <c r="AY125" s="2" t="b">
        <f t="shared" ref="AY125" si="2276">AND(NOT(G125), NOT(J125), NOT(K125))</f>
        <v>0</v>
      </c>
    </row>
    <row r="126" spans="2:51" ht="18" customHeight="1" x14ac:dyDescent="0.3">
      <c r="B126" s="416"/>
      <c r="C126" s="332"/>
      <c r="D126" s="332"/>
      <c r="E126" s="2" t="s">
        <v>234</v>
      </c>
      <c r="F126" s="2" t="str">
        <f>IF('Full Season Entries'!L36 &lt;&gt; "", LEFT('Full Season Entries'!L36, 1), "")</f>
        <v/>
      </c>
      <c r="G126" s="2" t="b">
        <f t="shared" ref="G126:G128" si="2277">IF(F126 = "P", TRUE, FALSE)</f>
        <v>0</v>
      </c>
      <c r="H126" s="2" t="b">
        <f t="shared" ref="H126:H128" si="2278">IF(F126 = "G", TRUE, FALSE)</f>
        <v>0</v>
      </c>
      <c r="I126" s="2" t="b">
        <f t="shared" ref="I126:I128" si="2279">IF(F126 = "S", TRUE, FALSE)</f>
        <v>0</v>
      </c>
      <c r="J126" s="2" t="b">
        <f t="shared" ref="J126:J128" si="2280">IF(F126 = "B", TRUE, FALSE)</f>
        <v>0</v>
      </c>
      <c r="K126" s="27" t="b">
        <f t="shared" ref="K126:K128" si="2281">IF(AND(IF(G126 = FALSE, TRUE, FALSE), IF(H126 = FALSE, TRUE, FALSE), IF(I126 = FALSE, TRUE, FALSE), IF(J126 = FALSE, TRUE, FALSE)) = TRUE, TRUE, FALSE)</f>
        <v>1</v>
      </c>
      <c r="L126" s="416"/>
      <c r="O126" s="1" t="s">
        <v>386</v>
      </c>
      <c r="P126" s="1" t="b">
        <f t="shared" ref="P126" si="2282">OR(IF(C125 = 2, TRUE, FALSE), IF(C125 = 2.2, TRUE, FALSE))</f>
        <v>0</v>
      </c>
      <c r="Q126" s="1">
        <f t="shared" si="1268"/>
        <v>0</v>
      </c>
      <c r="T126" s="2" t="b">
        <f t="shared" ref="T126" si="2283">IF(D125 = 0, FALSE, IF(C125 = 1, CHOOSE(D125, W126, X126, Y126, Z126), IF(C125 = 2, CHOOSE(D125, AC126, AD126, AE126, AF126), IF(C125 = 2.1, CHOOSE(D125, AC126, AD126, AE126, AF126), IF(C125 = 3, CHOOSE(D125, AI126, AJ126, AK126), IF(C125 = 4, CHOOSE(D125, AN126, AO126), IF(C125 = 5, CHOOSE(D125, AR126, AS126, AT126), IF(C125 = 7, CHOOSE(D125, AW126, AX126, AY126), FALSE))))))))</f>
        <v>0</v>
      </c>
      <c r="W126" s="2" t="b">
        <f t="shared" ref="W126:W127" si="2284">AND(NOT(K126), NOT(J126))</f>
        <v>0</v>
      </c>
      <c r="X126" s="2" t="b">
        <f t="shared" ref="X126" si="2285">NOT(K125)</f>
        <v>0</v>
      </c>
      <c r="Y126" s="2" t="b">
        <f t="shared" ref="Y126:Y127" si="2286">AND(NOT(K126), NOT(J126))</f>
        <v>0</v>
      </c>
      <c r="Z126" s="2" t="b">
        <f t="shared" ref="Z126" si="2287">OR(I126, J126)</f>
        <v>0</v>
      </c>
      <c r="AC126" s="2" t="b">
        <f t="shared" ref="AC126" si="2288">AND(NOT(K126), NOT(J126))</f>
        <v>0</v>
      </c>
      <c r="AD126" s="2" t="b">
        <f t="shared" ref="AD126" si="2289">J126</f>
        <v>0</v>
      </c>
      <c r="AE126" s="2" t="b">
        <f t="shared" ref="AE126" si="2290">AND(NOT(K126), NOT(J126))</f>
        <v>0</v>
      </c>
      <c r="AF126" s="2" t="b">
        <f t="shared" ref="AF126" si="2291">J126</f>
        <v>0</v>
      </c>
      <c r="AI126" s="2" t="b">
        <f t="shared" ref="AI126" si="2292">AND(NOT(J126), NOT(K126))</f>
        <v>0</v>
      </c>
      <c r="AJ126" s="2" t="b">
        <f t="shared" ref="AJ126" si="2293">OR(I126, J126)</f>
        <v>0</v>
      </c>
      <c r="AK126" s="2" t="b">
        <f t="shared" ref="AK126" si="2294">OR(I126, J126)</f>
        <v>0</v>
      </c>
      <c r="AN126" s="2" t="b">
        <f t="shared" ref="AN126" si="2295">OR(I126, J126)</f>
        <v>0</v>
      </c>
      <c r="AO126" s="2" t="b">
        <f t="shared" ref="AO126" si="2296">J126</f>
        <v>0</v>
      </c>
      <c r="AR126" s="2" t="b">
        <f t="shared" si="2271"/>
        <v>0</v>
      </c>
      <c r="AS126" s="2" t="b">
        <f t="shared" ref="AS126" si="2297">OR(I126, J126)</f>
        <v>0</v>
      </c>
      <c r="AT126" s="2" t="b">
        <f t="shared" ref="AT126" si="2298">OR(I126, J126)</f>
        <v>0</v>
      </c>
      <c r="AW126" s="2" t="b">
        <f t="shared" ref="AW126" si="2299">J126</f>
        <v>0</v>
      </c>
      <c r="AX126" s="2" t="b">
        <f t="shared" ref="AX126" si="2300">J126</f>
        <v>0</v>
      </c>
      <c r="AY126" s="2" t="b">
        <f t="shared" ref="AY126" si="2301">J126</f>
        <v>0</v>
      </c>
    </row>
    <row r="127" spans="2:51" ht="18" customHeight="1" x14ac:dyDescent="0.3">
      <c r="B127" s="416"/>
      <c r="C127" s="332"/>
      <c r="D127" s="332"/>
      <c r="E127" s="2" t="s">
        <v>235</v>
      </c>
      <c r="F127" s="2" t="str">
        <f>IF('Full Season Entries'!M36 &lt;&gt; "", LEFT('Full Season Entries'!M36, 1), "")</f>
        <v/>
      </c>
      <c r="G127" s="2" t="b">
        <f t="shared" si="2277"/>
        <v>0</v>
      </c>
      <c r="H127" s="2" t="b">
        <f t="shared" si="2278"/>
        <v>0</v>
      </c>
      <c r="I127" s="2" t="b">
        <f t="shared" si="2279"/>
        <v>0</v>
      </c>
      <c r="J127" s="2" t="b">
        <f t="shared" si="2280"/>
        <v>0</v>
      </c>
      <c r="K127" s="27" t="b">
        <f t="shared" si="2281"/>
        <v>1</v>
      </c>
      <c r="L127" s="416"/>
      <c r="O127" s="1" t="s">
        <v>387</v>
      </c>
      <c r="P127" s="1" t="b">
        <f t="shared" ref="P127" si="2302">OR(IF(D125 = 2, TRUE, FALSE), IF(D125 = 4, TRUE, FALSE))</f>
        <v>0</v>
      </c>
      <c r="Q127" s="1">
        <f t="shared" si="1268"/>
        <v>0</v>
      </c>
      <c r="T127" s="2" t="b">
        <f t="shared" ref="T127" si="2303">IF(D125 = 0, FALSE, IF(C125 = 1, CHOOSE(D125, W127, X127, Y127, Z127), IF(C125 = 2, CHOOSE(D125, AC127, AD127, AE127, AF127), IF(C125 = 2.1, K127, IF(C125 = 3, CHOOSE(D125, AI127, AJ127, AK127), IF(C125 = 4, CHOOSE(D125, AN127, AO127), IF(C125 = 5, CHOOSE(D125, AR127, AS127, AT127), IF(C125 = 7, CHOOSE(D125, AW127, AX127, AY127), FALSE))))))))</f>
        <v>0</v>
      </c>
      <c r="W127" s="2" t="b">
        <f t="shared" si="2284"/>
        <v>0</v>
      </c>
      <c r="X127" s="2" t="b">
        <f t="shared" ref="X127" si="2304">OR(I127, J127)</f>
        <v>0</v>
      </c>
      <c r="Y127" s="2" t="b">
        <f t="shared" si="2286"/>
        <v>0</v>
      </c>
      <c r="Z127" s="2" t="b">
        <f t="shared" ref="Z127" si="2305">J127</f>
        <v>0</v>
      </c>
      <c r="AC127" s="2" t="b">
        <f t="shared" ref="AC127" si="2306">NOT(K127)</f>
        <v>0</v>
      </c>
      <c r="AD127" s="2" t="b">
        <f t="shared" ref="AD127" si="2307">OR(I127, J127)</f>
        <v>0</v>
      </c>
      <c r="AE127" s="2" t="b">
        <f t="shared" ref="AE127" si="2308">NOT(K127)</f>
        <v>0</v>
      </c>
      <c r="AF127" s="2" t="b">
        <f t="shared" ref="AF127" si="2309">OR(I127, J127)</f>
        <v>0</v>
      </c>
      <c r="AI127" s="2" t="b">
        <f t="shared" ref="AI127" si="2310">AND(OR(I127, J127), NOT(K127))</f>
        <v>0</v>
      </c>
      <c r="AJ127" s="2" t="b">
        <f t="shared" ref="AJ127" si="2311">J127</f>
        <v>0</v>
      </c>
      <c r="AK127" s="2" t="b">
        <f t="shared" ref="AK127" si="2312">J127</f>
        <v>0</v>
      </c>
      <c r="AN127" s="2" t="b">
        <f t="shared" ref="AN127:AN128" si="2313">K127</f>
        <v>1</v>
      </c>
      <c r="AO127" s="2" t="b">
        <f t="shared" ref="AO127:AO128" si="2314">K127</f>
        <v>1</v>
      </c>
      <c r="AR127" s="2" t="b">
        <f t="shared" si="2271"/>
        <v>0</v>
      </c>
      <c r="AS127" s="2" t="b">
        <f t="shared" ref="AS127" si="2315">J127</f>
        <v>0</v>
      </c>
      <c r="AT127" s="2" t="b">
        <f t="shared" ref="AT127" si="2316">J127</f>
        <v>0</v>
      </c>
      <c r="AW127" s="2" t="b">
        <f t="shared" ref="AW127:AW128" si="2317">K127</f>
        <v>1</v>
      </c>
      <c r="AX127" s="2" t="b">
        <f t="shared" ref="AX127:AX128" si="2318">K127</f>
        <v>1</v>
      </c>
      <c r="AY127" s="2" t="b">
        <f t="shared" ref="AY127:AY128" si="2319">K127</f>
        <v>1</v>
      </c>
    </row>
    <row r="128" spans="2:51" ht="18" customHeight="1" x14ac:dyDescent="0.3">
      <c r="B128" s="412"/>
      <c r="C128" s="332"/>
      <c r="D128" s="332"/>
      <c r="E128" s="2" t="s">
        <v>236</v>
      </c>
      <c r="F128" s="2" t="str">
        <f>IF('Full Season Entries'!N36 &lt;&gt; "", LEFT('Full Season Entries'!N36, 1), "")</f>
        <v/>
      </c>
      <c r="G128" s="2" t="b">
        <f t="shared" si="2277"/>
        <v>0</v>
      </c>
      <c r="H128" s="2" t="b">
        <f t="shared" si="2278"/>
        <v>0</v>
      </c>
      <c r="I128" s="2" t="b">
        <f t="shared" si="2279"/>
        <v>0</v>
      </c>
      <c r="J128" s="2" t="b">
        <f t="shared" si="2280"/>
        <v>0</v>
      </c>
      <c r="K128" s="27" t="b">
        <f t="shared" si="2281"/>
        <v>1</v>
      </c>
      <c r="L128" s="412"/>
      <c r="O128" s="1" t="s">
        <v>388</v>
      </c>
      <c r="P128" s="1" t="b">
        <f t="shared" ref="P128" si="2320">IF(SUM(Q125:Q128) &gt; 1, TRUE, FALSE)</f>
        <v>0</v>
      </c>
      <c r="Q128" s="1">
        <f t="shared" si="1268"/>
        <v>0</v>
      </c>
      <c r="T128" s="2" t="b">
        <f t="shared" ref="T128" si="2321">IF(D125 = 0, FALSE, IF(C125 = 1, CHOOSE(D125, W128, X128, Y128, Z128), IF(C125 = 2, CHOOSE(D125, AC128, AD128, AE128, AF128), IF(C125 = 2.1, K128, IF(C125 = 3, CHOOSE(D125, AI128, AJ128, AK128), IF(C125 = 4, CHOOSE(D125, AN128, AO128), IF(C125 = 5, CHOOSE(D125, AR128, AS128, AT128), IF(C125 = 7, CHOOSE(D125, AW128, AX128, AY128), FALSE))))))))</f>
        <v>0</v>
      </c>
      <c r="W128" s="2" t="b">
        <f t="shared" ref="W128" si="2322">K128</f>
        <v>1</v>
      </c>
      <c r="X128" s="2" t="b">
        <f t="shared" ref="X128" si="2323">K128</f>
        <v>1</v>
      </c>
      <c r="Y128" s="2" t="b">
        <f t="shared" ref="Y128" si="2324">K128</f>
        <v>1</v>
      </c>
      <c r="Z128" s="2" t="b">
        <f t="shared" ref="Z128" si="2325">K128</f>
        <v>1</v>
      </c>
      <c r="AC128" s="2" t="b">
        <v>1</v>
      </c>
      <c r="AD128" s="2" t="b">
        <f t="shared" ref="AD128" si="2326">NOT(K128)</f>
        <v>0</v>
      </c>
      <c r="AE128" s="2" t="b">
        <v>1</v>
      </c>
      <c r="AF128" s="2" t="b">
        <f t="shared" ref="AF128" si="2327">NOT(K128)</f>
        <v>0</v>
      </c>
      <c r="AI128" s="2" t="b">
        <f t="shared" ref="AI128" si="2328">K128</f>
        <v>1</v>
      </c>
      <c r="AJ128" s="2" t="b">
        <f t="shared" ref="AJ128" si="2329">K128</f>
        <v>1</v>
      </c>
      <c r="AK128" s="2" t="b">
        <f t="shared" ref="AK128" si="2330">K128</f>
        <v>1</v>
      </c>
      <c r="AN128" s="2" t="b">
        <f t="shared" si="2313"/>
        <v>1</v>
      </c>
      <c r="AO128" s="2" t="b">
        <f t="shared" si="2314"/>
        <v>1</v>
      </c>
      <c r="AR128" s="2" t="b">
        <f t="shared" ref="AR128" si="2331">K128</f>
        <v>1</v>
      </c>
      <c r="AS128" s="2" t="b">
        <f t="shared" ref="AS128" si="2332">K128</f>
        <v>1</v>
      </c>
      <c r="AT128" s="2" t="b">
        <f t="shared" ref="AT128" si="2333">K128</f>
        <v>1</v>
      </c>
      <c r="AW128" s="2" t="b">
        <f t="shared" si="2317"/>
        <v>1</v>
      </c>
      <c r="AX128" s="2" t="b">
        <f t="shared" si="2318"/>
        <v>1</v>
      </c>
      <c r="AY128" s="2" t="b">
        <f t="shared" si="2319"/>
        <v>1</v>
      </c>
    </row>
    <row r="129" spans="2:51" ht="18" customHeight="1" x14ac:dyDescent="0.3">
      <c r="B129" s="415">
        <v>32</v>
      </c>
      <c r="C129" s="332">
        <f>IF('Full Season Entries'!AF37 = 2.2, 2, 'Full Season Entries'!AF37)</f>
        <v>0</v>
      </c>
      <c r="D129" s="332">
        <f>'Full Season Entries'!AG37</f>
        <v>0</v>
      </c>
      <c r="E129" s="2" t="s">
        <v>233</v>
      </c>
      <c r="F129" s="2" t="str">
        <f>IF('Full Season Entries'!K37 &lt;&gt; "", LEFT('Full Season Entries'!K37, 1), "")</f>
        <v/>
      </c>
      <c r="G129" s="2" t="b">
        <f>IF(F129 = "P", TRUE, FALSE)</f>
        <v>0</v>
      </c>
      <c r="H129" s="2" t="b">
        <f>IF(F129 = "G", TRUE, FALSE)</f>
        <v>0</v>
      </c>
      <c r="I129" s="2" t="b">
        <f>IF(F129 = "S", TRUE, FALSE)</f>
        <v>0</v>
      </c>
      <c r="J129" s="2" t="b">
        <f>IF(F129 = "B", TRUE, FALSE)</f>
        <v>0</v>
      </c>
      <c r="K129" s="27" t="b">
        <f>IF(AND(IF(G129 = FALSE, TRUE, FALSE), IF(H129 = FALSE, TRUE, FALSE), IF(I129 = FALSE, TRUE, FALSE), IF(J129 = FALSE, TRUE, FALSE)) = TRUE, TRUE, FALSE)</f>
        <v>1</v>
      </c>
      <c r="L129" s="415" t="str">
        <f>IF(P129, "", IF(AND(P130, P131), AND(T129, T130, T131, T132), AND(NOT(P132), T129, T130, T131, T132)))</f>
        <v/>
      </c>
      <c r="O129" s="1" t="s">
        <v>232</v>
      </c>
      <c r="P129" s="1" t="b">
        <f t="shared" ref="P129" si="2334">AND(K129, K130, K131, K132)</f>
        <v>1</v>
      </c>
      <c r="Q129" s="1">
        <f t="shared" si="1268"/>
        <v>0</v>
      </c>
      <c r="T129" s="2" t="b">
        <f t="shared" ref="T129" si="2335">IF(D129 = 0, FALSE, IF(C129 = 1, CHOOSE(D129, W129, X129, Y129, Z129), IF(C129 = 2, CHOOSE(D129, AC129, AD129, AE129, AF129), IF(C129 = 2.1, CHOOSE(D129, AC129, AD129, AE129, AF129), IF(C129 = 3, CHOOSE(D129, AI129, AJ129, AK129), IF(C129 = 4, CHOOSE(D129, AN129, AO129), IF(C129 = 5, CHOOSE(D129, AR129, AS129, AT129), IF(C129 = 7, CHOOSE(D129, AW129, AX129, AY129), FALSE))))))))</f>
        <v>0</v>
      </c>
      <c r="W129" s="2" t="b">
        <f t="shared" ref="W129" si="2336">AND(NOT(I129), NOT(K129), NOT(J129))</f>
        <v>0</v>
      </c>
      <c r="X129" s="2" t="b">
        <f t="shared" ref="X129" si="2337">AND(NOT(I129), NOT(K129), NOT(J129))</f>
        <v>0</v>
      </c>
      <c r="Y129" s="2" t="b">
        <f t="shared" ref="Y129" si="2338">AND(NOT(I129), NOT(K129), NOT(J129))</f>
        <v>0</v>
      </c>
      <c r="Z129" s="2" t="b">
        <f t="shared" ref="Z129" si="2339">AND(NOT(I129), NOT(K129), NOT(J129))</f>
        <v>0</v>
      </c>
      <c r="AC129" s="2" t="b">
        <f t="shared" ref="AC129" si="2340">AND(NOT(I129), NOT(K129), NOT(J129))</f>
        <v>0</v>
      </c>
      <c r="AD129" s="2" t="b">
        <f t="shared" ref="AD129" si="2341">AND(NOT(G129), NOT(K129), NOT(J129))</f>
        <v>0</v>
      </c>
      <c r="AE129" s="2" t="b">
        <f t="shared" ref="AE129" si="2342">AND(NOT(I129), NOT(K129), NOT(J129))</f>
        <v>0</v>
      </c>
      <c r="AF129" s="2" t="b">
        <f t="shared" ref="AF129" si="2343">AND(NOT(I129), NOT(K129), NOT(J129))</f>
        <v>0</v>
      </c>
      <c r="AI129" s="2" t="b">
        <f t="shared" ref="AI129" si="2344">AND(NOT(I129), NOT(K129), NOT(J129))</f>
        <v>0</v>
      </c>
      <c r="AJ129" s="2" t="b">
        <f t="shared" ref="AJ129" si="2345">AND(NOT(J129), NOT(K129))</f>
        <v>0</v>
      </c>
      <c r="AK129" s="2" t="b">
        <f t="shared" ref="AK129" si="2346">AND(NOT(I129), NOT(K129), NOT(J129))</f>
        <v>0</v>
      </c>
      <c r="AN129" s="2" t="b">
        <f t="shared" ref="AN129" si="2347">AND(NOT(I129), NOT(K129), NOT(J129))</f>
        <v>0</v>
      </c>
      <c r="AO129" s="2" t="b">
        <f t="shared" ref="AO129" si="2348">AND(NOT(G129), NOT(J129), NOT(K129))</f>
        <v>0</v>
      </c>
      <c r="AR129" s="2" t="b">
        <f t="shared" ref="AR129:AR131" si="2349">AND(NOT(J129), NOT(K129))</f>
        <v>0</v>
      </c>
      <c r="AS129" s="2" t="b">
        <f t="shared" ref="AS129" si="2350">AND(NOT(I129), NOT(K129), NOT(J129))</f>
        <v>0</v>
      </c>
      <c r="AT129" s="2" t="b">
        <f t="shared" ref="AT129" si="2351">AND(NOT(G129), NOT(J129), NOT(K129))</f>
        <v>0</v>
      </c>
      <c r="AW129" s="2" t="b">
        <f t="shared" ref="AW129" si="2352">AND(NOT(G129), NOT(J129), NOT(K129))</f>
        <v>0</v>
      </c>
      <c r="AX129" s="2" t="b">
        <f t="shared" ref="AX129" si="2353">AND(NOT(J129), NOT(K129))</f>
        <v>0</v>
      </c>
      <c r="AY129" s="2" t="b">
        <f t="shared" ref="AY129" si="2354">AND(NOT(G129), NOT(J129), NOT(K129))</f>
        <v>0</v>
      </c>
    </row>
    <row r="130" spans="2:51" ht="18" customHeight="1" x14ac:dyDescent="0.3">
      <c r="B130" s="416"/>
      <c r="C130" s="332"/>
      <c r="D130" s="332"/>
      <c r="E130" s="2" t="s">
        <v>234</v>
      </c>
      <c r="F130" s="2" t="str">
        <f>IF('Full Season Entries'!L37 &lt;&gt; "", LEFT('Full Season Entries'!L37, 1), "")</f>
        <v/>
      </c>
      <c r="G130" s="2" t="b">
        <f t="shared" ref="G130:G132" si="2355">IF(F130 = "P", TRUE, FALSE)</f>
        <v>0</v>
      </c>
      <c r="H130" s="2" t="b">
        <f t="shared" ref="H130:H132" si="2356">IF(F130 = "G", TRUE, FALSE)</f>
        <v>0</v>
      </c>
      <c r="I130" s="2" t="b">
        <f t="shared" ref="I130:I132" si="2357">IF(F130 = "S", TRUE, FALSE)</f>
        <v>0</v>
      </c>
      <c r="J130" s="2" t="b">
        <f t="shared" ref="J130:J132" si="2358">IF(F130 = "B", TRUE, FALSE)</f>
        <v>0</v>
      </c>
      <c r="K130" s="27" t="b">
        <f t="shared" ref="K130:K132" si="2359">IF(AND(IF(G130 = FALSE, TRUE, FALSE), IF(H130 = FALSE, TRUE, FALSE), IF(I130 = FALSE, TRUE, FALSE), IF(J130 = FALSE, TRUE, FALSE)) = TRUE, TRUE, FALSE)</f>
        <v>1</v>
      </c>
      <c r="L130" s="416"/>
      <c r="O130" s="1" t="s">
        <v>386</v>
      </c>
      <c r="P130" s="1" t="b">
        <f t="shared" ref="P130" si="2360">OR(IF(C129 = 2, TRUE, FALSE), IF(C129 = 2.2, TRUE, FALSE))</f>
        <v>0</v>
      </c>
      <c r="Q130" s="1">
        <f t="shared" si="1268"/>
        <v>0</v>
      </c>
      <c r="T130" s="2" t="b">
        <f t="shared" ref="T130" si="2361">IF(D129 = 0, FALSE, IF(C129 = 1, CHOOSE(D129, W130, X130, Y130, Z130), IF(C129 = 2, CHOOSE(D129, AC130, AD130, AE130, AF130), IF(C129 = 2.1, CHOOSE(D129, AC130, AD130, AE130, AF130), IF(C129 = 3, CHOOSE(D129, AI130, AJ130, AK130), IF(C129 = 4, CHOOSE(D129, AN130, AO130), IF(C129 = 5, CHOOSE(D129, AR130, AS130, AT130), IF(C129 = 7, CHOOSE(D129, AW130, AX130, AY130), FALSE))))))))</f>
        <v>0</v>
      </c>
      <c r="W130" s="2" t="b">
        <f t="shared" ref="W130:W131" si="2362">AND(NOT(K130), NOT(J130))</f>
        <v>0</v>
      </c>
      <c r="X130" s="2" t="b">
        <f t="shared" ref="X130" si="2363">NOT(K129)</f>
        <v>0</v>
      </c>
      <c r="Y130" s="2" t="b">
        <f t="shared" ref="Y130:Y131" si="2364">AND(NOT(K130), NOT(J130))</f>
        <v>0</v>
      </c>
      <c r="Z130" s="2" t="b">
        <f t="shared" ref="Z130" si="2365">OR(I130, J130)</f>
        <v>0</v>
      </c>
      <c r="AC130" s="2" t="b">
        <f t="shared" ref="AC130" si="2366">AND(NOT(K130), NOT(J130))</f>
        <v>0</v>
      </c>
      <c r="AD130" s="2" t="b">
        <f t="shared" ref="AD130" si="2367">J130</f>
        <v>0</v>
      </c>
      <c r="AE130" s="2" t="b">
        <f t="shared" ref="AE130" si="2368">AND(NOT(K130), NOT(J130))</f>
        <v>0</v>
      </c>
      <c r="AF130" s="2" t="b">
        <f t="shared" ref="AF130" si="2369">J130</f>
        <v>0</v>
      </c>
      <c r="AI130" s="2" t="b">
        <f t="shared" ref="AI130" si="2370">AND(NOT(J130), NOT(K130))</f>
        <v>0</v>
      </c>
      <c r="AJ130" s="2" t="b">
        <f t="shared" ref="AJ130" si="2371">OR(I130, J130)</f>
        <v>0</v>
      </c>
      <c r="AK130" s="2" t="b">
        <f t="shared" ref="AK130" si="2372">OR(I130, J130)</f>
        <v>0</v>
      </c>
      <c r="AN130" s="2" t="b">
        <f t="shared" ref="AN130" si="2373">OR(I130, J130)</f>
        <v>0</v>
      </c>
      <c r="AO130" s="2" t="b">
        <f t="shared" ref="AO130" si="2374">J130</f>
        <v>0</v>
      </c>
      <c r="AR130" s="2" t="b">
        <f t="shared" si="2349"/>
        <v>0</v>
      </c>
      <c r="AS130" s="2" t="b">
        <f t="shared" ref="AS130" si="2375">OR(I130, J130)</f>
        <v>0</v>
      </c>
      <c r="AT130" s="2" t="b">
        <f t="shared" ref="AT130" si="2376">OR(I130, J130)</f>
        <v>0</v>
      </c>
      <c r="AW130" s="2" t="b">
        <f t="shared" ref="AW130" si="2377">J130</f>
        <v>0</v>
      </c>
      <c r="AX130" s="2" t="b">
        <f t="shared" ref="AX130" si="2378">J130</f>
        <v>0</v>
      </c>
      <c r="AY130" s="2" t="b">
        <f t="shared" ref="AY130" si="2379">J130</f>
        <v>0</v>
      </c>
    </row>
    <row r="131" spans="2:51" ht="18" customHeight="1" x14ac:dyDescent="0.3">
      <c r="B131" s="416"/>
      <c r="C131" s="332"/>
      <c r="D131" s="332"/>
      <c r="E131" s="2" t="s">
        <v>235</v>
      </c>
      <c r="F131" s="2" t="str">
        <f>IF('Full Season Entries'!M37 &lt;&gt; "", LEFT('Full Season Entries'!M37, 1), "")</f>
        <v/>
      </c>
      <c r="G131" s="2" t="b">
        <f t="shared" si="2355"/>
        <v>0</v>
      </c>
      <c r="H131" s="2" t="b">
        <f t="shared" si="2356"/>
        <v>0</v>
      </c>
      <c r="I131" s="2" t="b">
        <f t="shared" si="2357"/>
        <v>0</v>
      </c>
      <c r="J131" s="2" t="b">
        <f t="shared" si="2358"/>
        <v>0</v>
      </c>
      <c r="K131" s="27" t="b">
        <f t="shared" si="2359"/>
        <v>1</v>
      </c>
      <c r="L131" s="416"/>
      <c r="O131" s="1" t="s">
        <v>387</v>
      </c>
      <c r="P131" s="1" t="b">
        <f t="shared" ref="P131" si="2380">OR(IF(D129 = 2, TRUE, FALSE), IF(D129 = 4, TRUE, FALSE))</f>
        <v>0</v>
      </c>
      <c r="Q131" s="1">
        <f t="shared" si="1268"/>
        <v>0</v>
      </c>
      <c r="T131" s="2" t="b">
        <f t="shared" ref="T131" si="2381">IF(D129 = 0, FALSE, IF(C129 = 1, CHOOSE(D129, W131, X131, Y131, Z131), IF(C129 = 2, CHOOSE(D129, AC131, AD131, AE131, AF131), IF(C129 = 2.1, K131, IF(C129 = 3, CHOOSE(D129, AI131, AJ131, AK131), IF(C129 = 4, CHOOSE(D129, AN131, AO131), IF(C129 = 5, CHOOSE(D129, AR131, AS131, AT131), IF(C129 = 7, CHOOSE(D129, AW131, AX131, AY131), FALSE))))))))</f>
        <v>0</v>
      </c>
      <c r="W131" s="2" t="b">
        <f t="shared" si="2362"/>
        <v>0</v>
      </c>
      <c r="X131" s="2" t="b">
        <f t="shared" ref="X131" si="2382">OR(I131, J131)</f>
        <v>0</v>
      </c>
      <c r="Y131" s="2" t="b">
        <f t="shared" si="2364"/>
        <v>0</v>
      </c>
      <c r="Z131" s="2" t="b">
        <f t="shared" ref="Z131" si="2383">J131</f>
        <v>0</v>
      </c>
      <c r="AC131" s="2" t="b">
        <f t="shared" ref="AC131" si="2384">NOT(K131)</f>
        <v>0</v>
      </c>
      <c r="AD131" s="2" t="b">
        <f t="shared" ref="AD131" si="2385">OR(I131, J131)</f>
        <v>0</v>
      </c>
      <c r="AE131" s="2" t="b">
        <f t="shared" ref="AE131" si="2386">NOT(K131)</f>
        <v>0</v>
      </c>
      <c r="AF131" s="2" t="b">
        <f t="shared" ref="AF131" si="2387">OR(I131, J131)</f>
        <v>0</v>
      </c>
      <c r="AI131" s="2" t="b">
        <f t="shared" ref="AI131" si="2388">AND(OR(I131, J131), NOT(K131))</f>
        <v>0</v>
      </c>
      <c r="AJ131" s="2" t="b">
        <f t="shared" ref="AJ131" si="2389">J131</f>
        <v>0</v>
      </c>
      <c r="AK131" s="2" t="b">
        <f t="shared" ref="AK131" si="2390">J131</f>
        <v>0</v>
      </c>
      <c r="AN131" s="2" t="b">
        <f t="shared" ref="AN131:AN132" si="2391">K131</f>
        <v>1</v>
      </c>
      <c r="AO131" s="2" t="b">
        <f t="shared" ref="AO131:AO132" si="2392">K131</f>
        <v>1</v>
      </c>
      <c r="AR131" s="2" t="b">
        <f t="shared" si="2349"/>
        <v>0</v>
      </c>
      <c r="AS131" s="2" t="b">
        <f t="shared" ref="AS131" si="2393">J131</f>
        <v>0</v>
      </c>
      <c r="AT131" s="2" t="b">
        <f t="shared" ref="AT131" si="2394">J131</f>
        <v>0</v>
      </c>
      <c r="AW131" s="2" t="b">
        <f t="shared" ref="AW131:AW132" si="2395">K131</f>
        <v>1</v>
      </c>
      <c r="AX131" s="2" t="b">
        <f t="shared" ref="AX131:AX132" si="2396">K131</f>
        <v>1</v>
      </c>
      <c r="AY131" s="2" t="b">
        <f t="shared" ref="AY131:AY132" si="2397">K131</f>
        <v>1</v>
      </c>
    </row>
    <row r="132" spans="2:51" ht="18" customHeight="1" x14ac:dyDescent="0.3">
      <c r="B132" s="412"/>
      <c r="C132" s="332"/>
      <c r="D132" s="332"/>
      <c r="E132" s="2" t="s">
        <v>236</v>
      </c>
      <c r="F132" s="2" t="str">
        <f>IF('Full Season Entries'!N37 &lt;&gt; "", LEFT('Full Season Entries'!N37, 1), "")</f>
        <v/>
      </c>
      <c r="G132" s="2" t="b">
        <f t="shared" si="2355"/>
        <v>0</v>
      </c>
      <c r="H132" s="2" t="b">
        <f t="shared" si="2356"/>
        <v>0</v>
      </c>
      <c r="I132" s="2" t="b">
        <f t="shared" si="2357"/>
        <v>0</v>
      </c>
      <c r="J132" s="2" t="b">
        <f t="shared" si="2358"/>
        <v>0</v>
      </c>
      <c r="K132" s="27" t="b">
        <f t="shared" si="2359"/>
        <v>1</v>
      </c>
      <c r="L132" s="412"/>
      <c r="O132" s="1" t="s">
        <v>388</v>
      </c>
      <c r="P132" s="1" t="b">
        <f t="shared" ref="P132" si="2398">IF(SUM(Q129:Q132) &gt; 1, TRUE, FALSE)</f>
        <v>0</v>
      </c>
      <c r="Q132" s="1">
        <f t="shared" si="1268"/>
        <v>0</v>
      </c>
      <c r="T132" s="2" t="b">
        <f t="shared" ref="T132" si="2399">IF(D129 = 0, FALSE, IF(C129 = 1, CHOOSE(D129, W132, X132, Y132, Z132), IF(C129 = 2, CHOOSE(D129, AC132, AD132, AE132, AF132), IF(C129 = 2.1, K132, IF(C129 = 3, CHOOSE(D129, AI132, AJ132, AK132), IF(C129 = 4, CHOOSE(D129, AN132, AO132), IF(C129 = 5, CHOOSE(D129, AR132, AS132, AT132), IF(C129 = 7, CHOOSE(D129, AW132, AX132, AY132), FALSE))))))))</f>
        <v>0</v>
      </c>
      <c r="W132" s="2" t="b">
        <f t="shared" ref="W132" si="2400">K132</f>
        <v>1</v>
      </c>
      <c r="X132" s="2" t="b">
        <f t="shared" ref="X132" si="2401">K132</f>
        <v>1</v>
      </c>
      <c r="Y132" s="2" t="b">
        <f t="shared" ref="Y132" si="2402">K132</f>
        <v>1</v>
      </c>
      <c r="Z132" s="2" t="b">
        <f t="shared" ref="Z132" si="2403">K132</f>
        <v>1</v>
      </c>
      <c r="AC132" s="2" t="b">
        <v>1</v>
      </c>
      <c r="AD132" s="2" t="b">
        <f t="shared" ref="AD132" si="2404">NOT(K132)</f>
        <v>0</v>
      </c>
      <c r="AE132" s="2" t="b">
        <v>1</v>
      </c>
      <c r="AF132" s="2" t="b">
        <f t="shared" ref="AF132" si="2405">NOT(K132)</f>
        <v>0</v>
      </c>
      <c r="AI132" s="2" t="b">
        <f t="shared" ref="AI132" si="2406">K132</f>
        <v>1</v>
      </c>
      <c r="AJ132" s="2" t="b">
        <f t="shared" ref="AJ132" si="2407">K132</f>
        <v>1</v>
      </c>
      <c r="AK132" s="2" t="b">
        <f t="shared" ref="AK132" si="2408">K132</f>
        <v>1</v>
      </c>
      <c r="AN132" s="2" t="b">
        <f t="shared" si="2391"/>
        <v>1</v>
      </c>
      <c r="AO132" s="2" t="b">
        <f t="shared" si="2392"/>
        <v>1</v>
      </c>
      <c r="AR132" s="2" t="b">
        <f t="shared" ref="AR132" si="2409">K132</f>
        <v>1</v>
      </c>
      <c r="AS132" s="2" t="b">
        <f t="shared" ref="AS132" si="2410">K132</f>
        <v>1</v>
      </c>
      <c r="AT132" s="2" t="b">
        <f t="shared" ref="AT132" si="2411">K132</f>
        <v>1</v>
      </c>
      <c r="AW132" s="2" t="b">
        <f t="shared" si="2395"/>
        <v>1</v>
      </c>
      <c r="AX132" s="2" t="b">
        <f t="shared" si="2396"/>
        <v>1</v>
      </c>
      <c r="AY132" s="2" t="b">
        <f t="shared" si="2397"/>
        <v>1</v>
      </c>
    </row>
    <row r="133" spans="2:51" ht="18" customHeight="1" x14ac:dyDescent="0.3">
      <c r="B133" s="415">
        <v>33</v>
      </c>
      <c r="C133" s="332">
        <f>IF('Full Season Entries'!AF38 = 2.2, 2, 'Full Season Entries'!AF38)</f>
        <v>0</v>
      </c>
      <c r="D133" s="332">
        <f>'Full Season Entries'!AG38</f>
        <v>0</v>
      </c>
      <c r="E133" s="2" t="s">
        <v>233</v>
      </c>
      <c r="F133" s="2" t="str">
        <f>IF('Full Season Entries'!K38 &lt;&gt; "", LEFT('Full Season Entries'!K38, 1), "")</f>
        <v/>
      </c>
      <c r="G133" s="2" t="b">
        <f>IF(F133 = "P", TRUE, FALSE)</f>
        <v>0</v>
      </c>
      <c r="H133" s="2" t="b">
        <f>IF(F133 = "G", TRUE, FALSE)</f>
        <v>0</v>
      </c>
      <c r="I133" s="2" t="b">
        <f>IF(F133 = "S", TRUE, FALSE)</f>
        <v>0</v>
      </c>
      <c r="J133" s="2" t="b">
        <f>IF(F133 = "B", TRUE, FALSE)</f>
        <v>0</v>
      </c>
      <c r="K133" s="27" t="b">
        <f>IF(AND(IF(G133 = FALSE, TRUE, FALSE), IF(H133 = FALSE, TRUE, FALSE), IF(I133 = FALSE, TRUE, FALSE), IF(J133 = FALSE, TRUE, FALSE)) = TRUE, TRUE, FALSE)</f>
        <v>1</v>
      </c>
      <c r="L133" s="415" t="str">
        <f>IF(P133, "", IF(AND(P134, P135), AND(T133, T134, T135, T136), AND(NOT(P136), T133, T134, T135, T136)))</f>
        <v/>
      </c>
      <c r="O133" s="1" t="s">
        <v>232</v>
      </c>
      <c r="P133" s="1" t="b">
        <f t="shared" ref="P133" si="2412">AND(K133, K134, K135, K136)</f>
        <v>1</v>
      </c>
      <c r="Q133" s="1">
        <f t="shared" si="1268"/>
        <v>0</v>
      </c>
      <c r="T133" s="2" t="b">
        <f t="shared" ref="T133" si="2413">IF(D133 = 0, FALSE, IF(C133 = 1, CHOOSE(D133, W133, X133, Y133, Z133), IF(C133 = 2, CHOOSE(D133, AC133, AD133, AE133, AF133), IF(C133 = 2.1, CHOOSE(D133, AC133, AD133, AE133, AF133), IF(C133 = 3, CHOOSE(D133, AI133, AJ133, AK133), IF(C133 = 4, CHOOSE(D133, AN133, AO133), IF(C133 = 5, CHOOSE(D133, AR133, AS133, AT133), IF(C133 = 7, CHOOSE(D133, AW133, AX133, AY133), FALSE))))))))</f>
        <v>0</v>
      </c>
      <c r="W133" s="2" t="b">
        <f t="shared" ref="W133" si="2414">AND(NOT(I133), NOT(K133), NOT(J133))</f>
        <v>0</v>
      </c>
      <c r="X133" s="2" t="b">
        <f t="shared" ref="X133" si="2415">AND(NOT(I133), NOT(K133), NOT(J133))</f>
        <v>0</v>
      </c>
      <c r="Y133" s="2" t="b">
        <f t="shared" ref="Y133" si="2416">AND(NOT(I133), NOT(K133), NOT(J133))</f>
        <v>0</v>
      </c>
      <c r="Z133" s="2" t="b">
        <f t="shared" ref="Z133" si="2417">AND(NOT(I133), NOT(K133), NOT(J133))</f>
        <v>0</v>
      </c>
      <c r="AC133" s="2" t="b">
        <f t="shared" ref="AC133" si="2418">AND(NOT(I133), NOT(K133), NOT(J133))</f>
        <v>0</v>
      </c>
      <c r="AD133" s="2" t="b">
        <f t="shared" ref="AD133" si="2419">AND(NOT(G133), NOT(K133), NOT(J133))</f>
        <v>0</v>
      </c>
      <c r="AE133" s="2" t="b">
        <f t="shared" ref="AE133" si="2420">AND(NOT(I133), NOT(K133), NOT(J133))</f>
        <v>0</v>
      </c>
      <c r="AF133" s="2" t="b">
        <f t="shared" ref="AF133" si="2421">AND(NOT(I133), NOT(K133), NOT(J133))</f>
        <v>0</v>
      </c>
      <c r="AI133" s="2" t="b">
        <f t="shared" ref="AI133" si="2422">AND(NOT(I133), NOT(K133), NOT(J133))</f>
        <v>0</v>
      </c>
      <c r="AJ133" s="2" t="b">
        <f t="shared" ref="AJ133" si="2423">AND(NOT(J133), NOT(K133))</f>
        <v>0</v>
      </c>
      <c r="AK133" s="2" t="b">
        <f t="shared" ref="AK133" si="2424">AND(NOT(I133), NOT(K133), NOT(J133))</f>
        <v>0</v>
      </c>
      <c r="AN133" s="2" t="b">
        <f t="shared" ref="AN133" si="2425">AND(NOT(I133), NOT(K133), NOT(J133))</f>
        <v>0</v>
      </c>
      <c r="AO133" s="2" t="b">
        <f t="shared" ref="AO133" si="2426">AND(NOT(G133), NOT(J133), NOT(K133))</f>
        <v>0</v>
      </c>
      <c r="AR133" s="2" t="b">
        <f t="shared" ref="AR133:AR135" si="2427">AND(NOT(J133), NOT(K133))</f>
        <v>0</v>
      </c>
      <c r="AS133" s="2" t="b">
        <f t="shared" ref="AS133" si="2428">AND(NOT(I133), NOT(K133), NOT(J133))</f>
        <v>0</v>
      </c>
      <c r="AT133" s="2" t="b">
        <f t="shared" ref="AT133" si="2429">AND(NOT(G133), NOT(J133), NOT(K133))</f>
        <v>0</v>
      </c>
      <c r="AW133" s="2" t="b">
        <f t="shared" ref="AW133" si="2430">AND(NOT(G133), NOT(J133), NOT(K133))</f>
        <v>0</v>
      </c>
      <c r="AX133" s="2" t="b">
        <f t="shared" ref="AX133" si="2431">AND(NOT(J133), NOT(K133))</f>
        <v>0</v>
      </c>
      <c r="AY133" s="2" t="b">
        <f t="shared" ref="AY133" si="2432">AND(NOT(G133), NOT(J133), NOT(K133))</f>
        <v>0</v>
      </c>
    </row>
    <row r="134" spans="2:51" ht="18" customHeight="1" x14ac:dyDescent="0.3">
      <c r="B134" s="416"/>
      <c r="C134" s="332"/>
      <c r="D134" s="332"/>
      <c r="E134" s="2" t="s">
        <v>234</v>
      </c>
      <c r="F134" s="2" t="str">
        <f>IF('Full Season Entries'!L38 &lt;&gt; "", LEFT('Full Season Entries'!L38, 1), "")</f>
        <v/>
      </c>
      <c r="G134" s="2" t="b">
        <f t="shared" ref="G134:G136" si="2433">IF(F134 = "P", TRUE, FALSE)</f>
        <v>0</v>
      </c>
      <c r="H134" s="2" t="b">
        <f t="shared" ref="H134:H136" si="2434">IF(F134 = "G", TRUE, FALSE)</f>
        <v>0</v>
      </c>
      <c r="I134" s="2" t="b">
        <f t="shared" ref="I134:I136" si="2435">IF(F134 = "S", TRUE, FALSE)</f>
        <v>0</v>
      </c>
      <c r="J134" s="2" t="b">
        <f t="shared" ref="J134:J136" si="2436">IF(F134 = "B", TRUE, FALSE)</f>
        <v>0</v>
      </c>
      <c r="K134" s="27" t="b">
        <f t="shared" ref="K134:K136" si="2437">IF(AND(IF(G134 = FALSE, TRUE, FALSE), IF(H134 = FALSE, TRUE, FALSE), IF(I134 = FALSE, TRUE, FALSE), IF(J134 = FALSE, TRUE, FALSE)) = TRUE, TRUE, FALSE)</f>
        <v>1</v>
      </c>
      <c r="L134" s="416"/>
      <c r="O134" s="1" t="s">
        <v>386</v>
      </c>
      <c r="P134" s="1" t="b">
        <f t="shared" ref="P134" si="2438">OR(IF(C133 = 2, TRUE, FALSE), IF(C133 = 2.2, TRUE, FALSE))</f>
        <v>0</v>
      </c>
      <c r="Q134" s="1">
        <f t="shared" si="1268"/>
        <v>0</v>
      </c>
      <c r="T134" s="2" t="b">
        <f t="shared" ref="T134" si="2439">IF(D133 = 0, FALSE, IF(C133 = 1, CHOOSE(D133, W134, X134, Y134, Z134), IF(C133 = 2, CHOOSE(D133, AC134, AD134, AE134, AF134), IF(C133 = 2.1, CHOOSE(D133, AC134, AD134, AE134, AF134), IF(C133 = 3, CHOOSE(D133, AI134, AJ134, AK134), IF(C133 = 4, CHOOSE(D133, AN134, AO134), IF(C133 = 5, CHOOSE(D133, AR134, AS134, AT134), IF(C133 = 7, CHOOSE(D133, AW134, AX134, AY134), FALSE))))))))</f>
        <v>0</v>
      </c>
      <c r="W134" s="2" t="b">
        <f t="shared" ref="W134:W135" si="2440">AND(NOT(K134), NOT(J134))</f>
        <v>0</v>
      </c>
      <c r="X134" s="2" t="b">
        <f t="shared" ref="X134" si="2441">NOT(K133)</f>
        <v>0</v>
      </c>
      <c r="Y134" s="2" t="b">
        <f t="shared" ref="Y134:Y135" si="2442">AND(NOT(K134), NOT(J134))</f>
        <v>0</v>
      </c>
      <c r="Z134" s="2" t="b">
        <f t="shared" ref="Z134" si="2443">OR(I134, J134)</f>
        <v>0</v>
      </c>
      <c r="AC134" s="2" t="b">
        <f t="shared" ref="AC134" si="2444">AND(NOT(K134), NOT(J134))</f>
        <v>0</v>
      </c>
      <c r="AD134" s="2" t="b">
        <f t="shared" ref="AD134" si="2445">J134</f>
        <v>0</v>
      </c>
      <c r="AE134" s="2" t="b">
        <f t="shared" ref="AE134" si="2446">AND(NOT(K134), NOT(J134))</f>
        <v>0</v>
      </c>
      <c r="AF134" s="2" t="b">
        <f t="shared" ref="AF134" si="2447">J134</f>
        <v>0</v>
      </c>
      <c r="AI134" s="2" t="b">
        <f t="shared" ref="AI134" si="2448">AND(NOT(J134), NOT(K134))</f>
        <v>0</v>
      </c>
      <c r="AJ134" s="2" t="b">
        <f t="shared" ref="AJ134" si="2449">OR(I134, J134)</f>
        <v>0</v>
      </c>
      <c r="AK134" s="2" t="b">
        <f t="shared" ref="AK134" si="2450">OR(I134, J134)</f>
        <v>0</v>
      </c>
      <c r="AN134" s="2" t="b">
        <f t="shared" ref="AN134" si="2451">OR(I134, J134)</f>
        <v>0</v>
      </c>
      <c r="AO134" s="2" t="b">
        <f t="shared" ref="AO134" si="2452">J134</f>
        <v>0</v>
      </c>
      <c r="AR134" s="2" t="b">
        <f t="shared" si="2427"/>
        <v>0</v>
      </c>
      <c r="AS134" s="2" t="b">
        <f t="shared" ref="AS134" si="2453">OR(I134, J134)</f>
        <v>0</v>
      </c>
      <c r="AT134" s="2" t="b">
        <f t="shared" ref="AT134" si="2454">OR(I134, J134)</f>
        <v>0</v>
      </c>
      <c r="AW134" s="2" t="b">
        <f t="shared" ref="AW134" si="2455">J134</f>
        <v>0</v>
      </c>
      <c r="AX134" s="2" t="b">
        <f t="shared" ref="AX134" si="2456">J134</f>
        <v>0</v>
      </c>
      <c r="AY134" s="2" t="b">
        <f t="shared" ref="AY134" si="2457">J134</f>
        <v>0</v>
      </c>
    </row>
    <row r="135" spans="2:51" ht="18" customHeight="1" x14ac:dyDescent="0.3">
      <c r="B135" s="416"/>
      <c r="C135" s="332"/>
      <c r="D135" s="332"/>
      <c r="E135" s="2" t="s">
        <v>235</v>
      </c>
      <c r="F135" s="2" t="str">
        <f>IF('Full Season Entries'!M38 &lt;&gt; "", LEFT('Full Season Entries'!M38, 1), "")</f>
        <v/>
      </c>
      <c r="G135" s="2" t="b">
        <f t="shared" si="2433"/>
        <v>0</v>
      </c>
      <c r="H135" s="2" t="b">
        <f t="shared" si="2434"/>
        <v>0</v>
      </c>
      <c r="I135" s="2" t="b">
        <f t="shared" si="2435"/>
        <v>0</v>
      </c>
      <c r="J135" s="2" t="b">
        <f t="shared" si="2436"/>
        <v>0</v>
      </c>
      <c r="K135" s="27" t="b">
        <f t="shared" si="2437"/>
        <v>1</v>
      </c>
      <c r="L135" s="416"/>
      <c r="O135" s="1" t="s">
        <v>387</v>
      </c>
      <c r="P135" s="1" t="b">
        <f t="shared" ref="P135" si="2458">OR(IF(D133 = 2, TRUE, FALSE), IF(D133 = 4, TRUE, FALSE))</f>
        <v>0</v>
      </c>
      <c r="Q135" s="1">
        <f t="shared" si="1268"/>
        <v>0</v>
      </c>
      <c r="T135" s="2" t="b">
        <f t="shared" ref="T135" si="2459">IF(D133 = 0, FALSE, IF(C133 = 1, CHOOSE(D133, W135, X135, Y135, Z135), IF(C133 = 2, CHOOSE(D133, AC135, AD135, AE135, AF135), IF(C133 = 2.1, K135, IF(C133 = 3, CHOOSE(D133, AI135, AJ135, AK135), IF(C133 = 4, CHOOSE(D133, AN135, AO135), IF(C133 = 5, CHOOSE(D133, AR135, AS135, AT135), IF(C133 = 7, CHOOSE(D133, AW135, AX135, AY135), FALSE))))))))</f>
        <v>0</v>
      </c>
      <c r="W135" s="2" t="b">
        <f t="shared" si="2440"/>
        <v>0</v>
      </c>
      <c r="X135" s="2" t="b">
        <f t="shared" ref="X135" si="2460">OR(I135, J135)</f>
        <v>0</v>
      </c>
      <c r="Y135" s="2" t="b">
        <f t="shared" si="2442"/>
        <v>0</v>
      </c>
      <c r="Z135" s="2" t="b">
        <f t="shared" ref="Z135" si="2461">J135</f>
        <v>0</v>
      </c>
      <c r="AC135" s="2" t="b">
        <f t="shared" ref="AC135" si="2462">NOT(K135)</f>
        <v>0</v>
      </c>
      <c r="AD135" s="2" t="b">
        <f t="shared" ref="AD135" si="2463">OR(I135, J135)</f>
        <v>0</v>
      </c>
      <c r="AE135" s="2" t="b">
        <f t="shared" ref="AE135" si="2464">NOT(K135)</f>
        <v>0</v>
      </c>
      <c r="AF135" s="2" t="b">
        <f t="shared" ref="AF135" si="2465">OR(I135, J135)</f>
        <v>0</v>
      </c>
      <c r="AI135" s="2" t="b">
        <f t="shared" ref="AI135" si="2466">AND(OR(I135, J135), NOT(K135))</f>
        <v>0</v>
      </c>
      <c r="AJ135" s="2" t="b">
        <f t="shared" ref="AJ135" si="2467">J135</f>
        <v>0</v>
      </c>
      <c r="AK135" s="2" t="b">
        <f t="shared" ref="AK135" si="2468">J135</f>
        <v>0</v>
      </c>
      <c r="AN135" s="2" t="b">
        <f t="shared" ref="AN135:AN136" si="2469">K135</f>
        <v>1</v>
      </c>
      <c r="AO135" s="2" t="b">
        <f t="shared" ref="AO135:AO136" si="2470">K135</f>
        <v>1</v>
      </c>
      <c r="AR135" s="2" t="b">
        <f t="shared" si="2427"/>
        <v>0</v>
      </c>
      <c r="AS135" s="2" t="b">
        <f t="shared" ref="AS135" si="2471">J135</f>
        <v>0</v>
      </c>
      <c r="AT135" s="2" t="b">
        <f t="shared" ref="AT135" si="2472">J135</f>
        <v>0</v>
      </c>
      <c r="AW135" s="2" t="b">
        <f t="shared" ref="AW135:AW136" si="2473">K135</f>
        <v>1</v>
      </c>
      <c r="AX135" s="2" t="b">
        <f t="shared" ref="AX135:AX136" si="2474">K135</f>
        <v>1</v>
      </c>
      <c r="AY135" s="2" t="b">
        <f t="shared" ref="AY135:AY136" si="2475">K135</f>
        <v>1</v>
      </c>
    </row>
    <row r="136" spans="2:51" ht="18" customHeight="1" x14ac:dyDescent="0.3">
      <c r="B136" s="412"/>
      <c r="C136" s="332"/>
      <c r="D136" s="332"/>
      <c r="E136" s="2" t="s">
        <v>236</v>
      </c>
      <c r="F136" s="2" t="str">
        <f>IF('Full Season Entries'!N38 &lt;&gt; "", LEFT('Full Season Entries'!N38, 1), "")</f>
        <v/>
      </c>
      <c r="G136" s="2" t="b">
        <f t="shared" si="2433"/>
        <v>0</v>
      </c>
      <c r="H136" s="2" t="b">
        <f t="shared" si="2434"/>
        <v>0</v>
      </c>
      <c r="I136" s="2" t="b">
        <f t="shared" si="2435"/>
        <v>0</v>
      </c>
      <c r="J136" s="2" t="b">
        <f t="shared" si="2436"/>
        <v>0</v>
      </c>
      <c r="K136" s="27" t="b">
        <f t="shared" si="2437"/>
        <v>1</v>
      </c>
      <c r="L136" s="412"/>
      <c r="O136" s="1" t="s">
        <v>388</v>
      </c>
      <c r="P136" s="1" t="b">
        <f t="shared" ref="P136" si="2476">IF(SUM(Q133:Q136) &gt; 1, TRUE, FALSE)</f>
        <v>0</v>
      </c>
      <c r="Q136" s="1">
        <f t="shared" si="1268"/>
        <v>0</v>
      </c>
      <c r="T136" s="2" t="b">
        <f t="shared" ref="T136" si="2477">IF(D133 = 0, FALSE, IF(C133 = 1, CHOOSE(D133, W136, X136, Y136, Z136), IF(C133 = 2, CHOOSE(D133, AC136, AD136, AE136, AF136), IF(C133 = 2.1, K136, IF(C133 = 3, CHOOSE(D133, AI136, AJ136, AK136), IF(C133 = 4, CHOOSE(D133, AN136, AO136), IF(C133 = 5, CHOOSE(D133, AR136, AS136, AT136), IF(C133 = 7, CHOOSE(D133, AW136, AX136, AY136), FALSE))))))))</f>
        <v>0</v>
      </c>
      <c r="W136" s="2" t="b">
        <f t="shared" ref="W136" si="2478">K136</f>
        <v>1</v>
      </c>
      <c r="X136" s="2" t="b">
        <f t="shared" ref="X136" si="2479">K136</f>
        <v>1</v>
      </c>
      <c r="Y136" s="2" t="b">
        <f t="shared" ref="Y136" si="2480">K136</f>
        <v>1</v>
      </c>
      <c r="Z136" s="2" t="b">
        <f t="shared" ref="Z136" si="2481">K136</f>
        <v>1</v>
      </c>
      <c r="AC136" s="2" t="b">
        <v>1</v>
      </c>
      <c r="AD136" s="2" t="b">
        <f t="shared" ref="AD136" si="2482">NOT(K136)</f>
        <v>0</v>
      </c>
      <c r="AE136" s="2" t="b">
        <v>1</v>
      </c>
      <c r="AF136" s="2" t="b">
        <f t="shared" ref="AF136" si="2483">NOT(K136)</f>
        <v>0</v>
      </c>
      <c r="AI136" s="2" t="b">
        <f t="shared" ref="AI136" si="2484">K136</f>
        <v>1</v>
      </c>
      <c r="AJ136" s="2" t="b">
        <f t="shared" ref="AJ136" si="2485">K136</f>
        <v>1</v>
      </c>
      <c r="AK136" s="2" t="b">
        <f t="shared" ref="AK136" si="2486">K136</f>
        <v>1</v>
      </c>
      <c r="AN136" s="2" t="b">
        <f t="shared" si="2469"/>
        <v>1</v>
      </c>
      <c r="AO136" s="2" t="b">
        <f t="shared" si="2470"/>
        <v>1</v>
      </c>
      <c r="AR136" s="2" t="b">
        <f t="shared" ref="AR136" si="2487">K136</f>
        <v>1</v>
      </c>
      <c r="AS136" s="2" t="b">
        <f t="shared" ref="AS136" si="2488">K136</f>
        <v>1</v>
      </c>
      <c r="AT136" s="2" t="b">
        <f t="shared" ref="AT136" si="2489">K136</f>
        <v>1</v>
      </c>
      <c r="AW136" s="2" t="b">
        <f t="shared" si="2473"/>
        <v>1</v>
      </c>
      <c r="AX136" s="2" t="b">
        <f t="shared" si="2474"/>
        <v>1</v>
      </c>
      <c r="AY136" s="2" t="b">
        <f t="shared" si="2475"/>
        <v>1</v>
      </c>
    </row>
    <row r="137" spans="2:51" ht="18" customHeight="1" x14ac:dyDescent="0.3">
      <c r="B137" s="415">
        <v>34</v>
      </c>
      <c r="C137" s="332">
        <f>IF('Full Season Entries'!AF39 = 2.2, 2, 'Full Season Entries'!AF39)</f>
        <v>0</v>
      </c>
      <c r="D137" s="332">
        <f>'Full Season Entries'!AG39</f>
        <v>0</v>
      </c>
      <c r="E137" s="2" t="s">
        <v>233</v>
      </c>
      <c r="F137" s="2" t="str">
        <f>IF('Full Season Entries'!K39 &lt;&gt; "", LEFT('Full Season Entries'!K39, 1), "")</f>
        <v/>
      </c>
      <c r="G137" s="2" t="b">
        <f>IF(F137 = "P", TRUE, FALSE)</f>
        <v>0</v>
      </c>
      <c r="H137" s="2" t="b">
        <f>IF(F137 = "G", TRUE, FALSE)</f>
        <v>0</v>
      </c>
      <c r="I137" s="2" t="b">
        <f>IF(F137 = "S", TRUE, FALSE)</f>
        <v>0</v>
      </c>
      <c r="J137" s="2" t="b">
        <f>IF(F137 = "B", TRUE, FALSE)</f>
        <v>0</v>
      </c>
      <c r="K137" s="27" t="b">
        <f>IF(AND(IF(G137 = FALSE, TRUE, FALSE), IF(H137 = FALSE, TRUE, FALSE), IF(I137 = FALSE, TRUE, FALSE), IF(J137 = FALSE, TRUE, FALSE)) = TRUE, TRUE, FALSE)</f>
        <v>1</v>
      </c>
      <c r="L137" s="415" t="str">
        <f>IF(P137, "", IF(AND(P138, P139), AND(T137, T138, T139, T140), AND(NOT(P140), T137, T138, T139, T140)))</f>
        <v/>
      </c>
      <c r="O137" s="1" t="s">
        <v>232</v>
      </c>
      <c r="P137" s="1" t="b">
        <f t="shared" ref="P137" si="2490">AND(K137, K138, K139, K140)</f>
        <v>1</v>
      </c>
      <c r="Q137" s="1">
        <f t="shared" si="1268"/>
        <v>0</v>
      </c>
      <c r="T137" s="2" t="b">
        <f t="shared" ref="T137" si="2491">IF(D137 = 0, FALSE, IF(C137 = 1, CHOOSE(D137, W137, X137, Y137, Z137), IF(C137 = 2, CHOOSE(D137, AC137, AD137, AE137, AF137), IF(C137 = 2.1, CHOOSE(D137, AC137, AD137, AE137, AF137), IF(C137 = 3, CHOOSE(D137, AI137, AJ137, AK137), IF(C137 = 4, CHOOSE(D137, AN137, AO137), IF(C137 = 5, CHOOSE(D137, AR137, AS137, AT137), IF(C137 = 7, CHOOSE(D137, AW137, AX137, AY137), FALSE))))))))</f>
        <v>0</v>
      </c>
      <c r="W137" s="2" t="b">
        <f t="shared" ref="W137" si="2492">AND(NOT(I137), NOT(K137), NOT(J137))</f>
        <v>0</v>
      </c>
      <c r="X137" s="2" t="b">
        <f t="shared" ref="X137" si="2493">AND(NOT(I137), NOT(K137), NOT(J137))</f>
        <v>0</v>
      </c>
      <c r="Y137" s="2" t="b">
        <f t="shared" ref="Y137" si="2494">AND(NOT(I137), NOT(K137), NOT(J137))</f>
        <v>0</v>
      </c>
      <c r="Z137" s="2" t="b">
        <f t="shared" ref="Z137" si="2495">AND(NOT(I137), NOT(K137), NOT(J137))</f>
        <v>0</v>
      </c>
      <c r="AC137" s="2" t="b">
        <f t="shared" ref="AC137" si="2496">AND(NOT(I137), NOT(K137), NOT(J137))</f>
        <v>0</v>
      </c>
      <c r="AD137" s="2" t="b">
        <f t="shared" ref="AD137" si="2497">AND(NOT(G137), NOT(K137), NOT(J137))</f>
        <v>0</v>
      </c>
      <c r="AE137" s="2" t="b">
        <f t="shared" ref="AE137" si="2498">AND(NOT(I137), NOT(K137), NOT(J137))</f>
        <v>0</v>
      </c>
      <c r="AF137" s="2" t="b">
        <f t="shared" ref="AF137" si="2499">AND(NOT(I137), NOT(K137), NOT(J137))</f>
        <v>0</v>
      </c>
      <c r="AI137" s="2" t="b">
        <f t="shared" ref="AI137" si="2500">AND(NOT(I137), NOT(K137), NOT(J137))</f>
        <v>0</v>
      </c>
      <c r="AJ137" s="2" t="b">
        <f t="shared" ref="AJ137" si="2501">AND(NOT(J137), NOT(K137))</f>
        <v>0</v>
      </c>
      <c r="AK137" s="2" t="b">
        <f t="shared" ref="AK137" si="2502">AND(NOT(I137), NOT(K137), NOT(J137))</f>
        <v>0</v>
      </c>
      <c r="AN137" s="2" t="b">
        <f t="shared" ref="AN137" si="2503">AND(NOT(I137), NOT(K137), NOT(J137))</f>
        <v>0</v>
      </c>
      <c r="AO137" s="2" t="b">
        <f t="shared" ref="AO137" si="2504">AND(NOT(G137), NOT(J137), NOT(K137))</f>
        <v>0</v>
      </c>
      <c r="AR137" s="2" t="b">
        <f t="shared" ref="AR137:AR139" si="2505">AND(NOT(J137), NOT(K137))</f>
        <v>0</v>
      </c>
      <c r="AS137" s="2" t="b">
        <f t="shared" ref="AS137" si="2506">AND(NOT(I137), NOT(K137), NOT(J137))</f>
        <v>0</v>
      </c>
      <c r="AT137" s="2" t="b">
        <f t="shared" ref="AT137" si="2507">AND(NOT(G137), NOT(J137), NOT(K137))</f>
        <v>0</v>
      </c>
      <c r="AW137" s="2" t="b">
        <f t="shared" ref="AW137" si="2508">AND(NOT(G137), NOT(J137), NOT(K137))</f>
        <v>0</v>
      </c>
      <c r="AX137" s="2" t="b">
        <f t="shared" ref="AX137" si="2509">AND(NOT(J137), NOT(K137))</f>
        <v>0</v>
      </c>
      <c r="AY137" s="2" t="b">
        <f t="shared" ref="AY137" si="2510">AND(NOT(G137), NOT(J137), NOT(K137))</f>
        <v>0</v>
      </c>
    </row>
    <row r="138" spans="2:51" ht="18" customHeight="1" x14ac:dyDescent="0.3">
      <c r="B138" s="416"/>
      <c r="C138" s="332"/>
      <c r="D138" s="332"/>
      <c r="E138" s="2" t="s">
        <v>234</v>
      </c>
      <c r="F138" s="2" t="str">
        <f>IF('Full Season Entries'!L39 &lt;&gt; "", LEFT('Full Season Entries'!L39, 1), "")</f>
        <v/>
      </c>
      <c r="G138" s="2" t="b">
        <f t="shared" ref="G138:G140" si="2511">IF(F138 = "P", TRUE, FALSE)</f>
        <v>0</v>
      </c>
      <c r="H138" s="2" t="b">
        <f t="shared" ref="H138:H140" si="2512">IF(F138 = "G", TRUE, FALSE)</f>
        <v>0</v>
      </c>
      <c r="I138" s="2" t="b">
        <f t="shared" ref="I138:I140" si="2513">IF(F138 = "S", TRUE, FALSE)</f>
        <v>0</v>
      </c>
      <c r="J138" s="2" t="b">
        <f t="shared" ref="J138:J140" si="2514">IF(F138 = "B", TRUE, FALSE)</f>
        <v>0</v>
      </c>
      <c r="K138" s="27" t="b">
        <f t="shared" ref="K138:K140" si="2515">IF(AND(IF(G138 = FALSE, TRUE, FALSE), IF(H138 = FALSE, TRUE, FALSE), IF(I138 = FALSE, TRUE, FALSE), IF(J138 = FALSE, TRUE, FALSE)) = TRUE, TRUE, FALSE)</f>
        <v>1</v>
      </c>
      <c r="L138" s="416"/>
      <c r="O138" s="1" t="s">
        <v>386</v>
      </c>
      <c r="P138" s="1" t="b">
        <f t="shared" ref="P138" si="2516">OR(IF(C137 = 2, TRUE, FALSE), IF(C137 = 2.2, TRUE, FALSE))</f>
        <v>0</v>
      </c>
      <c r="Q138" s="1">
        <f t="shared" ref="Q138:Q144" si="2517">IF(J138, 1, 0)</f>
        <v>0</v>
      </c>
      <c r="T138" s="2" t="b">
        <f t="shared" ref="T138" si="2518">IF(D137 = 0, FALSE, IF(C137 = 1, CHOOSE(D137, W138, X138, Y138, Z138), IF(C137 = 2, CHOOSE(D137, AC138, AD138, AE138, AF138), IF(C137 = 2.1, CHOOSE(D137, AC138, AD138, AE138, AF138), IF(C137 = 3, CHOOSE(D137, AI138, AJ138, AK138), IF(C137 = 4, CHOOSE(D137, AN138, AO138), IF(C137 = 5, CHOOSE(D137, AR138, AS138, AT138), IF(C137 = 7, CHOOSE(D137, AW138, AX138, AY138), FALSE))))))))</f>
        <v>0</v>
      </c>
      <c r="W138" s="2" t="b">
        <f t="shared" ref="W138:W139" si="2519">AND(NOT(K138), NOT(J138))</f>
        <v>0</v>
      </c>
      <c r="X138" s="2" t="b">
        <f t="shared" ref="X138" si="2520">NOT(K137)</f>
        <v>0</v>
      </c>
      <c r="Y138" s="2" t="b">
        <f t="shared" ref="Y138:Y139" si="2521">AND(NOT(K138), NOT(J138))</f>
        <v>0</v>
      </c>
      <c r="Z138" s="2" t="b">
        <f t="shared" ref="Z138" si="2522">OR(I138, J138)</f>
        <v>0</v>
      </c>
      <c r="AC138" s="2" t="b">
        <f t="shared" ref="AC138" si="2523">AND(NOT(K138), NOT(J138))</f>
        <v>0</v>
      </c>
      <c r="AD138" s="2" t="b">
        <f t="shared" ref="AD138" si="2524">J138</f>
        <v>0</v>
      </c>
      <c r="AE138" s="2" t="b">
        <f t="shared" ref="AE138" si="2525">AND(NOT(K138), NOT(J138))</f>
        <v>0</v>
      </c>
      <c r="AF138" s="2" t="b">
        <f t="shared" ref="AF138" si="2526">J138</f>
        <v>0</v>
      </c>
      <c r="AI138" s="2" t="b">
        <f t="shared" ref="AI138" si="2527">AND(NOT(J138), NOT(K138))</f>
        <v>0</v>
      </c>
      <c r="AJ138" s="2" t="b">
        <f t="shared" ref="AJ138" si="2528">OR(I138, J138)</f>
        <v>0</v>
      </c>
      <c r="AK138" s="2" t="b">
        <f t="shared" ref="AK138" si="2529">OR(I138, J138)</f>
        <v>0</v>
      </c>
      <c r="AN138" s="2" t="b">
        <f t="shared" ref="AN138" si="2530">OR(I138, J138)</f>
        <v>0</v>
      </c>
      <c r="AO138" s="2" t="b">
        <f t="shared" ref="AO138" si="2531">J138</f>
        <v>0</v>
      </c>
      <c r="AR138" s="2" t="b">
        <f t="shared" si="2505"/>
        <v>0</v>
      </c>
      <c r="AS138" s="2" t="b">
        <f t="shared" ref="AS138" si="2532">OR(I138, J138)</f>
        <v>0</v>
      </c>
      <c r="AT138" s="2" t="b">
        <f t="shared" ref="AT138" si="2533">OR(I138, J138)</f>
        <v>0</v>
      </c>
      <c r="AW138" s="2" t="b">
        <f t="shared" ref="AW138" si="2534">J138</f>
        <v>0</v>
      </c>
      <c r="AX138" s="2" t="b">
        <f t="shared" ref="AX138" si="2535">J138</f>
        <v>0</v>
      </c>
      <c r="AY138" s="2" t="b">
        <f t="shared" ref="AY138" si="2536">J138</f>
        <v>0</v>
      </c>
    </row>
    <row r="139" spans="2:51" ht="18" customHeight="1" x14ac:dyDescent="0.3">
      <c r="B139" s="416"/>
      <c r="C139" s="332"/>
      <c r="D139" s="332"/>
      <c r="E139" s="2" t="s">
        <v>235</v>
      </c>
      <c r="F139" s="2" t="str">
        <f>IF('Full Season Entries'!M39 &lt;&gt; "", LEFT('Full Season Entries'!M39, 1), "")</f>
        <v/>
      </c>
      <c r="G139" s="2" t="b">
        <f t="shared" si="2511"/>
        <v>0</v>
      </c>
      <c r="H139" s="2" t="b">
        <f t="shared" si="2512"/>
        <v>0</v>
      </c>
      <c r="I139" s="2" t="b">
        <f t="shared" si="2513"/>
        <v>0</v>
      </c>
      <c r="J139" s="2" t="b">
        <f t="shared" si="2514"/>
        <v>0</v>
      </c>
      <c r="K139" s="27" t="b">
        <f t="shared" si="2515"/>
        <v>1</v>
      </c>
      <c r="L139" s="416"/>
      <c r="O139" s="1" t="s">
        <v>387</v>
      </c>
      <c r="P139" s="1" t="b">
        <f t="shared" ref="P139" si="2537">OR(IF(D137 = 2, TRUE, FALSE), IF(D137 = 4, TRUE, FALSE))</f>
        <v>0</v>
      </c>
      <c r="Q139" s="1">
        <f t="shared" si="2517"/>
        <v>0</v>
      </c>
      <c r="T139" s="2" t="b">
        <f t="shared" ref="T139" si="2538">IF(D137 = 0, FALSE, IF(C137 = 1, CHOOSE(D137, W139, X139, Y139, Z139), IF(C137 = 2, CHOOSE(D137, AC139, AD139, AE139, AF139), IF(C137 = 2.1, K139, IF(C137 = 3, CHOOSE(D137, AI139, AJ139, AK139), IF(C137 = 4, CHOOSE(D137, AN139, AO139), IF(C137 = 5, CHOOSE(D137, AR139, AS139, AT139), IF(C137 = 7, CHOOSE(D137, AW139, AX139, AY139), FALSE))))))))</f>
        <v>0</v>
      </c>
      <c r="W139" s="2" t="b">
        <f t="shared" si="2519"/>
        <v>0</v>
      </c>
      <c r="X139" s="2" t="b">
        <f t="shared" ref="X139" si="2539">OR(I139, J139)</f>
        <v>0</v>
      </c>
      <c r="Y139" s="2" t="b">
        <f t="shared" si="2521"/>
        <v>0</v>
      </c>
      <c r="Z139" s="2" t="b">
        <f t="shared" ref="Z139" si="2540">J139</f>
        <v>0</v>
      </c>
      <c r="AC139" s="2" t="b">
        <f t="shared" ref="AC139" si="2541">NOT(K139)</f>
        <v>0</v>
      </c>
      <c r="AD139" s="2" t="b">
        <f t="shared" ref="AD139" si="2542">OR(I139, J139)</f>
        <v>0</v>
      </c>
      <c r="AE139" s="2" t="b">
        <f t="shared" ref="AE139" si="2543">NOT(K139)</f>
        <v>0</v>
      </c>
      <c r="AF139" s="2" t="b">
        <f t="shared" ref="AF139" si="2544">OR(I139, J139)</f>
        <v>0</v>
      </c>
      <c r="AI139" s="2" t="b">
        <f t="shared" ref="AI139" si="2545">AND(OR(I139, J139), NOT(K139))</f>
        <v>0</v>
      </c>
      <c r="AJ139" s="2" t="b">
        <f t="shared" ref="AJ139" si="2546">J139</f>
        <v>0</v>
      </c>
      <c r="AK139" s="2" t="b">
        <f t="shared" ref="AK139" si="2547">J139</f>
        <v>0</v>
      </c>
      <c r="AN139" s="2" t="b">
        <f t="shared" ref="AN139:AN140" si="2548">K139</f>
        <v>1</v>
      </c>
      <c r="AO139" s="2" t="b">
        <f t="shared" ref="AO139:AO140" si="2549">K139</f>
        <v>1</v>
      </c>
      <c r="AR139" s="2" t="b">
        <f t="shared" si="2505"/>
        <v>0</v>
      </c>
      <c r="AS139" s="2" t="b">
        <f t="shared" ref="AS139" si="2550">J139</f>
        <v>0</v>
      </c>
      <c r="AT139" s="2" t="b">
        <f t="shared" ref="AT139" si="2551">J139</f>
        <v>0</v>
      </c>
      <c r="AW139" s="2" t="b">
        <f t="shared" ref="AW139:AW140" si="2552">K139</f>
        <v>1</v>
      </c>
      <c r="AX139" s="2" t="b">
        <f t="shared" ref="AX139:AX140" si="2553">K139</f>
        <v>1</v>
      </c>
      <c r="AY139" s="2" t="b">
        <f t="shared" ref="AY139:AY140" si="2554">K139</f>
        <v>1</v>
      </c>
    </row>
    <row r="140" spans="2:51" ht="18" customHeight="1" x14ac:dyDescent="0.3">
      <c r="B140" s="412"/>
      <c r="C140" s="332"/>
      <c r="D140" s="332"/>
      <c r="E140" s="2" t="s">
        <v>236</v>
      </c>
      <c r="F140" s="2" t="str">
        <f>IF('Full Season Entries'!N39 &lt;&gt; "", LEFT('Full Season Entries'!N39, 1), "")</f>
        <v/>
      </c>
      <c r="G140" s="2" t="b">
        <f t="shared" si="2511"/>
        <v>0</v>
      </c>
      <c r="H140" s="2" t="b">
        <f t="shared" si="2512"/>
        <v>0</v>
      </c>
      <c r="I140" s="2" t="b">
        <f t="shared" si="2513"/>
        <v>0</v>
      </c>
      <c r="J140" s="2" t="b">
        <f t="shared" si="2514"/>
        <v>0</v>
      </c>
      <c r="K140" s="27" t="b">
        <f t="shared" si="2515"/>
        <v>1</v>
      </c>
      <c r="L140" s="412"/>
      <c r="O140" s="1" t="s">
        <v>388</v>
      </c>
      <c r="P140" s="1" t="b">
        <f t="shared" ref="P140" si="2555">IF(SUM(Q137:Q140) &gt; 1, TRUE, FALSE)</f>
        <v>0</v>
      </c>
      <c r="Q140" s="1">
        <f t="shared" si="2517"/>
        <v>0</v>
      </c>
      <c r="T140" s="2" t="b">
        <f t="shared" ref="T140" si="2556">IF(D137 = 0, FALSE, IF(C137 = 1, CHOOSE(D137, W140, X140, Y140, Z140), IF(C137 = 2, CHOOSE(D137, AC140, AD140, AE140, AF140), IF(C137 = 2.1, K140, IF(C137 = 3, CHOOSE(D137, AI140, AJ140, AK140), IF(C137 = 4, CHOOSE(D137, AN140, AO140), IF(C137 = 5, CHOOSE(D137, AR140, AS140, AT140), IF(C137 = 7, CHOOSE(D137, AW140, AX140, AY140), FALSE))))))))</f>
        <v>0</v>
      </c>
      <c r="W140" s="2" t="b">
        <f t="shared" ref="W140" si="2557">K140</f>
        <v>1</v>
      </c>
      <c r="X140" s="2" t="b">
        <f t="shared" ref="X140" si="2558">K140</f>
        <v>1</v>
      </c>
      <c r="Y140" s="2" t="b">
        <f t="shared" ref="Y140" si="2559">K140</f>
        <v>1</v>
      </c>
      <c r="Z140" s="2" t="b">
        <f t="shared" ref="Z140" si="2560">K140</f>
        <v>1</v>
      </c>
      <c r="AC140" s="2" t="b">
        <v>1</v>
      </c>
      <c r="AD140" s="2" t="b">
        <f t="shared" ref="AD140" si="2561">NOT(K140)</f>
        <v>0</v>
      </c>
      <c r="AE140" s="2" t="b">
        <v>1</v>
      </c>
      <c r="AF140" s="2" t="b">
        <f t="shared" ref="AF140" si="2562">NOT(K140)</f>
        <v>0</v>
      </c>
      <c r="AI140" s="2" t="b">
        <f t="shared" ref="AI140" si="2563">K140</f>
        <v>1</v>
      </c>
      <c r="AJ140" s="2" t="b">
        <f t="shared" ref="AJ140" si="2564">K140</f>
        <v>1</v>
      </c>
      <c r="AK140" s="2" t="b">
        <f t="shared" ref="AK140" si="2565">K140</f>
        <v>1</v>
      </c>
      <c r="AN140" s="2" t="b">
        <f t="shared" si="2548"/>
        <v>1</v>
      </c>
      <c r="AO140" s="2" t="b">
        <f t="shared" si="2549"/>
        <v>1</v>
      </c>
      <c r="AR140" s="2" t="b">
        <f t="shared" ref="AR140" si="2566">K140</f>
        <v>1</v>
      </c>
      <c r="AS140" s="2" t="b">
        <f t="shared" ref="AS140" si="2567">K140</f>
        <v>1</v>
      </c>
      <c r="AT140" s="2" t="b">
        <f t="shared" ref="AT140" si="2568">K140</f>
        <v>1</v>
      </c>
      <c r="AW140" s="2" t="b">
        <f t="shared" si="2552"/>
        <v>1</v>
      </c>
      <c r="AX140" s="2" t="b">
        <f t="shared" si="2553"/>
        <v>1</v>
      </c>
      <c r="AY140" s="2" t="b">
        <f t="shared" si="2554"/>
        <v>1</v>
      </c>
    </row>
    <row r="141" spans="2:51" ht="18" customHeight="1" x14ac:dyDescent="0.3">
      <c r="B141" s="415">
        <v>35</v>
      </c>
      <c r="C141" s="332">
        <f>IF('Full Season Entries'!AF40 = 2.2, 2, 'Full Season Entries'!AF40)</f>
        <v>0</v>
      </c>
      <c r="D141" s="332">
        <f>'Full Season Entries'!AG40</f>
        <v>0</v>
      </c>
      <c r="E141" s="2" t="s">
        <v>233</v>
      </c>
      <c r="F141" s="2" t="str">
        <f>IF('Full Season Entries'!K40 &lt;&gt; "", LEFT('Full Season Entries'!K40, 1), "")</f>
        <v/>
      </c>
      <c r="G141" s="2" t="b">
        <f>IF(F141 = "P", TRUE, FALSE)</f>
        <v>0</v>
      </c>
      <c r="H141" s="2" t="b">
        <f>IF(F141 = "G", TRUE, FALSE)</f>
        <v>0</v>
      </c>
      <c r="I141" s="2" t="b">
        <f>IF(F141 = "S", TRUE, FALSE)</f>
        <v>0</v>
      </c>
      <c r="J141" s="2" t="b">
        <f>IF(F141 = "B", TRUE, FALSE)</f>
        <v>0</v>
      </c>
      <c r="K141" s="27" t="b">
        <f>IF(AND(IF(G141 = FALSE, TRUE, FALSE), IF(H141 = FALSE, TRUE, FALSE), IF(I141 = FALSE, TRUE, FALSE), IF(J141 = FALSE, TRUE, FALSE)) = TRUE, TRUE, FALSE)</f>
        <v>1</v>
      </c>
      <c r="L141" s="415" t="str">
        <f>IF(P141, "", IF(AND(P142, P143), AND(T141, T142, T143, T144), AND(NOT(P144), T141, T142, T143, T144)))</f>
        <v/>
      </c>
      <c r="O141" s="1" t="s">
        <v>232</v>
      </c>
      <c r="P141" s="1" t="b">
        <f t="shared" ref="P141" si="2569">AND(K141, K142, K143, K144)</f>
        <v>1</v>
      </c>
      <c r="Q141" s="1">
        <f t="shared" si="2517"/>
        <v>0</v>
      </c>
      <c r="T141" s="2" t="b">
        <f t="shared" ref="T141" si="2570">IF(D141 = 0, FALSE, IF(C141 = 1, CHOOSE(D141, W141, X141, Y141, Z141), IF(C141 = 2, CHOOSE(D141, AC141, AD141, AE141, AF141), IF(C141 = 2.1, CHOOSE(D141, AC141, AD141, AE141, AF141), IF(C141 = 3, CHOOSE(D141, AI141, AJ141, AK141), IF(C141 = 4, CHOOSE(D141, AN141, AO141), IF(C141 = 5, CHOOSE(D141, AR141, AS141, AT141), IF(C141 = 7, CHOOSE(D141, AW141, AX141, AY141), FALSE))))))))</f>
        <v>0</v>
      </c>
      <c r="W141" s="2" t="b">
        <f t="shared" ref="W141" si="2571">AND(NOT(I141), NOT(K141), NOT(J141))</f>
        <v>0</v>
      </c>
      <c r="X141" s="2" t="b">
        <f t="shared" ref="X141" si="2572">AND(NOT(I141), NOT(K141), NOT(J141))</f>
        <v>0</v>
      </c>
      <c r="Y141" s="2" t="b">
        <f t="shared" ref="Y141" si="2573">AND(NOT(I141), NOT(K141), NOT(J141))</f>
        <v>0</v>
      </c>
      <c r="Z141" s="2" t="b">
        <f t="shared" ref="Z141" si="2574">AND(NOT(I141), NOT(K141), NOT(J141))</f>
        <v>0</v>
      </c>
      <c r="AC141" s="2" t="b">
        <f t="shared" ref="AC141" si="2575">AND(NOT(I141), NOT(K141), NOT(J141))</f>
        <v>0</v>
      </c>
      <c r="AD141" s="2" t="b">
        <f t="shared" ref="AD141" si="2576">AND(NOT(G141), NOT(K141), NOT(J141))</f>
        <v>0</v>
      </c>
      <c r="AE141" s="2" t="b">
        <f t="shared" ref="AE141" si="2577">AND(NOT(I141), NOT(K141), NOT(J141))</f>
        <v>0</v>
      </c>
      <c r="AF141" s="2" t="b">
        <f t="shared" ref="AF141" si="2578">AND(NOT(I141), NOT(K141), NOT(J141))</f>
        <v>0</v>
      </c>
      <c r="AI141" s="2" t="b">
        <f t="shared" ref="AI141" si="2579">AND(NOT(I141), NOT(K141), NOT(J141))</f>
        <v>0</v>
      </c>
      <c r="AJ141" s="2" t="b">
        <f t="shared" ref="AJ141" si="2580">AND(NOT(J141), NOT(K141))</f>
        <v>0</v>
      </c>
      <c r="AK141" s="2" t="b">
        <f t="shared" ref="AK141" si="2581">AND(NOT(I141), NOT(K141), NOT(J141))</f>
        <v>0</v>
      </c>
      <c r="AN141" s="2" t="b">
        <f t="shared" ref="AN141" si="2582">AND(NOT(I141), NOT(K141), NOT(J141))</f>
        <v>0</v>
      </c>
      <c r="AO141" s="2" t="b">
        <f t="shared" ref="AO141" si="2583">AND(NOT(G141), NOT(J141), NOT(K141))</f>
        <v>0</v>
      </c>
      <c r="AR141" s="2" t="b">
        <f t="shared" ref="AR141:AR143" si="2584">AND(NOT(J141), NOT(K141))</f>
        <v>0</v>
      </c>
      <c r="AS141" s="2" t="b">
        <f t="shared" ref="AS141" si="2585">AND(NOT(I141), NOT(K141), NOT(J141))</f>
        <v>0</v>
      </c>
      <c r="AT141" s="2" t="b">
        <f t="shared" ref="AT141" si="2586">AND(NOT(G141), NOT(J141), NOT(K141))</f>
        <v>0</v>
      </c>
      <c r="AW141" s="2" t="b">
        <f t="shared" ref="AW141" si="2587">AND(NOT(G141), NOT(J141), NOT(K141))</f>
        <v>0</v>
      </c>
      <c r="AX141" s="2" t="b">
        <f t="shared" ref="AX141" si="2588">AND(NOT(J141), NOT(K141))</f>
        <v>0</v>
      </c>
      <c r="AY141" s="2" t="b">
        <f t="shared" ref="AY141" si="2589">AND(NOT(G141), NOT(J141), NOT(K141))</f>
        <v>0</v>
      </c>
    </row>
    <row r="142" spans="2:51" ht="18" customHeight="1" x14ac:dyDescent="0.3">
      <c r="B142" s="416"/>
      <c r="C142" s="332"/>
      <c r="D142" s="332"/>
      <c r="E142" s="2" t="s">
        <v>234</v>
      </c>
      <c r="F142" s="2" t="str">
        <f>IF('Full Season Entries'!L40 &lt;&gt; "", LEFT('Full Season Entries'!L40, 1), "")</f>
        <v/>
      </c>
      <c r="G142" s="2" t="b">
        <f t="shared" ref="G142:G144" si="2590">IF(F142 = "P", TRUE, FALSE)</f>
        <v>0</v>
      </c>
      <c r="H142" s="2" t="b">
        <f t="shared" ref="H142:H144" si="2591">IF(F142 = "G", TRUE, FALSE)</f>
        <v>0</v>
      </c>
      <c r="I142" s="2" t="b">
        <f t="shared" ref="I142:I144" si="2592">IF(F142 = "S", TRUE, FALSE)</f>
        <v>0</v>
      </c>
      <c r="J142" s="2" t="b">
        <f t="shared" ref="J142:J144" si="2593">IF(F142 = "B", TRUE, FALSE)</f>
        <v>0</v>
      </c>
      <c r="K142" s="27" t="b">
        <f t="shared" ref="K142:K144" si="2594">IF(AND(IF(G142 = FALSE, TRUE, FALSE), IF(H142 = FALSE, TRUE, FALSE), IF(I142 = FALSE, TRUE, FALSE), IF(J142 = FALSE, TRUE, FALSE)) = TRUE, TRUE, FALSE)</f>
        <v>1</v>
      </c>
      <c r="L142" s="416"/>
      <c r="O142" s="1" t="s">
        <v>386</v>
      </c>
      <c r="P142" s="1" t="b">
        <f t="shared" ref="P142" si="2595">OR(IF(C141 = 2, TRUE, FALSE), IF(C141 = 2.2, TRUE, FALSE))</f>
        <v>0</v>
      </c>
      <c r="Q142" s="1">
        <f t="shared" si="2517"/>
        <v>0</v>
      </c>
      <c r="T142" s="2" t="b">
        <f t="shared" ref="T142" si="2596">IF(D141 = 0, FALSE, IF(C141 = 1, CHOOSE(D141, W142, X142, Y142, Z142), IF(C141 = 2, CHOOSE(D141, AC142, AD142, AE142, AF142), IF(C141 = 2.1, CHOOSE(D141, AC142, AD142, AE142, AF142), IF(C141 = 3, CHOOSE(D141, AI142, AJ142, AK142), IF(C141 = 4, CHOOSE(D141, AN142, AO142), IF(C141 = 5, CHOOSE(D141, AR142, AS142, AT142), IF(C141 = 7, CHOOSE(D141, AW142, AX142, AY142), FALSE))))))))</f>
        <v>0</v>
      </c>
      <c r="W142" s="2" t="b">
        <f t="shared" ref="W142:W143" si="2597">AND(NOT(K142), NOT(J142))</f>
        <v>0</v>
      </c>
      <c r="X142" s="2" t="b">
        <f t="shared" ref="X142" si="2598">NOT(K141)</f>
        <v>0</v>
      </c>
      <c r="Y142" s="2" t="b">
        <f t="shared" ref="Y142:Y143" si="2599">AND(NOT(K142), NOT(J142))</f>
        <v>0</v>
      </c>
      <c r="Z142" s="2" t="b">
        <f t="shared" ref="Z142" si="2600">OR(I142, J142)</f>
        <v>0</v>
      </c>
      <c r="AC142" s="2" t="b">
        <f t="shared" ref="AC142" si="2601">AND(NOT(K142), NOT(J142))</f>
        <v>0</v>
      </c>
      <c r="AD142" s="2" t="b">
        <f t="shared" ref="AD142" si="2602">J142</f>
        <v>0</v>
      </c>
      <c r="AE142" s="2" t="b">
        <f t="shared" ref="AE142" si="2603">AND(NOT(K142), NOT(J142))</f>
        <v>0</v>
      </c>
      <c r="AF142" s="2" t="b">
        <f t="shared" ref="AF142" si="2604">J142</f>
        <v>0</v>
      </c>
      <c r="AI142" s="2" t="b">
        <f t="shared" ref="AI142" si="2605">AND(NOT(J142), NOT(K142))</f>
        <v>0</v>
      </c>
      <c r="AJ142" s="2" t="b">
        <f t="shared" ref="AJ142" si="2606">OR(I142, J142)</f>
        <v>0</v>
      </c>
      <c r="AK142" s="2" t="b">
        <f t="shared" ref="AK142" si="2607">OR(I142, J142)</f>
        <v>0</v>
      </c>
      <c r="AN142" s="2" t="b">
        <f t="shared" ref="AN142" si="2608">OR(I142, J142)</f>
        <v>0</v>
      </c>
      <c r="AO142" s="2" t="b">
        <f t="shared" ref="AO142" si="2609">J142</f>
        <v>0</v>
      </c>
      <c r="AR142" s="2" t="b">
        <f t="shared" si="2584"/>
        <v>0</v>
      </c>
      <c r="AS142" s="2" t="b">
        <f t="shared" ref="AS142" si="2610">OR(I142, J142)</f>
        <v>0</v>
      </c>
      <c r="AT142" s="2" t="b">
        <f t="shared" ref="AT142" si="2611">OR(I142, J142)</f>
        <v>0</v>
      </c>
      <c r="AW142" s="2" t="b">
        <f t="shared" ref="AW142" si="2612">J142</f>
        <v>0</v>
      </c>
      <c r="AX142" s="2" t="b">
        <f t="shared" ref="AX142" si="2613">J142</f>
        <v>0</v>
      </c>
      <c r="AY142" s="2" t="b">
        <f t="shared" ref="AY142" si="2614">J142</f>
        <v>0</v>
      </c>
    </row>
    <row r="143" spans="2:51" ht="18" customHeight="1" x14ac:dyDescent="0.3">
      <c r="B143" s="416"/>
      <c r="C143" s="332"/>
      <c r="D143" s="332"/>
      <c r="E143" s="2" t="s">
        <v>235</v>
      </c>
      <c r="F143" s="2" t="str">
        <f>IF('Full Season Entries'!M40 &lt;&gt; "", LEFT('Full Season Entries'!M40, 1), "")</f>
        <v/>
      </c>
      <c r="G143" s="2" t="b">
        <f t="shared" si="2590"/>
        <v>0</v>
      </c>
      <c r="H143" s="2" t="b">
        <f t="shared" si="2591"/>
        <v>0</v>
      </c>
      <c r="I143" s="2" t="b">
        <f t="shared" si="2592"/>
        <v>0</v>
      </c>
      <c r="J143" s="2" t="b">
        <f t="shared" si="2593"/>
        <v>0</v>
      </c>
      <c r="K143" s="27" t="b">
        <f t="shared" si="2594"/>
        <v>1</v>
      </c>
      <c r="L143" s="416"/>
      <c r="O143" s="1" t="s">
        <v>387</v>
      </c>
      <c r="P143" s="1" t="b">
        <f t="shared" ref="P143" si="2615">OR(IF(D141 = 2, TRUE, FALSE), IF(D141 = 4, TRUE, FALSE))</f>
        <v>0</v>
      </c>
      <c r="Q143" s="1">
        <f t="shared" si="2517"/>
        <v>0</v>
      </c>
      <c r="T143" s="2" t="b">
        <f t="shared" ref="T143" si="2616">IF(D141 = 0, FALSE, IF(C141 = 1, CHOOSE(D141, W143, X143, Y143, Z143), IF(C141 = 2, CHOOSE(D141, AC143, AD143, AE143, AF143), IF(C141 = 2.1, K143, IF(C141 = 3, CHOOSE(D141, AI143, AJ143, AK143), IF(C141 = 4, CHOOSE(D141, AN143, AO143), IF(C141 = 5, CHOOSE(D141, AR143, AS143, AT143), IF(C141 = 7, CHOOSE(D141, AW143, AX143, AY143), FALSE))))))))</f>
        <v>0</v>
      </c>
      <c r="W143" s="2" t="b">
        <f t="shared" si="2597"/>
        <v>0</v>
      </c>
      <c r="X143" s="2" t="b">
        <f t="shared" ref="X143" si="2617">OR(I143, J143)</f>
        <v>0</v>
      </c>
      <c r="Y143" s="2" t="b">
        <f t="shared" si="2599"/>
        <v>0</v>
      </c>
      <c r="Z143" s="2" t="b">
        <f t="shared" ref="Z143" si="2618">J143</f>
        <v>0</v>
      </c>
      <c r="AC143" s="2" t="b">
        <f t="shared" ref="AC143" si="2619">NOT(K143)</f>
        <v>0</v>
      </c>
      <c r="AD143" s="2" t="b">
        <f t="shared" ref="AD143" si="2620">OR(I143, J143)</f>
        <v>0</v>
      </c>
      <c r="AE143" s="2" t="b">
        <f t="shared" ref="AE143" si="2621">NOT(K143)</f>
        <v>0</v>
      </c>
      <c r="AF143" s="2" t="b">
        <f t="shared" ref="AF143" si="2622">OR(I143, J143)</f>
        <v>0</v>
      </c>
      <c r="AI143" s="2" t="b">
        <f t="shared" ref="AI143" si="2623">AND(OR(I143, J143), NOT(K143))</f>
        <v>0</v>
      </c>
      <c r="AJ143" s="2" t="b">
        <f t="shared" ref="AJ143" si="2624">J143</f>
        <v>0</v>
      </c>
      <c r="AK143" s="2" t="b">
        <f t="shared" ref="AK143" si="2625">J143</f>
        <v>0</v>
      </c>
      <c r="AN143" s="2" t="b">
        <f t="shared" ref="AN143:AN144" si="2626">K143</f>
        <v>1</v>
      </c>
      <c r="AO143" s="2" t="b">
        <f t="shared" ref="AO143:AO144" si="2627">K143</f>
        <v>1</v>
      </c>
      <c r="AR143" s="2" t="b">
        <f t="shared" si="2584"/>
        <v>0</v>
      </c>
      <c r="AS143" s="2" t="b">
        <f t="shared" ref="AS143" si="2628">J143</f>
        <v>0</v>
      </c>
      <c r="AT143" s="2" t="b">
        <f t="shared" ref="AT143" si="2629">J143</f>
        <v>0</v>
      </c>
      <c r="AW143" s="2" t="b">
        <f t="shared" ref="AW143:AW144" si="2630">K143</f>
        <v>1</v>
      </c>
      <c r="AX143" s="2" t="b">
        <f t="shared" ref="AX143:AX144" si="2631">K143</f>
        <v>1</v>
      </c>
      <c r="AY143" s="2" t="b">
        <f t="shared" ref="AY143:AY144" si="2632">K143</f>
        <v>1</v>
      </c>
    </row>
    <row r="144" spans="2:51" ht="18" customHeight="1" x14ac:dyDescent="0.3">
      <c r="B144" s="412"/>
      <c r="C144" s="332"/>
      <c r="D144" s="332"/>
      <c r="E144" s="2" t="s">
        <v>236</v>
      </c>
      <c r="F144" s="2" t="str">
        <f>IF('Full Season Entries'!N40 &lt;&gt; "", LEFT('Full Season Entries'!N40, 1), "")</f>
        <v/>
      </c>
      <c r="G144" s="2" t="b">
        <f t="shared" si="2590"/>
        <v>0</v>
      </c>
      <c r="H144" s="2" t="b">
        <f t="shared" si="2591"/>
        <v>0</v>
      </c>
      <c r="I144" s="2" t="b">
        <f t="shared" si="2592"/>
        <v>0</v>
      </c>
      <c r="J144" s="2" t="b">
        <f t="shared" si="2593"/>
        <v>0</v>
      </c>
      <c r="K144" s="27" t="b">
        <f t="shared" si="2594"/>
        <v>1</v>
      </c>
      <c r="L144" s="412"/>
      <c r="O144" s="1" t="s">
        <v>388</v>
      </c>
      <c r="P144" s="1" t="b">
        <f t="shared" ref="P144" si="2633">IF(SUM(Q141:Q144) &gt; 1, TRUE, FALSE)</f>
        <v>0</v>
      </c>
      <c r="Q144" s="1">
        <f t="shared" si="2517"/>
        <v>0</v>
      </c>
      <c r="T144" s="2" t="b">
        <f t="shared" ref="T144" si="2634">IF(D141 = 0, FALSE, IF(C141 = 1, CHOOSE(D141, W144, X144, Y144, Z144), IF(C141 = 2, CHOOSE(D141, AC144, AD144, AE144, AF144), IF(C141 = 2.1, K144, IF(C141 = 3, CHOOSE(D141, AI144, AJ144, AK144), IF(C141 = 4, CHOOSE(D141, AN144, AO144), IF(C141 = 5, CHOOSE(D141, AR144, AS144, AT144), IF(C141 = 7, CHOOSE(D141, AW144, AX144, AY144), FALSE))))))))</f>
        <v>0</v>
      </c>
      <c r="W144" s="2" t="b">
        <f t="shared" ref="W144" si="2635">K144</f>
        <v>1</v>
      </c>
      <c r="X144" s="2" t="b">
        <f t="shared" ref="X144" si="2636">K144</f>
        <v>1</v>
      </c>
      <c r="Y144" s="2" t="b">
        <f t="shared" ref="Y144" si="2637">K144</f>
        <v>1</v>
      </c>
      <c r="Z144" s="2" t="b">
        <f t="shared" ref="Z144" si="2638">K144</f>
        <v>1</v>
      </c>
      <c r="AC144" s="2" t="b">
        <v>1</v>
      </c>
      <c r="AD144" s="2" t="b">
        <f t="shared" ref="AD144" si="2639">NOT(K144)</f>
        <v>0</v>
      </c>
      <c r="AE144" s="2" t="b">
        <v>1</v>
      </c>
      <c r="AF144" s="2" t="b">
        <f t="shared" ref="AF144" si="2640">NOT(K144)</f>
        <v>0</v>
      </c>
      <c r="AI144" s="2" t="b">
        <f t="shared" ref="AI144" si="2641">K144</f>
        <v>1</v>
      </c>
      <c r="AJ144" s="2" t="b">
        <f t="shared" ref="AJ144" si="2642">K144</f>
        <v>1</v>
      </c>
      <c r="AK144" s="2" t="b">
        <f t="shared" ref="AK144" si="2643">K144</f>
        <v>1</v>
      </c>
      <c r="AN144" s="2" t="b">
        <f t="shared" si="2626"/>
        <v>1</v>
      </c>
      <c r="AO144" s="2" t="b">
        <f t="shared" si="2627"/>
        <v>1</v>
      </c>
      <c r="AR144" s="2" t="b">
        <f t="shared" ref="AR144" si="2644">K144</f>
        <v>1</v>
      </c>
      <c r="AS144" s="2" t="b">
        <f t="shared" ref="AS144" si="2645">K144</f>
        <v>1</v>
      </c>
      <c r="AT144" s="2" t="b">
        <f t="shared" ref="AT144" si="2646">K144</f>
        <v>1</v>
      </c>
      <c r="AW144" s="2" t="b">
        <f t="shared" si="2630"/>
        <v>1</v>
      </c>
      <c r="AX144" s="2" t="b">
        <f t="shared" si="2631"/>
        <v>1</v>
      </c>
      <c r="AY144" s="2" t="b">
        <f t="shared" si="2632"/>
        <v>1</v>
      </c>
    </row>
  </sheetData>
  <mergeCells count="150">
    <mergeCell ref="B137:B140"/>
    <mergeCell ref="C137:C140"/>
    <mergeCell ref="D137:D140"/>
    <mergeCell ref="L137:L140"/>
    <mergeCell ref="B141:B144"/>
    <mergeCell ref="C141:C144"/>
    <mergeCell ref="D141:D144"/>
    <mergeCell ref="L141:L144"/>
    <mergeCell ref="B129:B132"/>
    <mergeCell ref="C129:C132"/>
    <mergeCell ref="D129:D132"/>
    <mergeCell ref="L129:L132"/>
    <mergeCell ref="B133:B136"/>
    <mergeCell ref="C133:C136"/>
    <mergeCell ref="D133:D136"/>
    <mergeCell ref="L133:L136"/>
    <mergeCell ref="B121:B124"/>
    <mergeCell ref="C121:C124"/>
    <mergeCell ref="D121:D124"/>
    <mergeCell ref="L121:L124"/>
    <mergeCell ref="B125:B128"/>
    <mergeCell ref="C125:C128"/>
    <mergeCell ref="D125:D128"/>
    <mergeCell ref="L125:L128"/>
    <mergeCell ref="B113:B116"/>
    <mergeCell ref="C113:C116"/>
    <mergeCell ref="D113:D116"/>
    <mergeCell ref="L113:L116"/>
    <mergeCell ref="B117:B120"/>
    <mergeCell ref="C117:C120"/>
    <mergeCell ref="D117:D120"/>
    <mergeCell ref="L117:L120"/>
    <mergeCell ref="B105:B108"/>
    <mergeCell ref="C105:C108"/>
    <mergeCell ref="D105:D108"/>
    <mergeCell ref="L105:L108"/>
    <mergeCell ref="B109:B112"/>
    <mergeCell ref="C109:C112"/>
    <mergeCell ref="D109:D112"/>
    <mergeCell ref="L109:L112"/>
    <mergeCell ref="B97:B100"/>
    <mergeCell ref="C97:C100"/>
    <mergeCell ref="D97:D100"/>
    <mergeCell ref="L97:L100"/>
    <mergeCell ref="B101:B104"/>
    <mergeCell ref="C101:C104"/>
    <mergeCell ref="D101:D104"/>
    <mergeCell ref="L101:L104"/>
    <mergeCell ref="B89:B92"/>
    <mergeCell ref="C89:C92"/>
    <mergeCell ref="D89:D92"/>
    <mergeCell ref="L89:L92"/>
    <mergeCell ref="B93:B96"/>
    <mergeCell ref="C93:C96"/>
    <mergeCell ref="D93:D96"/>
    <mergeCell ref="L93:L96"/>
    <mergeCell ref="B81:B84"/>
    <mergeCell ref="C81:C84"/>
    <mergeCell ref="D81:D84"/>
    <mergeCell ref="L81:L84"/>
    <mergeCell ref="B85:B88"/>
    <mergeCell ref="C85:C88"/>
    <mergeCell ref="D85:D88"/>
    <mergeCell ref="L85:L88"/>
    <mergeCell ref="B73:B76"/>
    <mergeCell ref="C73:C76"/>
    <mergeCell ref="D73:D76"/>
    <mergeCell ref="L73:L76"/>
    <mergeCell ref="B77:B80"/>
    <mergeCell ref="C77:C80"/>
    <mergeCell ref="D77:D80"/>
    <mergeCell ref="L77:L80"/>
    <mergeCell ref="B65:B68"/>
    <mergeCell ref="C65:C68"/>
    <mergeCell ref="D65:D68"/>
    <mergeCell ref="L65:L68"/>
    <mergeCell ref="B69:B72"/>
    <mergeCell ref="C69:C72"/>
    <mergeCell ref="D69:D72"/>
    <mergeCell ref="L69:L72"/>
    <mergeCell ref="B57:B60"/>
    <mergeCell ref="C57:C60"/>
    <mergeCell ref="D57:D60"/>
    <mergeCell ref="L57:L60"/>
    <mergeCell ref="B61:B64"/>
    <mergeCell ref="C61:C64"/>
    <mergeCell ref="D61:D64"/>
    <mergeCell ref="L61:L64"/>
    <mergeCell ref="B49:B52"/>
    <mergeCell ref="C49:C52"/>
    <mergeCell ref="D49:D52"/>
    <mergeCell ref="L49:L52"/>
    <mergeCell ref="B53:B56"/>
    <mergeCell ref="C53:C56"/>
    <mergeCell ref="D53:D56"/>
    <mergeCell ref="L53:L56"/>
    <mergeCell ref="B41:B44"/>
    <mergeCell ref="C41:C44"/>
    <mergeCell ref="D41:D44"/>
    <mergeCell ref="L41:L44"/>
    <mergeCell ref="B45:B48"/>
    <mergeCell ref="C45:C48"/>
    <mergeCell ref="D45:D48"/>
    <mergeCell ref="L45:L48"/>
    <mergeCell ref="B33:B36"/>
    <mergeCell ref="C33:C36"/>
    <mergeCell ref="D33:D36"/>
    <mergeCell ref="L33:L36"/>
    <mergeCell ref="B37:B40"/>
    <mergeCell ref="C37:C40"/>
    <mergeCell ref="D37:D40"/>
    <mergeCell ref="L37:L40"/>
    <mergeCell ref="B25:B28"/>
    <mergeCell ref="C25:C28"/>
    <mergeCell ref="D25:D28"/>
    <mergeCell ref="L25:L28"/>
    <mergeCell ref="B29:B32"/>
    <mergeCell ref="C29:C32"/>
    <mergeCell ref="D29:D32"/>
    <mergeCell ref="L29:L32"/>
    <mergeCell ref="B17:B20"/>
    <mergeCell ref="C17:C20"/>
    <mergeCell ref="D17:D20"/>
    <mergeCell ref="L17:L20"/>
    <mergeCell ref="B21:B24"/>
    <mergeCell ref="C21:C24"/>
    <mergeCell ref="D21:D24"/>
    <mergeCell ref="L21:L24"/>
    <mergeCell ref="AW3:AY3"/>
    <mergeCell ref="AR3:AT3"/>
    <mergeCell ref="AN3:AO3"/>
    <mergeCell ref="AI3:AK3"/>
    <mergeCell ref="B5:B8"/>
    <mergeCell ref="C5:C8"/>
    <mergeCell ref="D5:D8"/>
    <mergeCell ref="L5:L8"/>
    <mergeCell ref="C4:D4"/>
    <mergeCell ref="E4:F4"/>
    <mergeCell ref="W3:Z3"/>
    <mergeCell ref="B2:L2"/>
    <mergeCell ref="B3:L3"/>
    <mergeCell ref="AC3:AF3"/>
    <mergeCell ref="B9:B12"/>
    <mergeCell ref="C9:C12"/>
    <mergeCell ref="D9:D12"/>
    <mergeCell ref="L9:L12"/>
    <mergeCell ref="B13:B16"/>
    <mergeCell ref="C13:C16"/>
    <mergeCell ref="D13:D16"/>
    <mergeCell ref="L13:L16"/>
  </mergeCells>
  <conditionalFormatting sqref="F5:F144">
    <cfRule type="cellIs" dxfId="15" priority="3" operator="equal">
      <formula>"P"</formula>
    </cfRule>
    <cfRule type="cellIs" dxfId="14" priority="4" operator="equal">
      <formula>"G"</formula>
    </cfRule>
    <cfRule type="cellIs" dxfId="13" priority="5" operator="equal">
      <formula>"S"</formula>
    </cfRule>
    <cfRule type="cellIs" dxfId="12" priority="6" operator="equal">
      <formula>"B"</formula>
    </cfRule>
  </conditionalFormatting>
  <conditionalFormatting sqref="G5:L144">
    <cfRule type="cellIs" dxfId="11" priority="1" operator="equal">
      <formula>TRUE</formula>
    </cfRule>
    <cfRule type="cellIs" dxfId="10" priority="2" operator="equal">
      <formula>FALSE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E66D-1486-493F-A163-4059E25F3F34}">
  <dimension ref="B2:BB144"/>
  <sheetViews>
    <sheetView zoomScale="90" zoomScaleNormal="90" workbookViewId="0">
      <selection activeCell="T2" sqref="T2"/>
    </sheetView>
  </sheetViews>
  <sheetFormatPr defaultColWidth="8.88671875" defaultRowHeight="18" customHeight="1" x14ac:dyDescent="0.3"/>
  <cols>
    <col min="1" max="1" width="3.33203125" style="1" customWidth="1"/>
    <col min="2" max="6" width="8.88671875" style="1"/>
    <col min="7" max="12" width="11.109375" style="1" customWidth="1"/>
    <col min="13" max="13" width="3.33203125" style="1" customWidth="1"/>
    <col min="14" max="14" width="3.33203125" style="1" hidden="1" customWidth="1"/>
    <col min="15" max="15" width="16.6640625" style="1" hidden="1" customWidth="1"/>
    <col min="16" max="17" width="8.88671875" style="1" hidden="1" customWidth="1"/>
    <col min="18" max="18" width="3.33203125" style="1" hidden="1" customWidth="1"/>
    <col min="19" max="19" width="3.33203125" style="1" customWidth="1"/>
    <col min="20" max="20" width="8.88671875" style="1"/>
    <col min="21" max="22" width="3.33203125" style="1" customWidth="1"/>
    <col min="23" max="26" width="11.109375" style="1" customWidth="1"/>
    <col min="27" max="28" width="3.33203125" style="1" customWidth="1"/>
    <col min="29" max="32" width="11.109375" style="1" customWidth="1"/>
    <col min="33" max="34" width="3.33203125" style="1" customWidth="1"/>
    <col min="35" max="37" width="11.109375" style="1" customWidth="1"/>
    <col min="38" max="39" width="3.33203125" style="1" customWidth="1"/>
    <col min="40" max="41" width="11.109375" style="1" customWidth="1"/>
    <col min="42" max="43" width="3.33203125" style="1" customWidth="1"/>
    <col min="44" max="46" width="11.109375" style="1" customWidth="1"/>
    <col min="47" max="48" width="3.33203125" style="1" customWidth="1"/>
    <col min="49" max="51" width="11.109375" style="1" customWidth="1"/>
    <col min="52" max="53" width="3.33203125" style="1" customWidth="1"/>
    <col min="54" max="54" width="8.88671875" style="1"/>
    <col min="55" max="56" width="3.33203125" style="1" customWidth="1"/>
    <col min="57" max="16384" width="8.88671875" style="1"/>
  </cols>
  <sheetData>
    <row r="2" spans="2:54" ht="18" customHeight="1" x14ac:dyDescent="0.3">
      <c r="B2" s="332" t="s">
        <v>391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2:54" ht="18" customHeight="1" x14ac:dyDescent="0.3">
      <c r="B3" s="332" t="s">
        <v>228</v>
      </c>
      <c r="C3" s="332"/>
      <c r="D3" s="332"/>
      <c r="E3" s="332"/>
      <c r="F3" s="332"/>
      <c r="G3" s="332"/>
      <c r="H3" s="332"/>
      <c r="I3" s="332"/>
      <c r="J3" s="332"/>
      <c r="K3" s="332"/>
      <c r="L3" s="332"/>
      <c r="W3" s="428" t="s">
        <v>22</v>
      </c>
      <c r="X3" s="429"/>
      <c r="Y3" s="429"/>
      <c r="Z3" s="429"/>
      <c r="AC3" s="413" t="s">
        <v>23</v>
      </c>
      <c r="AD3" s="414"/>
      <c r="AE3" s="414"/>
      <c r="AF3" s="414"/>
      <c r="AI3" s="425" t="s">
        <v>25</v>
      </c>
      <c r="AJ3" s="426"/>
      <c r="AK3" s="427"/>
      <c r="AN3" s="423" t="s">
        <v>26</v>
      </c>
      <c r="AO3" s="424"/>
      <c r="AR3" s="420" t="s">
        <v>27</v>
      </c>
      <c r="AS3" s="421"/>
      <c r="AT3" s="422"/>
      <c r="AW3" s="417" t="s">
        <v>31</v>
      </c>
      <c r="AX3" s="418"/>
      <c r="AY3" s="419"/>
    </row>
    <row r="4" spans="2:54" ht="18" customHeight="1" x14ac:dyDescent="0.3">
      <c r="B4" s="2" t="s">
        <v>230</v>
      </c>
      <c r="C4" s="332" t="s">
        <v>229</v>
      </c>
      <c r="D4" s="332"/>
      <c r="E4" s="332" t="s">
        <v>231</v>
      </c>
      <c r="F4" s="332"/>
      <c r="G4" s="26" t="s">
        <v>48</v>
      </c>
      <c r="H4" s="25" t="s">
        <v>47</v>
      </c>
      <c r="I4" s="23" t="s">
        <v>44</v>
      </c>
      <c r="J4" s="24" t="s">
        <v>45</v>
      </c>
      <c r="K4" s="2" t="s">
        <v>232</v>
      </c>
      <c r="L4" s="2" t="s">
        <v>215</v>
      </c>
      <c r="T4" s="2" t="s">
        <v>222</v>
      </c>
      <c r="W4" s="9" t="s">
        <v>281</v>
      </c>
      <c r="X4" s="10" t="s">
        <v>9</v>
      </c>
      <c r="Y4" s="11" t="s">
        <v>317</v>
      </c>
      <c r="Z4" s="144" t="s">
        <v>318</v>
      </c>
      <c r="AC4" s="12" t="s">
        <v>288</v>
      </c>
      <c r="AD4" s="143" t="s">
        <v>9</v>
      </c>
      <c r="AE4" s="13" t="s">
        <v>319</v>
      </c>
      <c r="AF4" s="14" t="s">
        <v>24</v>
      </c>
      <c r="AI4" s="10" t="s">
        <v>9</v>
      </c>
      <c r="AJ4" s="15" t="s">
        <v>10</v>
      </c>
      <c r="AK4" s="144" t="s">
        <v>318</v>
      </c>
      <c r="AN4" s="16" t="s">
        <v>11</v>
      </c>
      <c r="AO4" s="17" t="s">
        <v>12</v>
      </c>
      <c r="AR4" s="18" t="s">
        <v>28</v>
      </c>
      <c r="AS4" s="19" t="s">
        <v>29</v>
      </c>
      <c r="AT4" s="17" t="s">
        <v>12</v>
      </c>
      <c r="AW4" s="31" t="s">
        <v>226</v>
      </c>
      <c r="AX4" s="30" t="s">
        <v>225</v>
      </c>
      <c r="AY4" s="29" t="s">
        <v>224</v>
      </c>
    </row>
    <row r="5" spans="2:54" ht="18" customHeight="1" x14ac:dyDescent="0.3">
      <c r="B5" s="332">
        <v>1</v>
      </c>
      <c r="C5" s="332">
        <f>'One-Off Entries'!AI6</f>
        <v>0</v>
      </c>
      <c r="D5" s="332">
        <f>'One-Off Entries'!AJ6</f>
        <v>0</v>
      </c>
      <c r="E5" s="2" t="s">
        <v>233</v>
      </c>
      <c r="F5" s="2" t="str">
        <f>IF('One-Off Entries'!M6 &lt;&gt; "", LEFT('One-Off Entries'!M6, 1), "")</f>
        <v/>
      </c>
      <c r="G5" s="2" t="b">
        <f>IF(F5 = "P", TRUE, FALSE)</f>
        <v>0</v>
      </c>
      <c r="H5" s="2" t="b">
        <f>IF(F5 = "G", TRUE, FALSE)</f>
        <v>0</v>
      </c>
      <c r="I5" s="2" t="b">
        <f>IF(F5 = "S", TRUE, FALSE)</f>
        <v>0</v>
      </c>
      <c r="J5" s="2" t="b">
        <f>IF(F5 = "B", TRUE, FALSE)</f>
        <v>0</v>
      </c>
      <c r="K5" s="27" t="b">
        <f>IF(AND(IF(G5 = FALSE, TRUE, FALSE), IF(H5 = FALSE, TRUE, FALSE), IF(I5 = FALSE, TRUE, FALSE), IF(J5 = FALSE, TRUE, FALSE)) = TRUE, TRUE, FALSE)</f>
        <v>1</v>
      </c>
      <c r="L5" s="415" t="str">
        <f>IF(P5, "", IF(AND(P6, P7), AND(T5, T6, T7, T8), AND(NOT(P8), T5, T6, T7, T8)))</f>
        <v/>
      </c>
      <c r="O5" s="1" t="s">
        <v>232</v>
      </c>
      <c r="P5" s="1" t="b">
        <f>AND(K5, K6, K7, K8)</f>
        <v>1</v>
      </c>
      <c r="Q5" s="1">
        <f>IF(J5, 1, 0)</f>
        <v>0</v>
      </c>
      <c r="T5" s="2" t="b">
        <f>IF(D5 = 0, FALSE, IF(C5 = 1, CHOOSE(D5, W5, X5, Y5, Z5), IF(C5 = 2, CHOOSE(D5, AC5, AD5, AE5, AF5), IF(C5 = 3, CHOOSE(D5, AI5, AJ5, AK5), IF(C5 = 4, CHOOSE(D5, AN5, AO5), IF(C5 = 5, CHOOSE(D5, AR5, AS5, AT5), IF(C5 = 7, CHOOSE(D5, AW5, AX5, AY5), FALSE)))))))</f>
        <v>0</v>
      </c>
      <c r="W5" s="2" t="b">
        <f>AND(NOT(I5), NOT(K5), NOT(J5))</f>
        <v>0</v>
      </c>
      <c r="X5" s="2" t="b">
        <f>AND(NOT(I5), NOT(K5), NOT(J5))</f>
        <v>0</v>
      </c>
      <c r="Y5" s="2" t="b">
        <f>AND(NOT(I5), NOT(K5), NOT(J5))</f>
        <v>0</v>
      </c>
      <c r="Z5" s="2" t="b">
        <f>AND(NOT(I5), NOT(K5), NOT(J5))</f>
        <v>0</v>
      </c>
      <c r="AC5" s="2" t="b">
        <f>AND(NOT(I5), NOT(K5), NOT(J5))</f>
        <v>0</v>
      </c>
      <c r="AD5" s="2" t="b">
        <f>AND(NOT(G5), NOT(K5), NOT(J5))</f>
        <v>0</v>
      </c>
      <c r="AE5" s="2" t="b">
        <f>AND(NOT(I5), NOT(K5), NOT(J5))</f>
        <v>0</v>
      </c>
      <c r="AF5" s="2" t="b">
        <f>AND(NOT(I5), NOT(K5), NOT(J5))</f>
        <v>0</v>
      </c>
      <c r="AI5" s="2" t="b">
        <f>AND(NOT(I5), NOT(K5), NOT(J5))</f>
        <v>0</v>
      </c>
      <c r="AJ5" s="2" t="b">
        <f>AND(NOT(J5), NOT(K5))</f>
        <v>0</v>
      </c>
      <c r="AK5" s="2" t="b">
        <f>AND(NOT(I5), NOT(K5), NOT(J5))</f>
        <v>0</v>
      </c>
      <c r="AN5" s="2" t="b">
        <f>AND(NOT(I5), NOT(K5), NOT(J5))</f>
        <v>0</v>
      </c>
      <c r="AO5" s="2" t="b">
        <f>AND(NOT(G5), NOT(J5), NOT(K5))</f>
        <v>0</v>
      </c>
      <c r="AR5" s="2" t="b">
        <f>AND(NOT(J5), NOT(K5))</f>
        <v>0</v>
      </c>
      <c r="AS5" s="2" t="b">
        <f>AND(NOT(I5), NOT(K5), NOT(J5))</f>
        <v>0</v>
      </c>
      <c r="AT5" s="2" t="b">
        <f>AND(NOT(G5), NOT(J5), NOT(K5))</f>
        <v>0</v>
      </c>
      <c r="AW5" s="2" t="b">
        <f>AND(NOT(G5), NOT(J5), NOT(K5))</f>
        <v>0</v>
      </c>
      <c r="AX5" s="2" t="b">
        <f>AND(NOT(J5), NOT(K5))</f>
        <v>0</v>
      </c>
      <c r="AY5" s="2" t="b">
        <f>AND(NOT(G5), NOT(J5), NOT(K5))</f>
        <v>0</v>
      </c>
    </row>
    <row r="6" spans="2:54" ht="18" customHeight="1" x14ac:dyDescent="0.3">
      <c r="B6" s="332"/>
      <c r="C6" s="332"/>
      <c r="D6" s="332"/>
      <c r="E6" s="2" t="s">
        <v>234</v>
      </c>
      <c r="F6" s="2" t="str">
        <f>IF('One-Off Entries'!N6 &lt;&gt; "", LEFT('One-Off Entries'!N6, 1), "")</f>
        <v/>
      </c>
      <c r="G6" s="2" t="b">
        <f t="shared" ref="G6:G70" si="0">IF(F6 = "P", TRUE, FALSE)</f>
        <v>0</v>
      </c>
      <c r="H6" s="2" t="b">
        <f t="shared" ref="H6:H8" si="1">IF(F6 = "G", TRUE, FALSE)</f>
        <v>0</v>
      </c>
      <c r="I6" s="2" t="b">
        <f t="shared" ref="I6:I8" si="2">IF(F6 = "S", TRUE, FALSE)</f>
        <v>0</v>
      </c>
      <c r="J6" s="2" t="b">
        <f t="shared" ref="J6:J8" si="3">IF(F6 = "B", TRUE, FALSE)</f>
        <v>0</v>
      </c>
      <c r="K6" s="27" t="b">
        <f t="shared" ref="K6:K8" si="4">IF(AND(IF(G6 = FALSE, TRUE, FALSE), IF(H6 = FALSE, TRUE, FALSE), IF(I6 = FALSE, TRUE, FALSE), IF(J6 = FALSE, TRUE, FALSE)) = TRUE, TRUE, FALSE)</f>
        <v>1</v>
      </c>
      <c r="L6" s="416"/>
      <c r="O6" s="1" t="s">
        <v>386</v>
      </c>
      <c r="P6" s="1" t="b">
        <f>OR(IF(C5 = 2, TRUE, FALSE), IF(C5 = 2.2, TRUE, FALSE))</f>
        <v>0</v>
      </c>
      <c r="Q6" s="1">
        <f t="shared" ref="Q6:Q69" si="5">IF(J6, 1, 0)</f>
        <v>0</v>
      </c>
      <c r="T6" s="2" t="b">
        <f>IF(D5 = 0, FALSE, IF(C5 = 1, CHOOSE(D5, W6, X6, Y6, Z6), IF(C5 = 2, CHOOSE(D5, AC6, AD6, AE6, AF6), IF(C5 = 3, CHOOSE(D5, AI6, AJ6, AK6), IF(C5 = 4, CHOOSE(D5, AN6, AO6), IF(C5 = 5, CHOOSE(D5, AR6, AS6, AT6), IF(C5 = 7, CHOOSE(D5, AW6, AX6, AY6), FALSE)))))))</f>
        <v>0</v>
      </c>
      <c r="W6" s="2" t="b">
        <f>AND(NOT(K6), NOT(J6))</f>
        <v>0</v>
      </c>
      <c r="X6" s="2" t="b">
        <f>NOT(K5)</f>
        <v>0</v>
      </c>
      <c r="Y6" s="2" t="b">
        <f>AND(NOT(K6), NOT(J6))</f>
        <v>0</v>
      </c>
      <c r="Z6" s="2" t="b">
        <f>OR(I6, J6)</f>
        <v>0</v>
      </c>
      <c r="AC6" s="2" t="b">
        <f>AND(NOT(K6), NOT(J6))</f>
        <v>0</v>
      </c>
      <c r="AD6" s="2" t="b">
        <f>J6</f>
        <v>0</v>
      </c>
      <c r="AE6" s="2" t="b">
        <f>AND(NOT(K6), NOT(J6))</f>
        <v>0</v>
      </c>
      <c r="AF6" s="2" t="b">
        <f>J6</f>
        <v>0</v>
      </c>
      <c r="AI6" s="2" t="b">
        <f>AND(NOT(J6), NOT(K6))</f>
        <v>0</v>
      </c>
      <c r="AJ6" s="2" t="b">
        <f>OR(I6, J6)</f>
        <v>0</v>
      </c>
      <c r="AK6" s="2" t="b">
        <f>OR(I6, J6)</f>
        <v>0</v>
      </c>
      <c r="AN6" s="2" t="b">
        <f>OR(I6, J6)</f>
        <v>0</v>
      </c>
      <c r="AO6" s="2" t="b">
        <f>J6</f>
        <v>0</v>
      </c>
      <c r="AR6" s="2" t="b">
        <f t="shared" ref="AR6:AR7" si="6">AND(NOT(J6), NOT(K6))</f>
        <v>0</v>
      </c>
      <c r="AS6" s="2" t="b">
        <f>OR(I6, J6)</f>
        <v>0</v>
      </c>
      <c r="AT6" s="2" t="b">
        <f>OR(I6, J6)</f>
        <v>0</v>
      </c>
      <c r="AW6" s="2" t="b">
        <f>J6</f>
        <v>0</v>
      </c>
      <c r="AX6" s="2" t="b">
        <f>J6</f>
        <v>0</v>
      </c>
      <c r="AY6" s="2" t="b">
        <f>J6</f>
        <v>0</v>
      </c>
    </row>
    <row r="7" spans="2:54" ht="18" customHeight="1" x14ac:dyDescent="0.3">
      <c r="B7" s="332"/>
      <c r="C7" s="332"/>
      <c r="D7" s="332"/>
      <c r="E7" s="2" t="s">
        <v>235</v>
      </c>
      <c r="F7" s="2" t="str">
        <f>IF('One-Off Entries'!O6 &lt;&gt; "", LEFT('One-Off Entries'!O6, 1), "")</f>
        <v/>
      </c>
      <c r="G7" s="2" t="b">
        <f t="shared" si="0"/>
        <v>0</v>
      </c>
      <c r="H7" s="2" t="b">
        <f t="shared" si="1"/>
        <v>0</v>
      </c>
      <c r="I7" s="2" t="b">
        <f t="shared" si="2"/>
        <v>0</v>
      </c>
      <c r="J7" s="2" t="b">
        <f t="shared" si="3"/>
        <v>0</v>
      </c>
      <c r="K7" s="27" t="b">
        <f t="shared" si="4"/>
        <v>1</v>
      </c>
      <c r="L7" s="416"/>
      <c r="O7" s="1" t="s">
        <v>387</v>
      </c>
      <c r="P7" s="1" t="b">
        <f>OR(IF(D5 = 2, TRUE, FALSE), IF(D5 = 4, TRUE, FALSE))</f>
        <v>0</v>
      </c>
      <c r="Q7" s="1">
        <f t="shared" si="5"/>
        <v>0</v>
      </c>
      <c r="T7" s="2" t="b">
        <f>IF(D5 = 0, FALSE, IF(C5 = 1, CHOOSE(D5, W7, X7, Y7, Z7), IF(C5 = 2, CHOOSE(D5, AC7, AD7, AE7, AF7), IF(C5 = 3, CHOOSE(D5, AI7, AJ7, AK7), IF(C5 = 4, CHOOSE(D5, AN7, AO7), IF(C5 = 5, CHOOSE(D5, AR7, AS7, AT7), IF(C5 = 7, CHOOSE(D5, AW7, AX7, AY7), FALSE)))))))</f>
        <v>0</v>
      </c>
      <c r="W7" s="2" t="b">
        <f>AND(NOT(K7), NOT(J7))</f>
        <v>0</v>
      </c>
      <c r="X7" s="2" t="b">
        <f>OR(I7, J7)</f>
        <v>0</v>
      </c>
      <c r="Y7" s="2" t="b">
        <f>AND(NOT(K6), NOT(J6))</f>
        <v>0</v>
      </c>
      <c r="Z7" s="2" t="b">
        <f>J7</f>
        <v>0</v>
      </c>
      <c r="AC7" s="2" t="b">
        <f>NOT(K7)</f>
        <v>0</v>
      </c>
      <c r="AD7" s="2" t="b">
        <f>OR(I7, J7)</f>
        <v>0</v>
      </c>
      <c r="AE7" s="2" t="b">
        <f>NOT(K7)</f>
        <v>0</v>
      </c>
      <c r="AF7" s="2" t="b">
        <f>OR(I7, J7)</f>
        <v>0</v>
      </c>
      <c r="AI7" s="2" t="b">
        <f>AND(OR(I7, J7), NOT(K7))</f>
        <v>0</v>
      </c>
      <c r="AJ7" s="2" t="b">
        <f>J7</f>
        <v>0</v>
      </c>
      <c r="AK7" s="2" t="b">
        <f>J7</f>
        <v>0</v>
      </c>
      <c r="AN7" s="2" t="b">
        <f>K7</f>
        <v>1</v>
      </c>
      <c r="AO7" s="2" t="b">
        <f>K7</f>
        <v>1</v>
      </c>
      <c r="AR7" s="2" t="b">
        <f t="shared" si="6"/>
        <v>0</v>
      </c>
      <c r="AS7" s="2" t="b">
        <f>J7</f>
        <v>0</v>
      </c>
      <c r="AT7" s="2" t="b">
        <f>J7</f>
        <v>0</v>
      </c>
      <c r="AW7" s="2" t="b">
        <f>K7</f>
        <v>1</v>
      </c>
      <c r="AX7" s="2" t="b">
        <f>K7</f>
        <v>1</v>
      </c>
      <c r="AY7" s="2" t="b">
        <f>K7</f>
        <v>1</v>
      </c>
    </row>
    <row r="8" spans="2:54" ht="18" customHeight="1" x14ac:dyDescent="0.3">
      <c r="B8" s="332"/>
      <c r="C8" s="332"/>
      <c r="D8" s="332"/>
      <c r="E8" s="2" t="s">
        <v>236</v>
      </c>
      <c r="F8" s="2" t="str">
        <f>IF('One-Off Entries'!P6 &lt;&gt; "", LEFT('One-Off Entries'!P6, 1), "")</f>
        <v/>
      </c>
      <c r="G8" s="2" t="b">
        <f t="shared" si="0"/>
        <v>0</v>
      </c>
      <c r="H8" s="2" t="b">
        <f t="shared" si="1"/>
        <v>0</v>
      </c>
      <c r="I8" s="2" t="b">
        <f t="shared" si="2"/>
        <v>0</v>
      </c>
      <c r="J8" s="2" t="b">
        <f t="shared" si="3"/>
        <v>0</v>
      </c>
      <c r="K8" s="27" t="b">
        <f t="shared" si="4"/>
        <v>1</v>
      </c>
      <c r="L8" s="412"/>
      <c r="O8" s="1" t="s">
        <v>388</v>
      </c>
      <c r="P8" s="1" t="b">
        <f>IF(SUM(Q5:Q8) &gt; 1, TRUE, FALSE)</f>
        <v>0</v>
      </c>
      <c r="Q8" s="1">
        <f t="shared" si="5"/>
        <v>0</v>
      </c>
      <c r="T8" s="2" t="b">
        <f>IF(D5 = 0, FALSE, IF(C5 = 1, CHOOSE(D5, W8, X8, Y8, Z8), IF(C5 = 2, IF(BB8 = "Rolex 24 at Daytona", CHOOSE(D5, AC8, AD8, AE8, AF8), K8), IF(C5 = 3, CHOOSE(D5, AI8, AJ8, AK8), IF(C5 = 4, CHOOSE(D5, AN8, AO8), IF(C5 = 5, CHOOSE(D5, AR8, AS8, AT8), IF(C5 = 7, CHOOSE(D5, AW8, AX8, AY8), FALSE)))))))</f>
        <v>0</v>
      </c>
      <c r="W8" s="2" t="b">
        <f>K8</f>
        <v>1</v>
      </c>
      <c r="X8" s="2" t="b">
        <f>K8</f>
        <v>1</v>
      </c>
      <c r="Y8" s="2" t="b">
        <f>K8</f>
        <v>1</v>
      </c>
      <c r="Z8" s="2" t="b">
        <f>K8</f>
        <v>1</v>
      </c>
      <c r="AC8" s="2" t="b">
        <v>1</v>
      </c>
      <c r="AD8" s="2" t="b">
        <f>NOT(K8)</f>
        <v>0</v>
      </c>
      <c r="AE8" s="2" t="b">
        <v>1</v>
      </c>
      <c r="AF8" s="2" t="b">
        <f>NOT(K8)</f>
        <v>0</v>
      </c>
      <c r="AI8" s="2" t="b">
        <f>K8</f>
        <v>1</v>
      </c>
      <c r="AJ8" s="2" t="b">
        <f>K8</f>
        <v>1</v>
      </c>
      <c r="AK8" s="2" t="b">
        <f>K8</f>
        <v>1</v>
      </c>
      <c r="AN8" s="2" t="b">
        <f>K8</f>
        <v>1</v>
      </c>
      <c r="AO8" s="2" t="b">
        <f>K8</f>
        <v>1</v>
      </c>
      <c r="AR8" s="2" t="b">
        <f>K8</f>
        <v>1</v>
      </c>
      <c r="AS8" s="2" t="b">
        <f>K8</f>
        <v>1</v>
      </c>
      <c r="AT8" s="2" t="b">
        <f>K8</f>
        <v>1</v>
      </c>
      <c r="AW8" s="2" t="b">
        <f>K8</f>
        <v>1</v>
      </c>
      <c r="AX8" s="2" t="b">
        <f>K8</f>
        <v>1</v>
      </c>
      <c r="AY8" s="2" t="b">
        <f>K8</f>
        <v>1</v>
      </c>
      <c r="BB8" s="1">
        <f>'One-Off Entries'!C6</f>
        <v>0</v>
      </c>
    </row>
    <row r="9" spans="2:54" ht="18" customHeight="1" x14ac:dyDescent="0.3">
      <c r="B9" s="415">
        <v>2</v>
      </c>
      <c r="C9" s="332">
        <f>'One-Off Entries'!AI7</f>
        <v>0</v>
      </c>
      <c r="D9" s="332">
        <f>'One-Off Entries'!AJ7</f>
        <v>0</v>
      </c>
      <c r="E9" s="2" t="s">
        <v>233</v>
      </c>
      <c r="F9" s="2" t="str">
        <f>IF('One-Off Entries'!M7 &lt;&gt; "", LEFT('One-Off Entries'!M7, 1), "")</f>
        <v/>
      </c>
      <c r="G9" s="2" t="b">
        <f>IF(F9 = "P", TRUE, FALSE)</f>
        <v>0</v>
      </c>
      <c r="H9" s="2" t="b">
        <f>IF(F9 = "G", TRUE, FALSE)</f>
        <v>0</v>
      </c>
      <c r="I9" s="2" t="b">
        <f>IF(F9 = "S", TRUE, FALSE)</f>
        <v>0</v>
      </c>
      <c r="J9" s="2" t="b">
        <f>IF(F9 = "B", TRUE, FALSE)</f>
        <v>0</v>
      </c>
      <c r="K9" s="27" t="b">
        <f>IF(AND(IF(G9 = FALSE, TRUE, FALSE), IF(H9 = FALSE, TRUE, FALSE), IF(I9 = FALSE, TRUE, FALSE), IF(J9 = FALSE, TRUE, FALSE)) = TRUE, TRUE, FALSE)</f>
        <v>1</v>
      </c>
      <c r="L9" s="415" t="str">
        <f>IF(P9, "", IF(AND(P10, P11), AND(T9, T10, T11, T12), AND(NOT(P12), T9, T10, T11, T12)))</f>
        <v/>
      </c>
      <c r="O9" s="1" t="s">
        <v>232</v>
      </c>
      <c r="P9" s="1" t="b">
        <f t="shared" ref="P9" si="7">AND(K9, K10, K11, K12)</f>
        <v>1</v>
      </c>
      <c r="Q9" s="1">
        <f t="shared" si="5"/>
        <v>0</v>
      </c>
      <c r="T9" s="2" t="b">
        <f t="shared" ref="T9" si="8">IF(D9 = 0, FALSE, IF(C9 = 1, CHOOSE(D9, W9, X9, Y9, Z9), IF(C9 = 2, CHOOSE(D9, AC9, AD9, AE9, AF9), IF(C9 = 3, CHOOSE(D9, AI9, AJ9, AK9), IF(C9 = 4, CHOOSE(D9, AN9, AO9), IF(C9 = 5, CHOOSE(D9, AR9, AS9, AT9), IF(C9 = 7, CHOOSE(D9, AW9, AX9, AY9), FALSE)))))))</f>
        <v>0</v>
      </c>
      <c r="W9" s="2" t="b">
        <f t="shared" ref="W9" si="9">AND(NOT(I9), NOT(K9), NOT(J9))</f>
        <v>0</v>
      </c>
      <c r="X9" s="2" t="b">
        <f t="shared" ref="X9" si="10">AND(NOT(I9), NOT(K9), NOT(J9))</f>
        <v>0</v>
      </c>
      <c r="Y9" s="2" t="b">
        <f t="shared" ref="Y9" si="11">AND(NOT(I9), NOT(K9), NOT(J9))</f>
        <v>0</v>
      </c>
      <c r="Z9" s="2" t="b">
        <f t="shared" ref="Z9" si="12">AND(NOT(I9), NOT(K9), NOT(J9))</f>
        <v>0</v>
      </c>
      <c r="AC9" s="2" t="b">
        <f t="shared" ref="AC9" si="13">AND(NOT(I9), NOT(K9), NOT(J9))</f>
        <v>0</v>
      </c>
      <c r="AD9" s="2" t="b">
        <f t="shared" ref="AD9" si="14">AND(NOT(G9), NOT(K9), NOT(J9))</f>
        <v>0</v>
      </c>
      <c r="AE9" s="2" t="b">
        <f t="shared" ref="AE9" si="15">AND(NOT(I9), NOT(K9), NOT(J9))</f>
        <v>0</v>
      </c>
      <c r="AF9" s="2" t="b">
        <f t="shared" ref="AF9" si="16">AND(NOT(I9), NOT(K9), NOT(J9))</f>
        <v>0</v>
      </c>
      <c r="AI9" s="2" t="b">
        <f t="shared" ref="AI9" si="17">AND(NOT(I9), NOT(K9), NOT(J9))</f>
        <v>0</v>
      </c>
      <c r="AJ9" s="2" t="b">
        <f t="shared" ref="AJ9" si="18">AND(NOT(J9), NOT(K9))</f>
        <v>0</v>
      </c>
      <c r="AK9" s="2" t="b">
        <f t="shared" ref="AK9" si="19">AND(NOT(I9), NOT(K9), NOT(J9))</f>
        <v>0</v>
      </c>
      <c r="AN9" s="2" t="b">
        <f t="shared" ref="AN9" si="20">AND(NOT(I9), NOT(K9), NOT(J9))</f>
        <v>0</v>
      </c>
      <c r="AO9" s="2" t="b">
        <f t="shared" ref="AO9" si="21">AND(NOT(G9), NOT(J9), NOT(K9))</f>
        <v>0</v>
      </c>
      <c r="AR9" s="2" t="b">
        <f t="shared" ref="AR9:AR11" si="22">AND(NOT(J9), NOT(K9))</f>
        <v>0</v>
      </c>
      <c r="AS9" s="2" t="b">
        <f t="shared" ref="AS9" si="23">AND(NOT(I9), NOT(K9), NOT(J9))</f>
        <v>0</v>
      </c>
      <c r="AT9" s="2" t="b">
        <f t="shared" ref="AT9" si="24">AND(NOT(G9), NOT(J9), NOT(K9))</f>
        <v>0</v>
      </c>
      <c r="AW9" s="2" t="b">
        <f t="shared" ref="AW9" si="25">AND(NOT(G9), NOT(J9), NOT(K9))</f>
        <v>0</v>
      </c>
      <c r="AX9" s="2" t="b">
        <f t="shared" ref="AX9" si="26">AND(NOT(J9), NOT(K9))</f>
        <v>0</v>
      </c>
      <c r="AY9" s="2" t="b">
        <f t="shared" ref="AY9" si="27">AND(NOT(G9), NOT(J9), NOT(K9))</f>
        <v>0</v>
      </c>
    </row>
    <row r="10" spans="2:54" ht="18" customHeight="1" x14ac:dyDescent="0.3">
      <c r="B10" s="416"/>
      <c r="C10" s="332"/>
      <c r="D10" s="332"/>
      <c r="E10" s="2" t="s">
        <v>234</v>
      </c>
      <c r="F10" s="2" t="str">
        <f>IF('One-Off Entries'!N7 &lt;&gt; "", LEFT('One-Off Entries'!N7, 1), "")</f>
        <v/>
      </c>
      <c r="G10" s="2" t="b">
        <f t="shared" si="0"/>
        <v>0</v>
      </c>
      <c r="H10" s="2" t="b">
        <f t="shared" ref="H10:H12" si="28">IF(F10 = "G", TRUE, FALSE)</f>
        <v>0</v>
      </c>
      <c r="I10" s="2" t="b">
        <f t="shared" ref="I10:I12" si="29">IF(F10 = "S", TRUE, FALSE)</f>
        <v>0</v>
      </c>
      <c r="J10" s="2" t="b">
        <f t="shared" ref="J10:J12" si="30">IF(F10 = "B", TRUE, FALSE)</f>
        <v>0</v>
      </c>
      <c r="K10" s="27" t="b">
        <f t="shared" ref="K10:K12" si="31">IF(AND(IF(G10 = FALSE, TRUE, FALSE), IF(H10 = FALSE, TRUE, FALSE), IF(I10 = FALSE, TRUE, FALSE), IF(J10 = FALSE, TRUE, FALSE)) = TRUE, TRUE, FALSE)</f>
        <v>1</v>
      </c>
      <c r="L10" s="416"/>
      <c r="O10" s="1" t="s">
        <v>386</v>
      </c>
      <c r="P10" s="1" t="b">
        <f t="shared" ref="P10" si="32">OR(IF(C9 = 2, TRUE, FALSE), IF(C9 = 2.2, TRUE, FALSE))</f>
        <v>0</v>
      </c>
      <c r="Q10" s="1">
        <f t="shared" si="5"/>
        <v>0</v>
      </c>
      <c r="T10" s="2" t="b">
        <f t="shared" ref="T10" si="33">IF(D9 = 0, FALSE, IF(C9 = 1, CHOOSE(D9, W10, X10, Y10, Z10), IF(C9 = 2, CHOOSE(D9, AC10, AD10, AE10, AF10), IF(C9 = 3, CHOOSE(D9, AI10, AJ10, AK10), IF(C9 = 4, CHOOSE(D9, AN10, AO10), IF(C9 = 5, CHOOSE(D9, AR10, AS10, AT10), IF(C9 = 7, CHOOSE(D9, AW10, AX10, AY10), FALSE)))))))</f>
        <v>0</v>
      </c>
      <c r="W10" s="2" t="b">
        <f t="shared" ref="W10:W11" si="34">AND(NOT(K10), NOT(J10))</f>
        <v>0</v>
      </c>
      <c r="X10" s="2" t="b">
        <f t="shared" ref="X10" si="35">NOT(K9)</f>
        <v>0</v>
      </c>
      <c r="Y10" s="2" t="b">
        <f t="shared" ref="Y10" si="36">AND(NOT(K10), NOT(J10))</f>
        <v>0</v>
      </c>
      <c r="Z10" s="2" t="b">
        <f t="shared" ref="Z10" si="37">OR(I10, J10)</f>
        <v>0</v>
      </c>
      <c r="AC10" s="2" t="b">
        <f t="shared" ref="AC10" si="38">AND(NOT(K10), NOT(J10))</f>
        <v>0</v>
      </c>
      <c r="AD10" s="2" t="b">
        <f t="shared" ref="AD10" si="39">J10</f>
        <v>0</v>
      </c>
      <c r="AE10" s="2" t="b">
        <f t="shared" ref="AE10" si="40">AND(NOT(K10), NOT(J10))</f>
        <v>0</v>
      </c>
      <c r="AF10" s="2" t="b">
        <f t="shared" ref="AF10" si="41">J10</f>
        <v>0</v>
      </c>
      <c r="AI10" s="2" t="b">
        <f t="shared" ref="AI10" si="42">AND(NOT(J10), NOT(K10))</f>
        <v>0</v>
      </c>
      <c r="AJ10" s="2" t="b">
        <f t="shared" ref="AJ10" si="43">OR(I10, J10)</f>
        <v>0</v>
      </c>
      <c r="AK10" s="2" t="b">
        <f t="shared" ref="AK10" si="44">OR(I10, J10)</f>
        <v>0</v>
      </c>
      <c r="AN10" s="2" t="b">
        <f t="shared" ref="AN10" si="45">OR(I10, J10)</f>
        <v>0</v>
      </c>
      <c r="AO10" s="2" t="b">
        <f t="shared" ref="AO10" si="46">J10</f>
        <v>0</v>
      </c>
      <c r="AR10" s="2" t="b">
        <f t="shared" si="22"/>
        <v>0</v>
      </c>
      <c r="AS10" s="2" t="b">
        <f t="shared" ref="AS10" si="47">OR(I10, J10)</f>
        <v>0</v>
      </c>
      <c r="AT10" s="2" t="b">
        <f t="shared" ref="AT10" si="48">OR(I10, J10)</f>
        <v>0</v>
      </c>
      <c r="AW10" s="2" t="b">
        <f t="shared" ref="AW10" si="49">J10</f>
        <v>0</v>
      </c>
      <c r="AX10" s="2" t="b">
        <f t="shared" ref="AX10" si="50">J10</f>
        <v>0</v>
      </c>
      <c r="AY10" s="2" t="b">
        <f t="shared" ref="AY10" si="51">J10</f>
        <v>0</v>
      </c>
    </row>
    <row r="11" spans="2:54" ht="18" customHeight="1" x14ac:dyDescent="0.3">
      <c r="B11" s="416"/>
      <c r="C11" s="332"/>
      <c r="D11" s="332"/>
      <c r="E11" s="2" t="s">
        <v>235</v>
      </c>
      <c r="F11" s="2" t="str">
        <f>IF('One-Off Entries'!O7 &lt;&gt; "", LEFT('One-Off Entries'!O7, 1), "")</f>
        <v/>
      </c>
      <c r="G11" s="2" t="b">
        <f t="shared" si="0"/>
        <v>0</v>
      </c>
      <c r="H11" s="2" t="b">
        <f t="shared" si="28"/>
        <v>0</v>
      </c>
      <c r="I11" s="2" t="b">
        <f t="shared" si="29"/>
        <v>0</v>
      </c>
      <c r="J11" s="2" t="b">
        <f t="shared" si="30"/>
        <v>0</v>
      </c>
      <c r="K11" s="27" t="b">
        <f t="shared" si="31"/>
        <v>1</v>
      </c>
      <c r="L11" s="416"/>
      <c r="O11" s="1" t="s">
        <v>387</v>
      </c>
      <c r="P11" s="1" t="b">
        <f t="shared" ref="P11" si="52">OR(IF(D9 = 2, TRUE, FALSE), IF(D9 = 4, TRUE, FALSE))</f>
        <v>0</v>
      </c>
      <c r="Q11" s="1">
        <f t="shared" si="5"/>
        <v>0</v>
      </c>
      <c r="T11" s="2" t="b">
        <f t="shared" ref="T11" si="53">IF(D9 = 0, FALSE, IF(C9 = 1, CHOOSE(D9, W11, X11, Y11, Z11), IF(C9 = 2, CHOOSE(D9, AC11, AD11, AE11, AF11), IF(C9 = 3, CHOOSE(D9, AI11, AJ11, AK11), IF(C9 = 4, CHOOSE(D9, AN11, AO11), IF(C9 = 5, CHOOSE(D9, AR11, AS11, AT11), IF(C9 = 7, CHOOSE(D9, AW11, AX11, AY11), FALSE)))))))</f>
        <v>0</v>
      </c>
      <c r="W11" s="2" t="b">
        <f t="shared" si="34"/>
        <v>0</v>
      </c>
      <c r="X11" s="2" t="b">
        <f t="shared" ref="X11" si="54">OR(I11, J11)</f>
        <v>0</v>
      </c>
      <c r="Y11" s="2" t="b">
        <f t="shared" ref="Y11" si="55">AND(NOT(K10), NOT(J10))</f>
        <v>0</v>
      </c>
      <c r="Z11" s="2" t="b">
        <f t="shared" ref="Z11" si="56">J11</f>
        <v>0</v>
      </c>
      <c r="AC11" s="2" t="b">
        <f t="shared" ref="AC11" si="57">NOT(K11)</f>
        <v>0</v>
      </c>
      <c r="AD11" s="2" t="b">
        <f t="shared" ref="AD11" si="58">OR(I11, J11)</f>
        <v>0</v>
      </c>
      <c r="AE11" s="2" t="b">
        <f t="shared" ref="AE11" si="59">NOT(K11)</f>
        <v>0</v>
      </c>
      <c r="AF11" s="2" t="b">
        <f t="shared" ref="AF11" si="60">OR(I11, J11)</f>
        <v>0</v>
      </c>
      <c r="AI11" s="2" t="b">
        <f t="shared" ref="AI11" si="61">AND(OR(I11, J11), NOT(K11))</f>
        <v>0</v>
      </c>
      <c r="AJ11" s="2" t="b">
        <f t="shared" ref="AJ11" si="62">J11</f>
        <v>0</v>
      </c>
      <c r="AK11" s="2" t="b">
        <f t="shared" ref="AK11" si="63">J11</f>
        <v>0</v>
      </c>
      <c r="AN11" s="2" t="b">
        <f t="shared" ref="AN11:AN12" si="64">K11</f>
        <v>1</v>
      </c>
      <c r="AO11" s="2" t="b">
        <f t="shared" ref="AO11:AO12" si="65">K11</f>
        <v>1</v>
      </c>
      <c r="AR11" s="2" t="b">
        <f t="shared" si="22"/>
        <v>0</v>
      </c>
      <c r="AS11" s="2" t="b">
        <f t="shared" ref="AS11" si="66">J11</f>
        <v>0</v>
      </c>
      <c r="AT11" s="2" t="b">
        <f t="shared" ref="AT11" si="67">J11</f>
        <v>0</v>
      </c>
      <c r="AW11" s="2" t="b">
        <f t="shared" ref="AW11:AW12" si="68">K11</f>
        <v>1</v>
      </c>
      <c r="AX11" s="2" t="b">
        <f t="shared" ref="AX11:AX12" si="69">K11</f>
        <v>1</v>
      </c>
      <c r="AY11" s="2" t="b">
        <f t="shared" ref="AY11:AY12" si="70">K11</f>
        <v>1</v>
      </c>
    </row>
    <row r="12" spans="2:54" ht="18" customHeight="1" x14ac:dyDescent="0.3">
      <c r="B12" s="412"/>
      <c r="C12" s="332"/>
      <c r="D12" s="332"/>
      <c r="E12" s="2" t="s">
        <v>236</v>
      </c>
      <c r="F12" s="2" t="str">
        <f>IF('One-Off Entries'!P7 &lt;&gt; "", LEFT('One-Off Entries'!P7, 1), "")</f>
        <v/>
      </c>
      <c r="G12" s="2" t="b">
        <f t="shared" si="0"/>
        <v>0</v>
      </c>
      <c r="H12" s="2" t="b">
        <f t="shared" si="28"/>
        <v>0</v>
      </c>
      <c r="I12" s="2" t="b">
        <f t="shared" si="29"/>
        <v>0</v>
      </c>
      <c r="J12" s="2" t="b">
        <f t="shared" si="30"/>
        <v>0</v>
      </c>
      <c r="K12" s="27" t="b">
        <f t="shared" si="31"/>
        <v>1</v>
      </c>
      <c r="L12" s="412"/>
      <c r="O12" s="1" t="s">
        <v>388</v>
      </c>
      <c r="P12" s="1" t="b">
        <f t="shared" ref="P12" si="71">IF(SUM(Q9:Q12) &gt; 1, TRUE, FALSE)</f>
        <v>0</v>
      </c>
      <c r="Q12" s="1">
        <f t="shared" si="5"/>
        <v>0</v>
      </c>
      <c r="T12" s="2" t="b">
        <f>IF(D9 = 0, FALSE, IF(C9 = 1, CHOOSE(D9, W12, X12, Y12, Z12), IF(C9 = 2, IF(BB12 = "Rolex 24 at Daytona", CHOOSE(D9, AC12, AD12, AE12, AF12), K12), IF(C9 = 3, CHOOSE(D9, AI12, AJ12, AK12), IF(C9 = 4, CHOOSE(D9, AN12, AO12), IF(C9 = 5, CHOOSE(D9, AR12, AS12, AT12), IF(C9 = 7, CHOOSE(D9, AW12, AX12, AY12), FALSE)))))))</f>
        <v>0</v>
      </c>
      <c r="W12" s="2" t="b">
        <f t="shared" ref="W12" si="72">K12</f>
        <v>1</v>
      </c>
      <c r="X12" s="2" t="b">
        <f t="shared" ref="X12" si="73">K12</f>
        <v>1</v>
      </c>
      <c r="Y12" s="2" t="b">
        <f t="shared" ref="Y12" si="74">K12</f>
        <v>1</v>
      </c>
      <c r="Z12" s="2" t="b">
        <f t="shared" ref="Z12" si="75">K12</f>
        <v>1</v>
      </c>
      <c r="AC12" s="2" t="b">
        <v>1</v>
      </c>
      <c r="AD12" s="2" t="b">
        <f t="shared" ref="AD12" si="76">NOT(K12)</f>
        <v>0</v>
      </c>
      <c r="AE12" s="2" t="b">
        <v>1</v>
      </c>
      <c r="AF12" s="2" t="b">
        <f t="shared" ref="AF12" si="77">NOT(K12)</f>
        <v>0</v>
      </c>
      <c r="AI12" s="2" t="b">
        <f t="shared" ref="AI12" si="78">K12</f>
        <v>1</v>
      </c>
      <c r="AJ12" s="2" t="b">
        <f t="shared" ref="AJ12" si="79">K12</f>
        <v>1</v>
      </c>
      <c r="AK12" s="2" t="b">
        <f t="shared" ref="AK12" si="80">K12</f>
        <v>1</v>
      </c>
      <c r="AN12" s="2" t="b">
        <f t="shared" si="64"/>
        <v>1</v>
      </c>
      <c r="AO12" s="2" t="b">
        <f t="shared" si="65"/>
        <v>1</v>
      </c>
      <c r="AR12" s="2" t="b">
        <f t="shared" ref="AR12" si="81">K12</f>
        <v>1</v>
      </c>
      <c r="AS12" s="2" t="b">
        <f t="shared" ref="AS12" si="82">K12</f>
        <v>1</v>
      </c>
      <c r="AT12" s="2" t="b">
        <f t="shared" ref="AT12" si="83">K12</f>
        <v>1</v>
      </c>
      <c r="AW12" s="2" t="b">
        <f t="shared" si="68"/>
        <v>1</v>
      </c>
      <c r="AX12" s="2" t="b">
        <f t="shared" si="69"/>
        <v>1</v>
      </c>
      <c r="AY12" s="2" t="b">
        <f t="shared" si="70"/>
        <v>1</v>
      </c>
      <c r="BB12" s="1">
        <f>'One-Off Entries'!C7</f>
        <v>0</v>
      </c>
    </row>
    <row r="13" spans="2:54" ht="18" customHeight="1" x14ac:dyDescent="0.3">
      <c r="B13" s="415">
        <v>3</v>
      </c>
      <c r="C13" s="332">
        <f>'One-Off Entries'!AI8</f>
        <v>0</v>
      </c>
      <c r="D13" s="332">
        <f>'One-Off Entries'!AJ8</f>
        <v>0</v>
      </c>
      <c r="E13" s="2" t="s">
        <v>233</v>
      </c>
      <c r="F13" s="2" t="str">
        <f>IF('One-Off Entries'!M8 &lt;&gt; "", LEFT('One-Off Entries'!M8, 1), "")</f>
        <v/>
      </c>
      <c r="G13" s="2" t="b">
        <f>IF(F13 = "P", TRUE, FALSE)</f>
        <v>0</v>
      </c>
      <c r="H13" s="2" t="b">
        <f>IF(F13 = "G", TRUE, FALSE)</f>
        <v>0</v>
      </c>
      <c r="I13" s="2" t="b">
        <f>IF(F13 = "S", TRUE, FALSE)</f>
        <v>0</v>
      </c>
      <c r="J13" s="2" t="b">
        <f>IF(F13 = "B", TRUE, FALSE)</f>
        <v>0</v>
      </c>
      <c r="K13" s="27" t="b">
        <f>IF(AND(IF(G13 = FALSE, TRUE, FALSE), IF(H13 = FALSE, TRUE, FALSE), IF(I13 = FALSE, TRUE, FALSE), IF(J13 = FALSE, TRUE, FALSE)) = TRUE, TRUE, FALSE)</f>
        <v>1</v>
      </c>
      <c r="L13" s="415" t="str">
        <f>IF(P13, "", IF(AND(P14, P15), AND(T13, T14, T15, T16), AND(NOT(P16), T13, T14, T15, T16)))</f>
        <v/>
      </c>
      <c r="O13" s="1" t="s">
        <v>232</v>
      </c>
      <c r="P13" s="1" t="b">
        <f t="shared" ref="P13" si="84">AND(K13, K14, K15, K16)</f>
        <v>1</v>
      </c>
      <c r="Q13" s="1">
        <f t="shared" si="5"/>
        <v>0</v>
      </c>
      <c r="T13" s="2" t="b">
        <f>IF(D13 = 0, FALSE, IF(C13 = 1, CHOOSE(D13, W13, X13, Y13, Z13), IF(C13 = 2, CHOOSE(D13, AC13, AD13, AE13, AF13), IF(C13 = 3, CHOOSE(D13, AI13, AJ13, AK13), IF(C13 = 4, CHOOSE(D13, AN13, AO13), IF(C13 = 5, CHOOSE(D13, AR13, AS13, AT13), IF(C13 = 7, CHOOSE(D13, AW13, AX13, AY13), FALSE)))))))</f>
        <v>0</v>
      </c>
      <c r="W13" s="2" t="b">
        <f t="shared" ref="W13" si="85">AND(NOT(I13), NOT(K13), NOT(J13))</f>
        <v>0</v>
      </c>
      <c r="X13" s="2" t="b">
        <f t="shared" ref="X13" si="86">AND(NOT(I13), NOT(K13), NOT(J13))</f>
        <v>0</v>
      </c>
      <c r="Y13" s="2" t="b">
        <f t="shared" ref="Y13" si="87">AND(NOT(I13), NOT(K13), NOT(J13))</f>
        <v>0</v>
      </c>
      <c r="Z13" s="2" t="b">
        <f t="shared" ref="Z13" si="88">AND(NOT(I13), NOT(K13), NOT(J13))</f>
        <v>0</v>
      </c>
      <c r="AC13" s="2" t="b">
        <f t="shared" ref="AC13" si="89">AND(NOT(I13), NOT(K13), NOT(J13))</f>
        <v>0</v>
      </c>
      <c r="AD13" s="2" t="b">
        <f t="shared" ref="AD13" si="90">AND(NOT(G13), NOT(K13), NOT(J13))</f>
        <v>0</v>
      </c>
      <c r="AE13" s="2" t="b">
        <f t="shared" ref="AE13" si="91">AND(NOT(I13), NOT(K13), NOT(J13))</f>
        <v>0</v>
      </c>
      <c r="AF13" s="2" t="b">
        <f t="shared" ref="AF13" si="92">AND(NOT(I13), NOT(K13), NOT(J13))</f>
        <v>0</v>
      </c>
      <c r="AI13" s="2" t="b">
        <f t="shared" ref="AI13" si="93">AND(NOT(I13), NOT(K13), NOT(J13))</f>
        <v>0</v>
      </c>
      <c r="AJ13" s="2" t="b">
        <f t="shared" ref="AJ13" si="94">AND(NOT(J13), NOT(K13))</f>
        <v>0</v>
      </c>
      <c r="AK13" s="2" t="b">
        <f t="shared" ref="AK13" si="95">AND(NOT(I13), NOT(K13), NOT(J13))</f>
        <v>0</v>
      </c>
      <c r="AN13" s="2" t="b">
        <f t="shared" ref="AN13" si="96">AND(NOT(I13), NOT(K13), NOT(J13))</f>
        <v>0</v>
      </c>
      <c r="AO13" s="2" t="b">
        <f t="shared" ref="AO13" si="97">AND(NOT(G13), NOT(J13), NOT(K13))</f>
        <v>0</v>
      </c>
      <c r="AR13" s="2" t="b">
        <f t="shared" ref="AR13:AR15" si="98">AND(NOT(J13), NOT(K13))</f>
        <v>0</v>
      </c>
      <c r="AS13" s="2" t="b">
        <f t="shared" ref="AS13" si="99">AND(NOT(I13), NOT(K13), NOT(J13))</f>
        <v>0</v>
      </c>
      <c r="AT13" s="2" t="b">
        <f t="shared" ref="AT13" si="100">AND(NOT(G13), NOT(J13), NOT(K13))</f>
        <v>0</v>
      </c>
      <c r="AW13" s="2" t="b">
        <f t="shared" ref="AW13" si="101">AND(NOT(G13), NOT(J13), NOT(K13))</f>
        <v>0</v>
      </c>
      <c r="AX13" s="2" t="b">
        <f t="shared" ref="AX13" si="102">AND(NOT(J13), NOT(K13))</f>
        <v>0</v>
      </c>
      <c r="AY13" s="2" t="b">
        <f t="shared" ref="AY13" si="103">AND(NOT(G13), NOT(J13), NOT(K13))</f>
        <v>0</v>
      </c>
    </row>
    <row r="14" spans="2:54" ht="18" customHeight="1" x14ac:dyDescent="0.3">
      <c r="B14" s="416"/>
      <c r="C14" s="332"/>
      <c r="D14" s="332"/>
      <c r="E14" s="2" t="s">
        <v>234</v>
      </c>
      <c r="F14" s="2" t="str">
        <f>IF('One-Off Entries'!N8 &lt;&gt; "", LEFT('One-Off Entries'!N8, 1), "")</f>
        <v/>
      </c>
      <c r="G14" s="2" t="b">
        <f t="shared" si="0"/>
        <v>0</v>
      </c>
      <c r="H14" s="2" t="b">
        <f t="shared" ref="H14:H16" si="104">IF(F14 = "G", TRUE, FALSE)</f>
        <v>0</v>
      </c>
      <c r="I14" s="2" t="b">
        <f t="shared" ref="I14:I16" si="105">IF(F14 = "S", TRUE, FALSE)</f>
        <v>0</v>
      </c>
      <c r="J14" s="2" t="b">
        <f t="shared" ref="J14:J16" si="106">IF(F14 = "B", TRUE, FALSE)</f>
        <v>0</v>
      </c>
      <c r="K14" s="27" t="b">
        <f t="shared" ref="K14:K16" si="107">IF(AND(IF(G14 = FALSE, TRUE, FALSE), IF(H14 = FALSE, TRUE, FALSE), IF(I14 = FALSE, TRUE, FALSE), IF(J14 = FALSE, TRUE, FALSE)) = TRUE, TRUE, FALSE)</f>
        <v>1</v>
      </c>
      <c r="L14" s="416"/>
      <c r="O14" s="1" t="s">
        <v>386</v>
      </c>
      <c r="P14" s="1" t="b">
        <f t="shared" ref="P14" si="108">OR(IF(C13 = 2, TRUE, FALSE), IF(C13 = 2.2, TRUE, FALSE))</f>
        <v>0</v>
      </c>
      <c r="Q14" s="1">
        <f t="shared" si="5"/>
        <v>0</v>
      </c>
      <c r="T14" s="2" t="b">
        <f t="shared" ref="T14" si="109">IF(D13 = 0, FALSE, IF(C13 = 1, CHOOSE(D13, W14, X14, Y14, Z14), IF(C13 = 2, CHOOSE(D13, AC14, AD14, AE14, AF14), IF(C13 = 3, CHOOSE(D13, AI14, AJ14, AK14), IF(C13 = 4, CHOOSE(D13, AN14, AO14), IF(C13 = 5, CHOOSE(D13, AR14, AS14, AT14), IF(C13 = 7, CHOOSE(D13, AW14, AX14, AY14), FALSE)))))))</f>
        <v>0</v>
      </c>
      <c r="W14" s="2" t="b">
        <f t="shared" ref="W14:W15" si="110">AND(NOT(K14), NOT(J14))</f>
        <v>0</v>
      </c>
      <c r="X14" s="2" t="b">
        <f t="shared" ref="X14" si="111">NOT(K13)</f>
        <v>0</v>
      </c>
      <c r="Y14" s="2" t="b">
        <f t="shared" ref="Y14" si="112">AND(NOT(K14), NOT(J14))</f>
        <v>0</v>
      </c>
      <c r="Z14" s="2" t="b">
        <f t="shared" ref="Z14" si="113">OR(I14, J14)</f>
        <v>0</v>
      </c>
      <c r="AC14" s="2" t="b">
        <f t="shared" ref="AC14" si="114">AND(NOT(K14), NOT(J14))</f>
        <v>0</v>
      </c>
      <c r="AD14" s="2" t="b">
        <f t="shared" ref="AD14" si="115">J14</f>
        <v>0</v>
      </c>
      <c r="AE14" s="2" t="b">
        <f t="shared" ref="AE14" si="116">AND(NOT(K14), NOT(J14))</f>
        <v>0</v>
      </c>
      <c r="AF14" s="2" t="b">
        <f t="shared" ref="AF14" si="117">J14</f>
        <v>0</v>
      </c>
      <c r="AI14" s="2" t="b">
        <f t="shared" ref="AI14" si="118">AND(NOT(J14), NOT(K14))</f>
        <v>0</v>
      </c>
      <c r="AJ14" s="2" t="b">
        <f t="shared" ref="AJ14" si="119">OR(I14, J14)</f>
        <v>0</v>
      </c>
      <c r="AK14" s="2" t="b">
        <f t="shared" ref="AK14" si="120">OR(I14, J14)</f>
        <v>0</v>
      </c>
      <c r="AN14" s="2" t="b">
        <f t="shared" ref="AN14" si="121">OR(I14, J14)</f>
        <v>0</v>
      </c>
      <c r="AO14" s="2" t="b">
        <f t="shared" ref="AO14" si="122">J14</f>
        <v>0</v>
      </c>
      <c r="AR14" s="2" t="b">
        <f t="shared" si="98"/>
        <v>0</v>
      </c>
      <c r="AS14" s="2" t="b">
        <f t="shared" ref="AS14" si="123">OR(I14, J14)</f>
        <v>0</v>
      </c>
      <c r="AT14" s="2" t="b">
        <f t="shared" ref="AT14" si="124">OR(I14, J14)</f>
        <v>0</v>
      </c>
      <c r="AW14" s="2" t="b">
        <f t="shared" ref="AW14" si="125">J14</f>
        <v>0</v>
      </c>
      <c r="AX14" s="2" t="b">
        <f t="shared" ref="AX14" si="126">J14</f>
        <v>0</v>
      </c>
      <c r="AY14" s="2" t="b">
        <f t="shared" ref="AY14" si="127">J14</f>
        <v>0</v>
      </c>
    </row>
    <row r="15" spans="2:54" ht="18" customHeight="1" x14ac:dyDescent="0.3">
      <c r="B15" s="416"/>
      <c r="C15" s="332"/>
      <c r="D15" s="332"/>
      <c r="E15" s="2" t="s">
        <v>235</v>
      </c>
      <c r="F15" s="2" t="str">
        <f>IF('One-Off Entries'!O8 &lt;&gt; "", LEFT('One-Off Entries'!O8, 1), "")</f>
        <v/>
      </c>
      <c r="G15" s="2" t="b">
        <f t="shared" si="0"/>
        <v>0</v>
      </c>
      <c r="H15" s="2" t="b">
        <f t="shared" si="104"/>
        <v>0</v>
      </c>
      <c r="I15" s="2" t="b">
        <f t="shared" si="105"/>
        <v>0</v>
      </c>
      <c r="J15" s="2" t="b">
        <f t="shared" si="106"/>
        <v>0</v>
      </c>
      <c r="K15" s="27" t="b">
        <f t="shared" si="107"/>
        <v>1</v>
      </c>
      <c r="L15" s="416"/>
      <c r="O15" s="1" t="s">
        <v>387</v>
      </c>
      <c r="P15" s="1" t="b">
        <f t="shared" ref="P15" si="128">OR(IF(D13 = 2, TRUE, FALSE), IF(D13 = 4, TRUE, FALSE))</f>
        <v>0</v>
      </c>
      <c r="Q15" s="1">
        <f t="shared" si="5"/>
        <v>0</v>
      </c>
      <c r="T15" s="2" t="b">
        <f t="shared" ref="T15" si="129">IF(D13 = 0, FALSE, IF(C13 = 1, CHOOSE(D13, W15, X15, Y15, Z15), IF(C13 = 2, CHOOSE(D13, AC15, AD15, AE15, AF15), IF(C13 = 3, CHOOSE(D13, AI15, AJ15, AK15), IF(C13 = 4, CHOOSE(D13, AN15, AO15), IF(C13 = 5, CHOOSE(D13, AR15, AS15, AT15), IF(C13 = 7, CHOOSE(D13, AW15, AX15, AY15), FALSE)))))))</f>
        <v>0</v>
      </c>
      <c r="W15" s="2" t="b">
        <f t="shared" si="110"/>
        <v>0</v>
      </c>
      <c r="X15" s="2" t="b">
        <f t="shared" ref="X15" si="130">OR(I15, J15)</f>
        <v>0</v>
      </c>
      <c r="Y15" s="2" t="b">
        <f t="shared" ref="Y15" si="131">AND(NOT(K14), NOT(J14))</f>
        <v>0</v>
      </c>
      <c r="Z15" s="2" t="b">
        <f t="shared" ref="Z15" si="132">J15</f>
        <v>0</v>
      </c>
      <c r="AC15" s="2" t="b">
        <f t="shared" ref="AC15" si="133">NOT(K15)</f>
        <v>0</v>
      </c>
      <c r="AD15" s="2" t="b">
        <f t="shared" ref="AD15" si="134">OR(I15, J15)</f>
        <v>0</v>
      </c>
      <c r="AE15" s="2" t="b">
        <f t="shared" ref="AE15" si="135">NOT(K15)</f>
        <v>0</v>
      </c>
      <c r="AF15" s="2" t="b">
        <f t="shared" ref="AF15" si="136">OR(I15, J15)</f>
        <v>0</v>
      </c>
      <c r="AI15" s="2" t="b">
        <f t="shared" ref="AI15" si="137">AND(OR(I15, J15), NOT(K15))</f>
        <v>0</v>
      </c>
      <c r="AJ15" s="2" t="b">
        <f t="shared" ref="AJ15" si="138">J15</f>
        <v>0</v>
      </c>
      <c r="AK15" s="2" t="b">
        <f t="shared" ref="AK15" si="139">J15</f>
        <v>0</v>
      </c>
      <c r="AN15" s="2" t="b">
        <f t="shared" ref="AN15:AN16" si="140">K15</f>
        <v>1</v>
      </c>
      <c r="AO15" s="2" t="b">
        <f t="shared" ref="AO15:AO16" si="141">K15</f>
        <v>1</v>
      </c>
      <c r="AR15" s="2" t="b">
        <f t="shared" si="98"/>
        <v>0</v>
      </c>
      <c r="AS15" s="2" t="b">
        <f t="shared" ref="AS15" si="142">J15</f>
        <v>0</v>
      </c>
      <c r="AT15" s="2" t="b">
        <f t="shared" ref="AT15" si="143">J15</f>
        <v>0</v>
      </c>
      <c r="AW15" s="2" t="b">
        <f t="shared" ref="AW15:AW16" si="144">K15</f>
        <v>1</v>
      </c>
      <c r="AX15" s="2" t="b">
        <f t="shared" ref="AX15:AX16" si="145">K15</f>
        <v>1</v>
      </c>
      <c r="AY15" s="2" t="b">
        <f t="shared" ref="AY15:AY16" si="146">K15</f>
        <v>1</v>
      </c>
    </row>
    <row r="16" spans="2:54" ht="18" customHeight="1" x14ac:dyDescent="0.3">
      <c r="B16" s="412"/>
      <c r="C16" s="332"/>
      <c r="D16" s="332"/>
      <c r="E16" s="2" t="s">
        <v>236</v>
      </c>
      <c r="F16" s="2" t="str">
        <f>IF('One-Off Entries'!P8 &lt;&gt; "", LEFT('One-Off Entries'!P8, 1), "")</f>
        <v/>
      </c>
      <c r="G16" s="2" t="b">
        <f t="shared" si="0"/>
        <v>0</v>
      </c>
      <c r="H16" s="2" t="b">
        <f t="shared" si="104"/>
        <v>0</v>
      </c>
      <c r="I16" s="2" t="b">
        <f t="shared" si="105"/>
        <v>0</v>
      </c>
      <c r="J16" s="2" t="b">
        <f t="shared" si="106"/>
        <v>0</v>
      </c>
      <c r="K16" s="27" t="b">
        <f t="shared" si="107"/>
        <v>1</v>
      </c>
      <c r="L16" s="412"/>
      <c r="O16" s="1" t="s">
        <v>388</v>
      </c>
      <c r="P16" s="1" t="b">
        <f t="shared" ref="P16" si="147">IF(SUM(Q13:Q16) &gt; 1, TRUE, FALSE)</f>
        <v>0</v>
      </c>
      <c r="Q16" s="1">
        <f t="shared" si="5"/>
        <v>0</v>
      </c>
      <c r="T16" s="2" t="b">
        <f>IF(D13 = 0, FALSE, IF(C13 = 1, CHOOSE(D13, W16, X16, Y16, Z16), IF(C13 = 2, IF(BB16 = "Rolex 24 at Daytona", CHOOSE(D13, AC16, AD16, AE16, AF16), K16), IF(C13 = 3, CHOOSE(D13, AI16, AJ16, AK16), IF(C13 = 4, CHOOSE(D13, AN16, AO16), IF(C13 = 5, CHOOSE(D13, AR16, AS16, AT16), IF(C13 = 7, CHOOSE(D13, AW16, AX16, AY16), FALSE)))))))</f>
        <v>0</v>
      </c>
      <c r="W16" s="2" t="b">
        <f t="shared" ref="W16" si="148">K16</f>
        <v>1</v>
      </c>
      <c r="X16" s="2" t="b">
        <f t="shared" ref="X16" si="149">K16</f>
        <v>1</v>
      </c>
      <c r="Y16" s="2" t="b">
        <f t="shared" ref="Y16" si="150">K16</f>
        <v>1</v>
      </c>
      <c r="Z16" s="2" t="b">
        <f t="shared" ref="Z16" si="151">K16</f>
        <v>1</v>
      </c>
      <c r="AC16" s="2" t="b">
        <v>1</v>
      </c>
      <c r="AD16" s="2" t="b">
        <f t="shared" ref="AD16" si="152">NOT(K16)</f>
        <v>0</v>
      </c>
      <c r="AE16" s="2" t="b">
        <v>1</v>
      </c>
      <c r="AF16" s="2" t="b">
        <f t="shared" ref="AF16" si="153">NOT(K16)</f>
        <v>0</v>
      </c>
      <c r="AI16" s="2" t="b">
        <f t="shared" ref="AI16" si="154">K16</f>
        <v>1</v>
      </c>
      <c r="AJ16" s="2" t="b">
        <f t="shared" ref="AJ16" si="155">K16</f>
        <v>1</v>
      </c>
      <c r="AK16" s="2" t="b">
        <f t="shared" ref="AK16" si="156">K16</f>
        <v>1</v>
      </c>
      <c r="AN16" s="2" t="b">
        <f t="shared" si="140"/>
        <v>1</v>
      </c>
      <c r="AO16" s="2" t="b">
        <f t="shared" si="141"/>
        <v>1</v>
      </c>
      <c r="AR16" s="2" t="b">
        <f t="shared" ref="AR16" si="157">K16</f>
        <v>1</v>
      </c>
      <c r="AS16" s="2" t="b">
        <f t="shared" ref="AS16" si="158">K16</f>
        <v>1</v>
      </c>
      <c r="AT16" s="2" t="b">
        <f t="shared" ref="AT16" si="159">K16</f>
        <v>1</v>
      </c>
      <c r="AW16" s="2" t="b">
        <f t="shared" si="144"/>
        <v>1</v>
      </c>
      <c r="AX16" s="2" t="b">
        <f t="shared" si="145"/>
        <v>1</v>
      </c>
      <c r="AY16" s="2" t="b">
        <f t="shared" si="146"/>
        <v>1</v>
      </c>
      <c r="BB16" s="1">
        <f>'One-Off Entries'!C8</f>
        <v>0</v>
      </c>
    </row>
    <row r="17" spans="2:54" ht="18" customHeight="1" x14ac:dyDescent="0.3">
      <c r="B17" s="415">
        <v>4</v>
      </c>
      <c r="C17" s="332">
        <f>'One-Off Entries'!AI9</f>
        <v>0</v>
      </c>
      <c r="D17" s="332">
        <f>'One-Off Entries'!AJ9</f>
        <v>0</v>
      </c>
      <c r="E17" s="2" t="s">
        <v>233</v>
      </c>
      <c r="F17" s="2" t="str">
        <f>IF('One-Off Entries'!M9 &lt;&gt; "", LEFT('One-Off Entries'!M9, 1), "")</f>
        <v/>
      </c>
      <c r="G17" s="2" t="b">
        <f>IF(F17 = "P", TRUE, FALSE)</f>
        <v>0</v>
      </c>
      <c r="H17" s="2" t="b">
        <f>IF(F17 = "G", TRUE, FALSE)</f>
        <v>0</v>
      </c>
      <c r="I17" s="2" t="b">
        <f>IF(F17 = "S", TRUE, FALSE)</f>
        <v>0</v>
      </c>
      <c r="J17" s="2" t="b">
        <f>IF(F17 = "B", TRUE, FALSE)</f>
        <v>0</v>
      </c>
      <c r="K17" s="27" t="b">
        <f>IF(AND(IF(G17 = FALSE, TRUE, FALSE), IF(H17 = FALSE, TRUE, FALSE), IF(I17 = FALSE, TRUE, FALSE), IF(J17 = FALSE, TRUE, FALSE)) = TRUE, TRUE, FALSE)</f>
        <v>1</v>
      </c>
      <c r="L17" s="415" t="str">
        <f>IF(P17, "", IF(AND(P18, P19), AND(T17, T18, T19, T20), AND(NOT(P20), T17, T18, T19, T20)))</f>
        <v/>
      </c>
      <c r="O17" s="1" t="s">
        <v>232</v>
      </c>
      <c r="P17" s="1" t="b">
        <f t="shared" ref="P17" si="160">AND(K17, K18, K19, K20)</f>
        <v>1</v>
      </c>
      <c r="Q17" s="1">
        <f t="shared" si="5"/>
        <v>0</v>
      </c>
      <c r="T17" s="2" t="b">
        <f t="shared" ref="T17" si="161">IF(D17 = 0, FALSE, IF(C17 = 1, CHOOSE(D17, W17, X17, Y17, Z17), IF(C17 = 2, CHOOSE(D17, AC17, AD17, AE17, AF17), IF(C17 = 3, CHOOSE(D17, AI17, AJ17, AK17), IF(C17 = 4, CHOOSE(D17, AN17, AO17), IF(C17 = 5, CHOOSE(D17, AR17, AS17, AT17), IF(C17 = 7, CHOOSE(D17, AW17, AX17, AY17), FALSE)))))))</f>
        <v>0</v>
      </c>
      <c r="W17" s="2" t="b">
        <f t="shared" ref="W17" si="162">AND(NOT(I17), NOT(K17), NOT(J17))</f>
        <v>0</v>
      </c>
      <c r="X17" s="2" t="b">
        <f t="shared" ref="X17" si="163">AND(NOT(I17), NOT(K17), NOT(J17))</f>
        <v>0</v>
      </c>
      <c r="Y17" s="2" t="b">
        <f t="shared" ref="Y17" si="164">AND(NOT(I17), NOT(K17), NOT(J17))</f>
        <v>0</v>
      </c>
      <c r="Z17" s="2" t="b">
        <f t="shared" ref="Z17" si="165">AND(NOT(I17), NOT(K17), NOT(J17))</f>
        <v>0</v>
      </c>
      <c r="AC17" s="2" t="b">
        <f t="shared" ref="AC17" si="166">AND(NOT(I17), NOT(K17), NOT(J17))</f>
        <v>0</v>
      </c>
      <c r="AD17" s="2" t="b">
        <f t="shared" ref="AD17" si="167">AND(NOT(G17), NOT(K17), NOT(J17))</f>
        <v>0</v>
      </c>
      <c r="AE17" s="2" t="b">
        <f t="shared" ref="AE17" si="168">AND(NOT(I17), NOT(K17), NOT(J17))</f>
        <v>0</v>
      </c>
      <c r="AF17" s="2" t="b">
        <f t="shared" ref="AF17" si="169">AND(NOT(I17), NOT(K17), NOT(J17))</f>
        <v>0</v>
      </c>
      <c r="AI17" s="2" t="b">
        <f t="shared" ref="AI17" si="170">AND(NOT(I17), NOT(K17), NOT(J17))</f>
        <v>0</v>
      </c>
      <c r="AJ17" s="2" t="b">
        <f t="shared" ref="AJ17" si="171">AND(NOT(J17), NOT(K17))</f>
        <v>0</v>
      </c>
      <c r="AK17" s="2" t="b">
        <f t="shared" ref="AK17" si="172">AND(NOT(I17), NOT(K17), NOT(J17))</f>
        <v>0</v>
      </c>
      <c r="AN17" s="2" t="b">
        <f t="shared" ref="AN17" si="173">AND(NOT(I17), NOT(K17), NOT(J17))</f>
        <v>0</v>
      </c>
      <c r="AO17" s="2" t="b">
        <f t="shared" ref="AO17" si="174">AND(NOT(G17), NOT(J17), NOT(K17))</f>
        <v>0</v>
      </c>
      <c r="AR17" s="2" t="b">
        <f t="shared" ref="AR17:AR19" si="175">AND(NOT(J17), NOT(K17))</f>
        <v>0</v>
      </c>
      <c r="AS17" s="2" t="b">
        <f t="shared" ref="AS17" si="176">AND(NOT(I17), NOT(K17), NOT(J17))</f>
        <v>0</v>
      </c>
      <c r="AT17" s="2" t="b">
        <f t="shared" ref="AT17" si="177">AND(NOT(G17), NOT(J17), NOT(K17))</f>
        <v>0</v>
      </c>
      <c r="AW17" s="2" t="b">
        <f t="shared" ref="AW17" si="178">AND(NOT(G17), NOT(J17), NOT(K17))</f>
        <v>0</v>
      </c>
      <c r="AX17" s="2" t="b">
        <f t="shared" ref="AX17" si="179">AND(NOT(J17), NOT(K17))</f>
        <v>0</v>
      </c>
      <c r="AY17" s="2" t="b">
        <f t="shared" ref="AY17" si="180">AND(NOT(G17), NOT(J17), NOT(K17))</f>
        <v>0</v>
      </c>
    </row>
    <row r="18" spans="2:54" ht="18" customHeight="1" x14ac:dyDescent="0.3">
      <c r="B18" s="416"/>
      <c r="C18" s="332"/>
      <c r="D18" s="332"/>
      <c r="E18" s="2" t="s">
        <v>234</v>
      </c>
      <c r="F18" s="2" t="str">
        <f>IF('One-Off Entries'!N9 &lt;&gt; "", LEFT('One-Off Entries'!N9, 1), "")</f>
        <v/>
      </c>
      <c r="G18" s="2" t="b">
        <f t="shared" si="0"/>
        <v>0</v>
      </c>
      <c r="H18" s="2" t="b">
        <f t="shared" ref="H18:H20" si="181">IF(F18 = "G", TRUE, FALSE)</f>
        <v>0</v>
      </c>
      <c r="I18" s="2" t="b">
        <f t="shared" ref="I18:I20" si="182">IF(F18 = "S", TRUE, FALSE)</f>
        <v>0</v>
      </c>
      <c r="J18" s="2" t="b">
        <f t="shared" ref="J18:J20" si="183">IF(F18 = "B", TRUE, FALSE)</f>
        <v>0</v>
      </c>
      <c r="K18" s="27" t="b">
        <f t="shared" ref="K18:K20" si="184">IF(AND(IF(G18 = FALSE, TRUE, FALSE), IF(H18 = FALSE, TRUE, FALSE), IF(I18 = FALSE, TRUE, FALSE), IF(J18 = FALSE, TRUE, FALSE)) = TRUE, TRUE, FALSE)</f>
        <v>1</v>
      </c>
      <c r="L18" s="416"/>
      <c r="O18" s="1" t="s">
        <v>386</v>
      </c>
      <c r="P18" s="1" t="b">
        <f t="shared" ref="P18" si="185">OR(IF(C17 = 2, TRUE, FALSE), IF(C17 = 2.2, TRUE, FALSE))</f>
        <v>0</v>
      </c>
      <c r="Q18" s="1">
        <f t="shared" si="5"/>
        <v>0</v>
      </c>
      <c r="T18" s="2" t="b">
        <f t="shared" ref="T18" si="186">IF(D17 = 0, FALSE, IF(C17 = 1, CHOOSE(D17, W18, X18, Y18, Z18), IF(C17 = 2, CHOOSE(D17, AC18, AD18, AE18, AF18), IF(C17 = 3, CHOOSE(D17, AI18, AJ18, AK18), IF(C17 = 4, CHOOSE(D17, AN18, AO18), IF(C17 = 5, CHOOSE(D17, AR18, AS18, AT18), IF(C17 = 7, CHOOSE(D17, AW18, AX18, AY18), FALSE)))))))</f>
        <v>0</v>
      </c>
      <c r="W18" s="2" t="b">
        <f t="shared" ref="W18:W19" si="187">AND(NOT(K18), NOT(J18))</f>
        <v>0</v>
      </c>
      <c r="X18" s="2" t="b">
        <f t="shared" ref="X18" si="188">NOT(K17)</f>
        <v>0</v>
      </c>
      <c r="Y18" s="2" t="b">
        <f t="shared" ref="Y18" si="189">AND(NOT(K18), NOT(J18))</f>
        <v>0</v>
      </c>
      <c r="Z18" s="2" t="b">
        <f t="shared" ref="Z18" si="190">OR(I18, J18)</f>
        <v>0</v>
      </c>
      <c r="AC18" s="2" t="b">
        <f t="shared" ref="AC18" si="191">AND(NOT(K18), NOT(J18))</f>
        <v>0</v>
      </c>
      <c r="AD18" s="2" t="b">
        <f t="shared" ref="AD18" si="192">J18</f>
        <v>0</v>
      </c>
      <c r="AE18" s="2" t="b">
        <f t="shared" ref="AE18" si="193">AND(NOT(K18), NOT(J18))</f>
        <v>0</v>
      </c>
      <c r="AF18" s="2" t="b">
        <f t="shared" ref="AF18" si="194">J18</f>
        <v>0</v>
      </c>
      <c r="AI18" s="2" t="b">
        <f t="shared" ref="AI18" si="195">AND(NOT(J18), NOT(K18))</f>
        <v>0</v>
      </c>
      <c r="AJ18" s="2" t="b">
        <f t="shared" ref="AJ18" si="196">OR(I18, J18)</f>
        <v>0</v>
      </c>
      <c r="AK18" s="2" t="b">
        <f t="shared" ref="AK18" si="197">OR(I18, J18)</f>
        <v>0</v>
      </c>
      <c r="AN18" s="2" t="b">
        <f t="shared" ref="AN18" si="198">OR(I18, J18)</f>
        <v>0</v>
      </c>
      <c r="AO18" s="2" t="b">
        <f t="shared" ref="AO18" si="199">J18</f>
        <v>0</v>
      </c>
      <c r="AR18" s="2" t="b">
        <f t="shared" si="175"/>
        <v>0</v>
      </c>
      <c r="AS18" s="2" t="b">
        <f t="shared" ref="AS18" si="200">OR(I18, J18)</f>
        <v>0</v>
      </c>
      <c r="AT18" s="2" t="b">
        <f t="shared" ref="AT18" si="201">OR(I18, J18)</f>
        <v>0</v>
      </c>
      <c r="AW18" s="2" t="b">
        <f t="shared" ref="AW18" si="202">J18</f>
        <v>0</v>
      </c>
      <c r="AX18" s="2" t="b">
        <f t="shared" ref="AX18" si="203">J18</f>
        <v>0</v>
      </c>
      <c r="AY18" s="2" t="b">
        <f t="shared" ref="AY18" si="204">J18</f>
        <v>0</v>
      </c>
    </row>
    <row r="19" spans="2:54" ht="18" customHeight="1" x14ac:dyDescent="0.3">
      <c r="B19" s="416"/>
      <c r="C19" s="332"/>
      <c r="D19" s="332"/>
      <c r="E19" s="2" t="s">
        <v>235</v>
      </c>
      <c r="F19" s="2" t="str">
        <f>IF('One-Off Entries'!O9 &lt;&gt; "", LEFT('One-Off Entries'!O9, 1), "")</f>
        <v/>
      </c>
      <c r="G19" s="2" t="b">
        <f t="shared" si="0"/>
        <v>0</v>
      </c>
      <c r="H19" s="2" t="b">
        <f t="shared" si="181"/>
        <v>0</v>
      </c>
      <c r="I19" s="2" t="b">
        <f t="shared" si="182"/>
        <v>0</v>
      </c>
      <c r="J19" s="2" t="b">
        <f t="shared" si="183"/>
        <v>0</v>
      </c>
      <c r="K19" s="27" t="b">
        <f t="shared" si="184"/>
        <v>1</v>
      </c>
      <c r="L19" s="416"/>
      <c r="O19" s="1" t="s">
        <v>387</v>
      </c>
      <c r="P19" s="1" t="b">
        <f t="shared" ref="P19" si="205">OR(IF(D17 = 2, TRUE, FALSE), IF(D17 = 4, TRUE, FALSE))</f>
        <v>0</v>
      </c>
      <c r="Q19" s="1">
        <f t="shared" si="5"/>
        <v>0</v>
      </c>
      <c r="T19" s="2" t="b">
        <f t="shared" ref="T19" si="206">IF(D17 = 0, FALSE, IF(C17 = 1, CHOOSE(D17, W19, X19, Y19, Z19), IF(C17 = 2, CHOOSE(D17, AC19, AD19, AE19, AF19), IF(C17 = 3, CHOOSE(D17, AI19, AJ19, AK19), IF(C17 = 4, CHOOSE(D17, AN19, AO19), IF(C17 = 5, CHOOSE(D17, AR19, AS19, AT19), IF(C17 = 7, CHOOSE(D17, AW19, AX19, AY19), FALSE)))))))</f>
        <v>0</v>
      </c>
      <c r="W19" s="2" t="b">
        <f t="shared" si="187"/>
        <v>0</v>
      </c>
      <c r="X19" s="2" t="b">
        <f t="shared" ref="X19" si="207">OR(I19, J19)</f>
        <v>0</v>
      </c>
      <c r="Y19" s="2" t="b">
        <f t="shared" ref="Y19" si="208">AND(NOT(K18), NOT(J18))</f>
        <v>0</v>
      </c>
      <c r="Z19" s="2" t="b">
        <f t="shared" ref="Z19" si="209">J19</f>
        <v>0</v>
      </c>
      <c r="AC19" s="2" t="b">
        <f t="shared" ref="AC19" si="210">NOT(K19)</f>
        <v>0</v>
      </c>
      <c r="AD19" s="2" t="b">
        <f t="shared" ref="AD19" si="211">OR(I19, J19)</f>
        <v>0</v>
      </c>
      <c r="AE19" s="2" t="b">
        <f t="shared" ref="AE19" si="212">NOT(K19)</f>
        <v>0</v>
      </c>
      <c r="AF19" s="2" t="b">
        <f t="shared" ref="AF19" si="213">OR(I19, J19)</f>
        <v>0</v>
      </c>
      <c r="AI19" s="2" t="b">
        <f t="shared" ref="AI19" si="214">AND(OR(I19, J19), NOT(K19))</f>
        <v>0</v>
      </c>
      <c r="AJ19" s="2" t="b">
        <f t="shared" ref="AJ19" si="215">J19</f>
        <v>0</v>
      </c>
      <c r="AK19" s="2" t="b">
        <f t="shared" ref="AK19" si="216">J19</f>
        <v>0</v>
      </c>
      <c r="AN19" s="2" t="b">
        <f t="shared" ref="AN19:AN20" si="217">K19</f>
        <v>1</v>
      </c>
      <c r="AO19" s="2" t="b">
        <f t="shared" ref="AO19:AO20" si="218">K19</f>
        <v>1</v>
      </c>
      <c r="AR19" s="2" t="b">
        <f t="shared" si="175"/>
        <v>0</v>
      </c>
      <c r="AS19" s="2" t="b">
        <f t="shared" ref="AS19" si="219">J19</f>
        <v>0</v>
      </c>
      <c r="AT19" s="2" t="b">
        <f t="shared" ref="AT19" si="220">J19</f>
        <v>0</v>
      </c>
      <c r="AW19" s="2" t="b">
        <f t="shared" ref="AW19:AW20" si="221">K19</f>
        <v>1</v>
      </c>
      <c r="AX19" s="2" t="b">
        <f t="shared" ref="AX19:AX20" si="222">K19</f>
        <v>1</v>
      </c>
      <c r="AY19" s="2" t="b">
        <f t="shared" ref="AY19:AY20" si="223">K19</f>
        <v>1</v>
      </c>
    </row>
    <row r="20" spans="2:54" ht="18" customHeight="1" x14ac:dyDescent="0.3">
      <c r="B20" s="412"/>
      <c r="C20" s="332"/>
      <c r="D20" s="332"/>
      <c r="E20" s="2" t="s">
        <v>236</v>
      </c>
      <c r="F20" s="2" t="str">
        <f>IF('One-Off Entries'!P9 &lt;&gt; "", LEFT('One-Off Entries'!P9, 1), "")</f>
        <v/>
      </c>
      <c r="G20" s="2" t="b">
        <f t="shared" si="0"/>
        <v>0</v>
      </c>
      <c r="H20" s="2" t="b">
        <f t="shared" si="181"/>
        <v>0</v>
      </c>
      <c r="I20" s="2" t="b">
        <f t="shared" si="182"/>
        <v>0</v>
      </c>
      <c r="J20" s="2" t="b">
        <f t="shared" si="183"/>
        <v>0</v>
      </c>
      <c r="K20" s="27" t="b">
        <f t="shared" si="184"/>
        <v>1</v>
      </c>
      <c r="L20" s="412"/>
      <c r="O20" s="1" t="s">
        <v>388</v>
      </c>
      <c r="P20" s="1" t="b">
        <f t="shared" ref="P20" si="224">IF(SUM(Q17:Q20) &gt; 1, TRUE, FALSE)</f>
        <v>0</v>
      </c>
      <c r="Q20" s="1">
        <f t="shared" si="5"/>
        <v>0</v>
      </c>
      <c r="T20" s="2" t="b">
        <f>IF(D17 = 0, FALSE, IF(C17 = 1, CHOOSE(D17, W20, X20, Y20, Z20), IF(C17 = 2, IF(BB20 = "Rolex 24 at Daytona", CHOOSE(D17, AC20, AD20, AE20, AF20), K20), IF(C17 = 3, CHOOSE(D17, AI20, AJ20, AK20), IF(C17 = 4, CHOOSE(D17, AN20, AO20), IF(C17 = 5, CHOOSE(D17, AR20, AS20, AT20), IF(C17 = 7, CHOOSE(D17, AW20, AX20, AY20), FALSE)))))))</f>
        <v>0</v>
      </c>
      <c r="W20" s="2" t="b">
        <f t="shared" ref="W20" si="225">K20</f>
        <v>1</v>
      </c>
      <c r="X20" s="2" t="b">
        <f t="shared" ref="X20" si="226">K20</f>
        <v>1</v>
      </c>
      <c r="Y20" s="2" t="b">
        <f t="shared" ref="Y20" si="227">K20</f>
        <v>1</v>
      </c>
      <c r="Z20" s="2" t="b">
        <f t="shared" ref="Z20" si="228">K20</f>
        <v>1</v>
      </c>
      <c r="AC20" s="2" t="b">
        <v>1</v>
      </c>
      <c r="AD20" s="2" t="b">
        <f t="shared" ref="AD20" si="229">NOT(K20)</f>
        <v>0</v>
      </c>
      <c r="AE20" s="2" t="b">
        <v>1</v>
      </c>
      <c r="AF20" s="2" t="b">
        <f t="shared" ref="AF20" si="230">NOT(K20)</f>
        <v>0</v>
      </c>
      <c r="AI20" s="2" t="b">
        <f t="shared" ref="AI20" si="231">K20</f>
        <v>1</v>
      </c>
      <c r="AJ20" s="2" t="b">
        <f t="shared" ref="AJ20" si="232">K20</f>
        <v>1</v>
      </c>
      <c r="AK20" s="2" t="b">
        <f t="shared" ref="AK20" si="233">K20</f>
        <v>1</v>
      </c>
      <c r="AN20" s="2" t="b">
        <f t="shared" si="217"/>
        <v>1</v>
      </c>
      <c r="AO20" s="2" t="b">
        <f t="shared" si="218"/>
        <v>1</v>
      </c>
      <c r="AR20" s="2" t="b">
        <f t="shared" ref="AR20" si="234">K20</f>
        <v>1</v>
      </c>
      <c r="AS20" s="2" t="b">
        <f t="shared" ref="AS20" si="235">K20</f>
        <v>1</v>
      </c>
      <c r="AT20" s="2" t="b">
        <f t="shared" ref="AT20" si="236">K20</f>
        <v>1</v>
      </c>
      <c r="AW20" s="2" t="b">
        <f t="shared" si="221"/>
        <v>1</v>
      </c>
      <c r="AX20" s="2" t="b">
        <f t="shared" si="222"/>
        <v>1</v>
      </c>
      <c r="AY20" s="2" t="b">
        <f t="shared" si="223"/>
        <v>1</v>
      </c>
      <c r="BB20" s="1">
        <f>'One-Off Entries'!C9</f>
        <v>0</v>
      </c>
    </row>
    <row r="21" spans="2:54" ht="18" hidden="1" customHeight="1" x14ac:dyDescent="0.3">
      <c r="B21" s="415">
        <v>5</v>
      </c>
      <c r="C21" s="332">
        <f>'One-Off Entries'!AI10</f>
        <v>0</v>
      </c>
      <c r="D21" s="332">
        <f>'One-Off Entries'!AJ10</f>
        <v>0</v>
      </c>
      <c r="E21" s="2" t="s">
        <v>233</v>
      </c>
      <c r="F21" s="2" t="str">
        <f>IF('One-Off Entries'!M10 &lt;&gt; "", LEFT('One-Off Entries'!M10, 1), "")</f>
        <v/>
      </c>
      <c r="G21" s="2" t="b">
        <f>IF(F21 = "P", TRUE, FALSE)</f>
        <v>0</v>
      </c>
      <c r="H21" s="2" t="b">
        <f>IF(F21 = "G", TRUE, FALSE)</f>
        <v>0</v>
      </c>
      <c r="I21" s="2" t="b">
        <f>IF(F21 = "S", TRUE, FALSE)</f>
        <v>0</v>
      </c>
      <c r="J21" s="2" t="b">
        <f>IF(F21 = "B", TRUE, FALSE)</f>
        <v>0</v>
      </c>
      <c r="K21" s="27" t="b">
        <f>IF(AND(IF(G21 = FALSE, TRUE, FALSE), IF(H21 = FALSE, TRUE, FALSE), IF(I21 = FALSE, TRUE, FALSE), IF(J21 = FALSE, TRUE, FALSE)) = TRUE, TRUE, FALSE)</f>
        <v>1</v>
      </c>
      <c r="L21" s="415" t="str">
        <f>IF(P21, "", IF(AND(P22, P23), AND(T21, T22, T23, T24), AND(NOT(P24), T21, T22, T23, T24)))</f>
        <v/>
      </c>
      <c r="O21" s="1" t="s">
        <v>232</v>
      </c>
      <c r="P21" s="1" t="b">
        <f t="shared" ref="P21" si="237">AND(K21, K22, K23, K24)</f>
        <v>1</v>
      </c>
      <c r="Q21" s="1">
        <f t="shared" si="5"/>
        <v>0</v>
      </c>
      <c r="T21" s="2" t="b">
        <f t="shared" ref="T21" si="238">IF(D21 = 0, FALSE, IF(C21 = 1, CHOOSE(D21, W21, X21, Y21, Z21), IF(C21 = 2, CHOOSE(D21, AC21, AD21, AE21, AF21), IF(C21 = 3, CHOOSE(D21, AI21, AJ21, AK21), IF(C21 = 4, CHOOSE(D21, AN21, AO21), IF(C21 = 5, CHOOSE(D21, AR21, AS21, AT21), IF(C21 = 7, CHOOSE(D21, AW21, AX21, AY21), FALSE)))))))</f>
        <v>0</v>
      </c>
      <c r="W21" s="2" t="b">
        <f t="shared" ref="W21" si="239">AND(NOT(I21), NOT(K21), NOT(J21))</f>
        <v>0</v>
      </c>
      <c r="X21" s="2" t="b">
        <f t="shared" ref="X21" si="240">AND(NOT(I21), NOT(K21), NOT(J21))</f>
        <v>0</v>
      </c>
      <c r="Y21" s="2" t="b">
        <f t="shared" ref="Y21" si="241">AND(NOT(I21), NOT(K21), NOT(J21))</f>
        <v>0</v>
      </c>
      <c r="Z21" s="2" t="b">
        <f t="shared" ref="Z21" si="242">AND(NOT(I21), NOT(K21), NOT(J21))</f>
        <v>0</v>
      </c>
      <c r="AC21" s="2" t="b">
        <f t="shared" ref="AC21" si="243">AND(NOT(I21), NOT(K21), NOT(J21))</f>
        <v>0</v>
      </c>
      <c r="AD21" s="2" t="b">
        <f t="shared" ref="AD21" si="244">AND(NOT(G21), NOT(K21), NOT(J21))</f>
        <v>0</v>
      </c>
      <c r="AE21" s="2" t="b">
        <f t="shared" ref="AE21" si="245">AND(NOT(I21), NOT(K21), NOT(J21))</f>
        <v>0</v>
      </c>
      <c r="AF21" s="2" t="b">
        <f t="shared" ref="AF21" si="246">AND(NOT(I21), NOT(K21), NOT(J21))</f>
        <v>0</v>
      </c>
      <c r="AI21" s="2" t="b">
        <f t="shared" ref="AI21" si="247">AND(NOT(I21), NOT(K21), NOT(J21))</f>
        <v>0</v>
      </c>
      <c r="AJ21" s="2" t="b">
        <f t="shared" ref="AJ21" si="248">AND(NOT(J21), NOT(K21))</f>
        <v>0</v>
      </c>
      <c r="AK21" s="2" t="b">
        <f t="shared" ref="AK21" si="249">AND(NOT(I21), NOT(K21), NOT(J21))</f>
        <v>0</v>
      </c>
      <c r="AN21" s="2" t="b">
        <f t="shared" ref="AN21" si="250">AND(NOT(I21), NOT(K21), NOT(J21))</f>
        <v>0</v>
      </c>
      <c r="AO21" s="2" t="b">
        <f t="shared" ref="AO21" si="251">AND(NOT(G21), NOT(J21), NOT(K21))</f>
        <v>0</v>
      </c>
      <c r="AR21" s="2" t="b">
        <f t="shared" ref="AR21:AR23" si="252">AND(NOT(J21), NOT(K21))</f>
        <v>0</v>
      </c>
      <c r="AS21" s="2" t="b">
        <f t="shared" ref="AS21" si="253">AND(NOT(I21), NOT(K21), NOT(J21))</f>
        <v>0</v>
      </c>
      <c r="AT21" s="2" t="b">
        <f t="shared" ref="AT21" si="254">AND(NOT(G21), NOT(J21), NOT(K21))</f>
        <v>0</v>
      </c>
      <c r="AW21" s="2" t="b">
        <f t="shared" ref="AW21" si="255">AND(NOT(G21), NOT(J21), NOT(K21))</f>
        <v>0</v>
      </c>
      <c r="AX21" s="2" t="b">
        <f t="shared" ref="AX21" si="256">AND(NOT(J21), NOT(K21))</f>
        <v>0</v>
      </c>
      <c r="AY21" s="2" t="b">
        <f t="shared" ref="AY21" si="257">AND(NOT(G21), NOT(J21), NOT(K21))</f>
        <v>0</v>
      </c>
    </row>
    <row r="22" spans="2:54" ht="18" hidden="1" customHeight="1" x14ac:dyDescent="0.3">
      <c r="B22" s="416"/>
      <c r="C22" s="332"/>
      <c r="D22" s="332"/>
      <c r="E22" s="2" t="s">
        <v>234</v>
      </c>
      <c r="F22" s="2" t="str">
        <f>IF('One-Off Entries'!N10 &lt;&gt; "", LEFT('One-Off Entries'!N10, 1), "")</f>
        <v/>
      </c>
      <c r="G22" s="2" t="b">
        <f t="shared" si="0"/>
        <v>0</v>
      </c>
      <c r="H22" s="2" t="b">
        <f t="shared" ref="H22:H24" si="258">IF(F22 = "G", TRUE, FALSE)</f>
        <v>0</v>
      </c>
      <c r="I22" s="2" t="b">
        <f t="shared" ref="I22:I24" si="259">IF(F22 = "S", TRUE, FALSE)</f>
        <v>0</v>
      </c>
      <c r="J22" s="2" t="b">
        <f t="shared" ref="J22:J24" si="260">IF(F22 = "B", TRUE, FALSE)</f>
        <v>0</v>
      </c>
      <c r="K22" s="27" t="b">
        <f t="shared" ref="K22:K24" si="261">IF(AND(IF(G22 = FALSE, TRUE, FALSE), IF(H22 = FALSE, TRUE, FALSE), IF(I22 = FALSE, TRUE, FALSE), IF(J22 = FALSE, TRUE, FALSE)) = TRUE, TRUE, FALSE)</f>
        <v>1</v>
      </c>
      <c r="L22" s="416"/>
      <c r="O22" s="1" t="s">
        <v>386</v>
      </c>
      <c r="P22" s="1" t="b">
        <f t="shared" ref="P22" si="262">OR(IF(C21 = 2, TRUE, FALSE), IF(C21 = 2.2, TRUE, FALSE))</f>
        <v>0</v>
      </c>
      <c r="Q22" s="1">
        <f t="shared" si="5"/>
        <v>0</v>
      </c>
      <c r="T22" s="2" t="b">
        <f t="shared" ref="T22" si="263">IF(D21 = 0, FALSE, IF(C21 = 1, CHOOSE(D21, W22, X22, Y22, Z22), IF(C21 = 2, CHOOSE(D21, AC22, AD22, AE22, AF22), IF(C21 = 3, CHOOSE(D21, AI22, AJ22, AK22), IF(C21 = 4, CHOOSE(D21, AN22, AO22), IF(C21 = 5, CHOOSE(D21, AR22, AS22, AT22), IF(C21 = 7, CHOOSE(D21, AW22, AX22, AY22), FALSE)))))))</f>
        <v>0</v>
      </c>
      <c r="W22" s="2" t="b">
        <f t="shared" ref="W22:W23" si="264">AND(NOT(K22), NOT(J22))</f>
        <v>0</v>
      </c>
      <c r="X22" s="2" t="b">
        <f t="shared" ref="X22" si="265">NOT(K21)</f>
        <v>0</v>
      </c>
      <c r="Y22" s="2" t="b">
        <f t="shared" ref="Y22" si="266">AND(NOT(K22), NOT(J22))</f>
        <v>0</v>
      </c>
      <c r="Z22" s="2" t="b">
        <f t="shared" ref="Z22" si="267">OR(I22, J22)</f>
        <v>0</v>
      </c>
      <c r="AC22" s="2" t="b">
        <f t="shared" ref="AC22" si="268">AND(NOT(K22), NOT(J22))</f>
        <v>0</v>
      </c>
      <c r="AD22" s="2" t="b">
        <f t="shared" ref="AD22" si="269">J22</f>
        <v>0</v>
      </c>
      <c r="AE22" s="2" t="b">
        <f t="shared" ref="AE22" si="270">AND(NOT(K22), NOT(J22))</f>
        <v>0</v>
      </c>
      <c r="AF22" s="2" t="b">
        <f t="shared" ref="AF22" si="271">J22</f>
        <v>0</v>
      </c>
      <c r="AI22" s="2" t="b">
        <f t="shared" ref="AI22" si="272">AND(NOT(J22), NOT(K22))</f>
        <v>0</v>
      </c>
      <c r="AJ22" s="2" t="b">
        <f t="shared" ref="AJ22" si="273">OR(I22, J22)</f>
        <v>0</v>
      </c>
      <c r="AK22" s="2" t="b">
        <f t="shared" ref="AK22" si="274">OR(I22, J22)</f>
        <v>0</v>
      </c>
      <c r="AN22" s="2" t="b">
        <f t="shared" ref="AN22" si="275">OR(I22, J22)</f>
        <v>0</v>
      </c>
      <c r="AO22" s="2" t="b">
        <f t="shared" ref="AO22" si="276">J22</f>
        <v>0</v>
      </c>
      <c r="AR22" s="2" t="b">
        <f t="shared" si="252"/>
        <v>0</v>
      </c>
      <c r="AS22" s="2" t="b">
        <f t="shared" ref="AS22" si="277">OR(I22, J22)</f>
        <v>0</v>
      </c>
      <c r="AT22" s="2" t="b">
        <f t="shared" ref="AT22" si="278">OR(I22, J22)</f>
        <v>0</v>
      </c>
      <c r="AW22" s="2" t="b">
        <f t="shared" ref="AW22" si="279">J22</f>
        <v>0</v>
      </c>
      <c r="AX22" s="2" t="b">
        <f t="shared" ref="AX22" si="280">J22</f>
        <v>0</v>
      </c>
      <c r="AY22" s="2" t="b">
        <f t="shared" ref="AY22" si="281">J22</f>
        <v>0</v>
      </c>
    </row>
    <row r="23" spans="2:54" ht="18" hidden="1" customHeight="1" x14ac:dyDescent="0.3">
      <c r="B23" s="416"/>
      <c r="C23" s="332"/>
      <c r="D23" s="332"/>
      <c r="E23" s="2" t="s">
        <v>235</v>
      </c>
      <c r="F23" s="2" t="str">
        <f>IF('One-Off Entries'!O10 &lt;&gt; "", LEFT('One-Off Entries'!O10, 1), "")</f>
        <v/>
      </c>
      <c r="G23" s="2" t="b">
        <f t="shared" si="0"/>
        <v>0</v>
      </c>
      <c r="H23" s="2" t="b">
        <f t="shared" si="258"/>
        <v>0</v>
      </c>
      <c r="I23" s="2" t="b">
        <f t="shared" si="259"/>
        <v>0</v>
      </c>
      <c r="J23" s="2" t="b">
        <f t="shared" si="260"/>
        <v>0</v>
      </c>
      <c r="K23" s="27" t="b">
        <f t="shared" si="261"/>
        <v>1</v>
      </c>
      <c r="L23" s="416"/>
      <c r="O23" s="1" t="s">
        <v>387</v>
      </c>
      <c r="P23" s="1" t="b">
        <f t="shared" ref="P23" si="282">OR(IF(D21 = 2, TRUE, FALSE), IF(D21 = 4, TRUE, FALSE))</f>
        <v>0</v>
      </c>
      <c r="Q23" s="1">
        <f t="shared" si="5"/>
        <v>0</v>
      </c>
      <c r="T23" s="2" t="b">
        <f t="shared" ref="T23" si="283">IF(D21 = 0, FALSE, IF(C21 = 1, CHOOSE(D21, W23, X23, Y23, Z23), IF(C21 = 2, CHOOSE(D21, AC23, AD23, AE23, AF23), IF(C21 = 3, CHOOSE(D21, AI23, AJ23, AK23), IF(C21 = 4, CHOOSE(D21, AN23, AO23), IF(C21 = 5, CHOOSE(D21, AR23, AS23, AT23), IF(C21 = 7, CHOOSE(D21, AW23, AX23, AY23), FALSE)))))))</f>
        <v>0</v>
      </c>
      <c r="W23" s="2" t="b">
        <f t="shared" si="264"/>
        <v>0</v>
      </c>
      <c r="X23" s="2" t="b">
        <f t="shared" ref="X23" si="284">OR(I23, J23)</f>
        <v>0</v>
      </c>
      <c r="Y23" s="2" t="b">
        <f t="shared" ref="Y23" si="285">AND(NOT(K22), NOT(J22))</f>
        <v>0</v>
      </c>
      <c r="Z23" s="2" t="b">
        <f t="shared" ref="Z23" si="286">J23</f>
        <v>0</v>
      </c>
      <c r="AC23" s="2" t="b">
        <f t="shared" ref="AC23" si="287">NOT(K23)</f>
        <v>0</v>
      </c>
      <c r="AD23" s="2" t="b">
        <f t="shared" ref="AD23" si="288">OR(I23, J23)</f>
        <v>0</v>
      </c>
      <c r="AE23" s="2" t="b">
        <f t="shared" ref="AE23" si="289">NOT(K23)</f>
        <v>0</v>
      </c>
      <c r="AF23" s="2" t="b">
        <f t="shared" ref="AF23" si="290">OR(I23, J23)</f>
        <v>0</v>
      </c>
      <c r="AI23" s="2" t="b">
        <f t="shared" ref="AI23" si="291">AND(OR(I23, J23), NOT(K23))</f>
        <v>0</v>
      </c>
      <c r="AJ23" s="2" t="b">
        <f t="shared" ref="AJ23" si="292">J23</f>
        <v>0</v>
      </c>
      <c r="AK23" s="2" t="b">
        <f t="shared" ref="AK23" si="293">J23</f>
        <v>0</v>
      </c>
      <c r="AN23" s="2" t="b">
        <f t="shared" ref="AN23:AN24" si="294">K23</f>
        <v>1</v>
      </c>
      <c r="AO23" s="2" t="b">
        <f t="shared" ref="AO23:AO24" si="295">K23</f>
        <v>1</v>
      </c>
      <c r="AR23" s="2" t="b">
        <f t="shared" si="252"/>
        <v>0</v>
      </c>
      <c r="AS23" s="2" t="b">
        <f t="shared" ref="AS23" si="296">J23</f>
        <v>0</v>
      </c>
      <c r="AT23" s="2" t="b">
        <f t="shared" ref="AT23" si="297">J23</f>
        <v>0</v>
      </c>
      <c r="AW23" s="2" t="b">
        <f t="shared" ref="AW23:AW24" si="298">K23</f>
        <v>1</v>
      </c>
      <c r="AX23" s="2" t="b">
        <f t="shared" ref="AX23:AX24" si="299">K23</f>
        <v>1</v>
      </c>
      <c r="AY23" s="2" t="b">
        <f t="shared" ref="AY23:AY24" si="300">K23</f>
        <v>1</v>
      </c>
    </row>
    <row r="24" spans="2:54" ht="18" customHeight="1" x14ac:dyDescent="0.3">
      <c r="B24" s="412"/>
      <c r="C24" s="332"/>
      <c r="D24" s="332"/>
      <c r="E24" s="2" t="s">
        <v>236</v>
      </c>
      <c r="F24" s="2" t="str">
        <f>IF('One-Off Entries'!P10 &lt;&gt; "", LEFT('One-Off Entries'!P10, 1), "")</f>
        <v/>
      </c>
      <c r="G24" s="2" t="b">
        <f t="shared" si="0"/>
        <v>0</v>
      </c>
      <c r="H24" s="2" t="b">
        <f t="shared" si="258"/>
        <v>0</v>
      </c>
      <c r="I24" s="2" t="b">
        <f t="shared" si="259"/>
        <v>0</v>
      </c>
      <c r="J24" s="2" t="b">
        <f t="shared" si="260"/>
        <v>0</v>
      </c>
      <c r="K24" s="27" t="b">
        <f t="shared" si="261"/>
        <v>1</v>
      </c>
      <c r="L24" s="412"/>
      <c r="O24" s="1" t="s">
        <v>388</v>
      </c>
      <c r="P24" s="1" t="b">
        <f t="shared" ref="P24" si="301">IF(SUM(Q21:Q24) &gt; 1, TRUE, FALSE)</f>
        <v>0</v>
      </c>
      <c r="Q24" s="1">
        <f t="shared" si="5"/>
        <v>0</v>
      </c>
      <c r="T24" s="2" t="b">
        <f>IF(D21 = 0, FALSE, IF(C21 = 1, CHOOSE(D21, W24, X24, Y24, Z24), IF(C21 = 2, IF(BB24 = "Rolex 24 at Daytona", CHOOSE(D21, AC24, AD24, AE24, AF24), K24), IF(C21 = 3, CHOOSE(D21, AI24, AJ24, AK24), IF(C21 = 4, CHOOSE(D21, AN24, AO24), IF(C21 = 5, CHOOSE(D21, AR24, AS24, AT24), IF(C21 = 7, CHOOSE(D21, AW24, AX24, AY24), FALSE)))))))</f>
        <v>0</v>
      </c>
      <c r="W24" s="2" t="b">
        <f t="shared" ref="W24" si="302">K24</f>
        <v>1</v>
      </c>
      <c r="X24" s="2" t="b">
        <f t="shared" ref="X24" si="303">K24</f>
        <v>1</v>
      </c>
      <c r="Y24" s="2" t="b">
        <f t="shared" ref="Y24" si="304">K24</f>
        <v>1</v>
      </c>
      <c r="Z24" s="2" t="b">
        <f t="shared" ref="Z24" si="305">K24</f>
        <v>1</v>
      </c>
      <c r="AC24" s="2" t="b">
        <v>1</v>
      </c>
      <c r="AD24" s="2" t="b">
        <f t="shared" ref="AD24" si="306">NOT(K24)</f>
        <v>0</v>
      </c>
      <c r="AE24" s="2" t="b">
        <v>1</v>
      </c>
      <c r="AF24" s="2" t="b">
        <f t="shared" ref="AF24" si="307">NOT(K24)</f>
        <v>0</v>
      </c>
      <c r="AI24" s="2" t="b">
        <f t="shared" ref="AI24" si="308">K24</f>
        <v>1</v>
      </c>
      <c r="AJ24" s="2" t="b">
        <f t="shared" ref="AJ24" si="309">K24</f>
        <v>1</v>
      </c>
      <c r="AK24" s="2" t="b">
        <f t="shared" ref="AK24" si="310">K24</f>
        <v>1</v>
      </c>
      <c r="AN24" s="2" t="b">
        <f t="shared" si="294"/>
        <v>1</v>
      </c>
      <c r="AO24" s="2" t="b">
        <f t="shared" si="295"/>
        <v>1</v>
      </c>
      <c r="AR24" s="2" t="b">
        <f t="shared" ref="AR24" si="311">K24</f>
        <v>1</v>
      </c>
      <c r="AS24" s="2" t="b">
        <f t="shared" ref="AS24" si="312">K24</f>
        <v>1</v>
      </c>
      <c r="AT24" s="2" t="b">
        <f t="shared" ref="AT24" si="313">K24</f>
        <v>1</v>
      </c>
      <c r="AW24" s="2" t="b">
        <f t="shared" si="298"/>
        <v>1</v>
      </c>
      <c r="AX24" s="2" t="b">
        <f t="shared" si="299"/>
        <v>1</v>
      </c>
      <c r="AY24" s="2" t="b">
        <f t="shared" si="300"/>
        <v>1</v>
      </c>
      <c r="BB24" s="1">
        <f>'One-Off Entries'!C10</f>
        <v>0</v>
      </c>
    </row>
    <row r="25" spans="2:54" ht="18" hidden="1" customHeight="1" x14ac:dyDescent="0.3">
      <c r="B25" s="415">
        <v>6</v>
      </c>
      <c r="C25" s="332">
        <f>'One-Off Entries'!AI11</f>
        <v>0</v>
      </c>
      <c r="D25" s="332">
        <f>'One-Off Entries'!AJ11</f>
        <v>0</v>
      </c>
      <c r="E25" s="2" t="s">
        <v>233</v>
      </c>
      <c r="F25" s="2" t="str">
        <f>IF('One-Off Entries'!M11 &lt;&gt; "", LEFT('One-Off Entries'!M11, 1), "")</f>
        <v/>
      </c>
      <c r="G25" s="2" t="b">
        <f>IF(F25 = "P", TRUE, FALSE)</f>
        <v>0</v>
      </c>
      <c r="H25" s="2" t="b">
        <f>IF(F25 = "G", TRUE, FALSE)</f>
        <v>0</v>
      </c>
      <c r="I25" s="2" t="b">
        <f>IF(F25 = "S", TRUE, FALSE)</f>
        <v>0</v>
      </c>
      <c r="J25" s="2" t="b">
        <f>IF(F25 = "B", TRUE, FALSE)</f>
        <v>0</v>
      </c>
      <c r="K25" s="27" t="b">
        <f>IF(AND(IF(G25 = FALSE, TRUE, FALSE), IF(H25 = FALSE, TRUE, FALSE), IF(I25 = FALSE, TRUE, FALSE), IF(J25 = FALSE, TRUE, FALSE)) = TRUE, TRUE, FALSE)</f>
        <v>1</v>
      </c>
      <c r="L25" s="415" t="str">
        <f>IF(P25, "", IF(AND(P26, P27), AND(T25, T26, T27, T28), AND(NOT(P28), T25, T26, T27, T28)))</f>
        <v/>
      </c>
      <c r="O25" s="1" t="s">
        <v>232</v>
      </c>
      <c r="P25" s="1" t="b">
        <f t="shared" ref="P25" si="314">AND(K25, K26, K27, K28)</f>
        <v>1</v>
      </c>
      <c r="Q25" s="1">
        <f t="shared" si="5"/>
        <v>0</v>
      </c>
      <c r="T25" s="2" t="b">
        <f t="shared" ref="T25" si="315">IF(D25 = 0, FALSE, IF(C25 = 1, CHOOSE(D25, W25, X25, Y25, Z25), IF(C25 = 2, CHOOSE(D25, AC25, AD25, AE25, AF25), IF(C25 = 3, CHOOSE(D25, AI25, AJ25, AK25), IF(C25 = 4, CHOOSE(D25, AN25, AO25), IF(C25 = 5, CHOOSE(D25, AR25, AS25, AT25), IF(C25 = 7, CHOOSE(D25, AW25, AX25, AY25), FALSE)))))))</f>
        <v>0</v>
      </c>
      <c r="W25" s="2" t="b">
        <f t="shared" ref="W25" si="316">AND(NOT(I25), NOT(K25), NOT(J25))</f>
        <v>0</v>
      </c>
      <c r="X25" s="2" t="b">
        <f t="shared" ref="X25" si="317">AND(NOT(I25), NOT(K25), NOT(J25))</f>
        <v>0</v>
      </c>
      <c r="Y25" s="2" t="b">
        <f t="shared" ref="Y25" si="318">AND(NOT(I25), NOT(K25), NOT(J25))</f>
        <v>0</v>
      </c>
      <c r="Z25" s="2" t="b">
        <f t="shared" ref="Z25" si="319">AND(NOT(I25), NOT(K25), NOT(J25))</f>
        <v>0</v>
      </c>
      <c r="AC25" s="2" t="b">
        <f t="shared" ref="AC25" si="320">AND(NOT(I25), NOT(K25), NOT(J25))</f>
        <v>0</v>
      </c>
      <c r="AD25" s="2" t="b">
        <f t="shared" ref="AD25" si="321">AND(NOT(G25), NOT(K25), NOT(J25))</f>
        <v>0</v>
      </c>
      <c r="AE25" s="2" t="b">
        <f t="shared" ref="AE25" si="322">AND(NOT(I25), NOT(K25), NOT(J25))</f>
        <v>0</v>
      </c>
      <c r="AF25" s="2" t="b">
        <f t="shared" ref="AF25" si="323">AND(NOT(I25), NOT(K25), NOT(J25))</f>
        <v>0</v>
      </c>
      <c r="AI25" s="2" t="b">
        <f t="shared" ref="AI25" si="324">AND(NOT(I25), NOT(K25), NOT(J25))</f>
        <v>0</v>
      </c>
      <c r="AJ25" s="2" t="b">
        <f t="shared" ref="AJ25" si="325">AND(NOT(J25), NOT(K25))</f>
        <v>0</v>
      </c>
      <c r="AK25" s="2" t="b">
        <f t="shared" ref="AK25" si="326">AND(NOT(I25), NOT(K25), NOT(J25))</f>
        <v>0</v>
      </c>
      <c r="AN25" s="2" t="b">
        <f t="shared" ref="AN25" si="327">AND(NOT(I25), NOT(K25), NOT(J25))</f>
        <v>0</v>
      </c>
      <c r="AO25" s="2" t="b">
        <f t="shared" ref="AO25" si="328">AND(NOT(G25), NOT(J25), NOT(K25))</f>
        <v>0</v>
      </c>
      <c r="AR25" s="2" t="b">
        <f t="shared" ref="AR25:AR27" si="329">AND(NOT(J25), NOT(K25))</f>
        <v>0</v>
      </c>
      <c r="AS25" s="2" t="b">
        <f t="shared" ref="AS25" si="330">AND(NOT(I25), NOT(K25), NOT(J25))</f>
        <v>0</v>
      </c>
      <c r="AT25" s="2" t="b">
        <f t="shared" ref="AT25" si="331">AND(NOT(G25), NOT(J25), NOT(K25))</f>
        <v>0</v>
      </c>
      <c r="AW25" s="2" t="b">
        <f t="shared" ref="AW25" si="332">AND(NOT(G25), NOT(J25), NOT(K25))</f>
        <v>0</v>
      </c>
      <c r="AX25" s="2" t="b">
        <f t="shared" ref="AX25" si="333">AND(NOT(J25), NOT(K25))</f>
        <v>0</v>
      </c>
      <c r="AY25" s="2" t="b">
        <f t="shared" ref="AY25" si="334">AND(NOT(G25), NOT(J25), NOT(K25))</f>
        <v>0</v>
      </c>
    </row>
    <row r="26" spans="2:54" ht="18" hidden="1" customHeight="1" x14ac:dyDescent="0.3">
      <c r="B26" s="416"/>
      <c r="C26" s="332"/>
      <c r="D26" s="332"/>
      <c r="E26" s="2" t="s">
        <v>234</v>
      </c>
      <c r="F26" s="2" t="str">
        <f>IF('One-Off Entries'!N11 &lt;&gt; "", LEFT('One-Off Entries'!N11, 1), "")</f>
        <v/>
      </c>
      <c r="G26" s="2" t="b">
        <f t="shared" si="0"/>
        <v>0</v>
      </c>
      <c r="H26" s="2" t="b">
        <f t="shared" ref="H26:H28" si="335">IF(F26 = "G", TRUE, FALSE)</f>
        <v>0</v>
      </c>
      <c r="I26" s="2" t="b">
        <f t="shared" ref="I26:I28" si="336">IF(F26 = "S", TRUE, FALSE)</f>
        <v>0</v>
      </c>
      <c r="J26" s="2" t="b">
        <f t="shared" ref="J26:J28" si="337">IF(F26 = "B", TRUE, FALSE)</f>
        <v>0</v>
      </c>
      <c r="K26" s="27" t="b">
        <f t="shared" ref="K26:K28" si="338">IF(AND(IF(G26 = FALSE, TRUE, FALSE), IF(H26 = FALSE, TRUE, FALSE), IF(I26 = FALSE, TRUE, FALSE), IF(J26 = FALSE, TRUE, FALSE)) = TRUE, TRUE, FALSE)</f>
        <v>1</v>
      </c>
      <c r="L26" s="416"/>
      <c r="O26" s="1" t="s">
        <v>386</v>
      </c>
      <c r="P26" s="1" t="b">
        <f t="shared" ref="P26" si="339">OR(IF(C25 = 2, TRUE, FALSE), IF(C25 = 2.2, TRUE, FALSE))</f>
        <v>0</v>
      </c>
      <c r="Q26" s="1">
        <f t="shared" si="5"/>
        <v>0</v>
      </c>
      <c r="T26" s="2" t="b">
        <f t="shared" ref="T26" si="340">IF(D25 = 0, FALSE, IF(C25 = 1, CHOOSE(D25, W26, X26, Y26, Z26), IF(C25 = 2, CHOOSE(D25, AC26, AD26, AE26, AF26), IF(C25 = 3, CHOOSE(D25, AI26, AJ26, AK26), IF(C25 = 4, CHOOSE(D25, AN26, AO26), IF(C25 = 5, CHOOSE(D25, AR26, AS26, AT26), IF(C25 = 7, CHOOSE(D25, AW26, AX26, AY26), FALSE)))))))</f>
        <v>0</v>
      </c>
      <c r="W26" s="2" t="b">
        <f t="shared" ref="W26:W27" si="341">AND(NOT(K26), NOT(J26))</f>
        <v>0</v>
      </c>
      <c r="X26" s="2" t="b">
        <f t="shared" ref="X26" si="342">NOT(K25)</f>
        <v>0</v>
      </c>
      <c r="Y26" s="2" t="b">
        <f t="shared" ref="Y26" si="343">AND(NOT(K26), NOT(J26))</f>
        <v>0</v>
      </c>
      <c r="Z26" s="2" t="b">
        <f t="shared" ref="Z26" si="344">OR(I26, J26)</f>
        <v>0</v>
      </c>
      <c r="AC26" s="2" t="b">
        <f t="shared" ref="AC26" si="345">AND(NOT(K26), NOT(J26))</f>
        <v>0</v>
      </c>
      <c r="AD26" s="2" t="b">
        <f t="shared" ref="AD26" si="346">J26</f>
        <v>0</v>
      </c>
      <c r="AE26" s="2" t="b">
        <f t="shared" ref="AE26" si="347">AND(NOT(K26), NOT(J26))</f>
        <v>0</v>
      </c>
      <c r="AF26" s="2" t="b">
        <f t="shared" ref="AF26" si="348">J26</f>
        <v>0</v>
      </c>
      <c r="AI26" s="2" t="b">
        <f t="shared" ref="AI26" si="349">AND(NOT(J26), NOT(K26))</f>
        <v>0</v>
      </c>
      <c r="AJ26" s="2" t="b">
        <f t="shared" ref="AJ26" si="350">OR(I26, J26)</f>
        <v>0</v>
      </c>
      <c r="AK26" s="2" t="b">
        <f t="shared" ref="AK26" si="351">OR(I26, J26)</f>
        <v>0</v>
      </c>
      <c r="AN26" s="2" t="b">
        <f t="shared" ref="AN26" si="352">OR(I26, J26)</f>
        <v>0</v>
      </c>
      <c r="AO26" s="2" t="b">
        <f t="shared" ref="AO26" si="353">J26</f>
        <v>0</v>
      </c>
      <c r="AR26" s="2" t="b">
        <f t="shared" si="329"/>
        <v>0</v>
      </c>
      <c r="AS26" s="2" t="b">
        <f t="shared" ref="AS26" si="354">OR(I26, J26)</f>
        <v>0</v>
      </c>
      <c r="AT26" s="2" t="b">
        <f t="shared" ref="AT26" si="355">OR(I26, J26)</f>
        <v>0</v>
      </c>
      <c r="AW26" s="2" t="b">
        <f t="shared" ref="AW26" si="356">J26</f>
        <v>0</v>
      </c>
      <c r="AX26" s="2" t="b">
        <f t="shared" ref="AX26" si="357">J26</f>
        <v>0</v>
      </c>
      <c r="AY26" s="2" t="b">
        <f t="shared" ref="AY26" si="358">J26</f>
        <v>0</v>
      </c>
    </row>
    <row r="27" spans="2:54" ht="18" hidden="1" customHeight="1" x14ac:dyDescent="0.3">
      <c r="B27" s="416"/>
      <c r="C27" s="332"/>
      <c r="D27" s="332"/>
      <c r="E27" s="2" t="s">
        <v>235</v>
      </c>
      <c r="F27" s="2" t="str">
        <f>IF('One-Off Entries'!O11 &lt;&gt; "", LEFT('One-Off Entries'!O11, 1), "")</f>
        <v/>
      </c>
      <c r="G27" s="2" t="b">
        <f t="shared" si="0"/>
        <v>0</v>
      </c>
      <c r="H27" s="2" t="b">
        <f t="shared" si="335"/>
        <v>0</v>
      </c>
      <c r="I27" s="2" t="b">
        <f t="shared" si="336"/>
        <v>0</v>
      </c>
      <c r="J27" s="2" t="b">
        <f t="shared" si="337"/>
        <v>0</v>
      </c>
      <c r="K27" s="27" t="b">
        <f t="shared" si="338"/>
        <v>1</v>
      </c>
      <c r="L27" s="416"/>
      <c r="O27" s="1" t="s">
        <v>387</v>
      </c>
      <c r="P27" s="1" t="b">
        <f t="shared" ref="P27" si="359">OR(IF(D25 = 2, TRUE, FALSE), IF(D25 = 4, TRUE, FALSE))</f>
        <v>0</v>
      </c>
      <c r="Q27" s="1">
        <f t="shared" si="5"/>
        <v>0</v>
      </c>
      <c r="T27" s="2" t="b">
        <f t="shared" ref="T27" si="360">IF(D25 = 0, FALSE, IF(C25 = 1, CHOOSE(D25, W27, X27, Y27, Z27), IF(C25 = 2, CHOOSE(D25, AC27, AD27, AE27, AF27), IF(C25 = 3, CHOOSE(D25, AI27, AJ27, AK27), IF(C25 = 4, CHOOSE(D25, AN27, AO27), IF(C25 = 5, CHOOSE(D25, AR27, AS27, AT27), IF(C25 = 7, CHOOSE(D25, AW27, AX27, AY27), FALSE)))))))</f>
        <v>0</v>
      </c>
      <c r="W27" s="2" t="b">
        <f t="shared" si="341"/>
        <v>0</v>
      </c>
      <c r="X27" s="2" t="b">
        <f t="shared" ref="X27" si="361">OR(I27, J27)</f>
        <v>0</v>
      </c>
      <c r="Y27" s="2" t="b">
        <f t="shared" ref="Y27" si="362">AND(NOT(K26), NOT(J26))</f>
        <v>0</v>
      </c>
      <c r="Z27" s="2" t="b">
        <f t="shared" ref="Z27" si="363">J27</f>
        <v>0</v>
      </c>
      <c r="AC27" s="2" t="b">
        <f t="shared" ref="AC27" si="364">NOT(K27)</f>
        <v>0</v>
      </c>
      <c r="AD27" s="2" t="b">
        <f t="shared" ref="AD27" si="365">OR(I27, J27)</f>
        <v>0</v>
      </c>
      <c r="AE27" s="2" t="b">
        <f t="shared" ref="AE27" si="366">NOT(K27)</f>
        <v>0</v>
      </c>
      <c r="AF27" s="2" t="b">
        <f t="shared" ref="AF27" si="367">OR(I27, J27)</f>
        <v>0</v>
      </c>
      <c r="AI27" s="2" t="b">
        <f t="shared" ref="AI27" si="368">AND(OR(I27, J27), NOT(K27))</f>
        <v>0</v>
      </c>
      <c r="AJ27" s="2" t="b">
        <f t="shared" ref="AJ27" si="369">J27</f>
        <v>0</v>
      </c>
      <c r="AK27" s="2" t="b">
        <f t="shared" ref="AK27" si="370">J27</f>
        <v>0</v>
      </c>
      <c r="AN27" s="2" t="b">
        <f t="shared" ref="AN27:AN28" si="371">K27</f>
        <v>1</v>
      </c>
      <c r="AO27" s="2" t="b">
        <f t="shared" ref="AO27:AO28" si="372">K27</f>
        <v>1</v>
      </c>
      <c r="AR27" s="2" t="b">
        <f t="shared" si="329"/>
        <v>0</v>
      </c>
      <c r="AS27" s="2" t="b">
        <f t="shared" ref="AS27" si="373">J27</f>
        <v>0</v>
      </c>
      <c r="AT27" s="2" t="b">
        <f t="shared" ref="AT27" si="374">J27</f>
        <v>0</v>
      </c>
      <c r="AW27" s="2" t="b">
        <f t="shared" ref="AW27:AW28" si="375">K27</f>
        <v>1</v>
      </c>
      <c r="AX27" s="2" t="b">
        <f t="shared" ref="AX27:AX28" si="376">K27</f>
        <v>1</v>
      </c>
      <c r="AY27" s="2" t="b">
        <f t="shared" ref="AY27:AY28" si="377">K27</f>
        <v>1</v>
      </c>
    </row>
    <row r="28" spans="2:54" ht="18" customHeight="1" x14ac:dyDescent="0.3">
      <c r="B28" s="412"/>
      <c r="C28" s="332"/>
      <c r="D28" s="332"/>
      <c r="E28" s="2" t="s">
        <v>236</v>
      </c>
      <c r="F28" s="2" t="str">
        <f>IF('One-Off Entries'!P11 &lt;&gt; "", LEFT('One-Off Entries'!P11, 1), "")</f>
        <v/>
      </c>
      <c r="G28" s="2" t="b">
        <f t="shared" si="0"/>
        <v>0</v>
      </c>
      <c r="H28" s="2" t="b">
        <f t="shared" si="335"/>
        <v>0</v>
      </c>
      <c r="I28" s="2" t="b">
        <f t="shared" si="336"/>
        <v>0</v>
      </c>
      <c r="J28" s="2" t="b">
        <f t="shared" si="337"/>
        <v>0</v>
      </c>
      <c r="K28" s="27" t="b">
        <f t="shared" si="338"/>
        <v>1</v>
      </c>
      <c r="L28" s="412"/>
      <c r="O28" s="1" t="s">
        <v>388</v>
      </c>
      <c r="P28" s="1" t="b">
        <f t="shared" ref="P28" si="378">IF(SUM(Q25:Q28) &gt; 1, TRUE, FALSE)</f>
        <v>0</v>
      </c>
      <c r="Q28" s="1">
        <f t="shared" si="5"/>
        <v>0</v>
      </c>
      <c r="T28" s="2" t="b">
        <f>IF(D25 = 0, FALSE, IF(C25 = 1, CHOOSE(D25, W28, X28, Y28, Z28), IF(C25 = 2, IF(BB28 = "Rolex 24 at Daytona", CHOOSE(D25, AC28, AD28, AE28, AF28), K28), IF(C25 = 3, CHOOSE(D25, AI28, AJ28, AK28), IF(C25 = 4, CHOOSE(D25, AN28, AO28), IF(C25 = 5, CHOOSE(D25, AR28, AS28, AT28), IF(C25 = 7, CHOOSE(D25, AW28, AX28, AY28), FALSE)))))))</f>
        <v>0</v>
      </c>
      <c r="W28" s="2" t="b">
        <f t="shared" ref="W28" si="379">K28</f>
        <v>1</v>
      </c>
      <c r="X28" s="2" t="b">
        <f t="shared" ref="X28" si="380">K28</f>
        <v>1</v>
      </c>
      <c r="Y28" s="2" t="b">
        <f t="shared" ref="Y28" si="381">K28</f>
        <v>1</v>
      </c>
      <c r="Z28" s="2" t="b">
        <f t="shared" ref="Z28" si="382">K28</f>
        <v>1</v>
      </c>
      <c r="AC28" s="2" t="b">
        <v>1</v>
      </c>
      <c r="AD28" s="2" t="b">
        <f t="shared" ref="AD28" si="383">NOT(K28)</f>
        <v>0</v>
      </c>
      <c r="AE28" s="2" t="b">
        <v>1</v>
      </c>
      <c r="AF28" s="2" t="b">
        <f t="shared" ref="AF28" si="384">NOT(K28)</f>
        <v>0</v>
      </c>
      <c r="AI28" s="2" t="b">
        <f t="shared" ref="AI28" si="385">K28</f>
        <v>1</v>
      </c>
      <c r="AJ28" s="2" t="b">
        <f t="shared" ref="AJ28" si="386">K28</f>
        <v>1</v>
      </c>
      <c r="AK28" s="2" t="b">
        <f t="shared" ref="AK28" si="387">K28</f>
        <v>1</v>
      </c>
      <c r="AN28" s="2" t="b">
        <f t="shared" si="371"/>
        <v>1</v>
      </c>
      <c r="AO28" s="2" t="b">
        <f t="shared" si="372"/>
        <v>1</v>
      </c>
      <c r="AR28" s="2" t="b">
        <f t="shared" ref="AR28" si="388">K28</f>
        <v>1</v>
      </c>
      <c r="AS28" s="2" t="b">
        <f t="shared" ref="AS28" si="389">K28</f>
        <v>1</v>
      </c>
      <c r="AT28" s="2" t="b">
        <f t="shared" ref="AT28" si="390">K28</f>
        <v>1</v>
      </c>
      <c r="AW28" s="2" t="b">
        <f t="shared" si="375"/>
        <v>1</v>
      </c>
      <c r="AX28" s="2" t="b">
        <f t="shared" si="376"/>
        <v>1</v>
      </c>
      <c r="AY28" s="2" t="b">
        <f t="shared" si="377"/>
        <v>1</v>
      </c>
      <c r="BB28" s="1">
        <f>'One-Off Entries'!C11</f>
        <v>0</v>
      </c>
    </row>
    <row r="29" spans="2:54" ht="18" hidden="1" customHeight="1" x14ac:dyDescent="0.3">
      <c r="B29" s="415">
        <v>7</v>
      </c>
      <c r="C29" s="332">
        <f>'One-Off Entries'!AI12</f>
        <v>0</v>
      </c>
      <c r="D29" s="332">
        <f>'One-Off Entries'!AJ12</f>
        <v>0</v>
      </c>
      <c r="E29" s="2" t="s">
        <v>233</v>
      </c>
      <c r="F29" s="2" t="str">
        <f>IF('One-Off Entries'!M12 &lt;&gt; "", LEFT('One-Off Entries'!M12, 1), "")</f>
        <v/>
      </c>
      <c r="G29" s="2" t="b">
        <f>IF(F29 = "P", TRUE, FALSE)</f>
        <v>0</v>
      </c>
      <c r="H29" s="2" t="b">
        <f>IF(F29 = "G", TRUE, FALSE)</f>
        <v>0</v>
      </c>
      <c r="I29" s="2" t="b">
        <f>IF(F29 = "S", TRUE, FALSE)</f>
        <v>0</v>
      </c>
      <c r="J29" s="2" t="b">
        <f>IF(F29 = "B", TRUE, FALSE)</f>
        <v>0</v>
      </c>
      <c r="K29" s="27" t="b">
        <f>IF(AND(IF(G29 = FALSE, TRUE, FALSE), IF(H29 = FALSE, TRUE, FALSE), IF(I29 = FALSE, TRUE, FALSE), IF(J29 = FALSE, TRUE, FALSE)) = TRUE, TRUE, FALSE)</f>
        <v>1</v>
      </c>
      <c r="L29" s="415" t="str">
        <f>IF(P29, "", IF(AND(P30, P31), AND(T29, T30, T31, T32), AND(NOT(P32), T29, T30, T31, T32)))</f>
        <v/>
      </c>
      <c r="O29" s="1" t="s">
        <v>232</v>
      </c>
      <c r="P29" s="1" t="b">
        <f t="shared" ref="P29" si="391">AND(K29, K30, K31, K32)</f>
        <v>1</v>
      </c>
      <c r="Q29" s="1">
        <f t="shared" si="5"/>
        <v>0</v>
      </c>
      <c r="T29" s="2" t="b">
        <f t="shared" ref="T29" si="392">IF(D29 = 0, FALSE, IF(C29 = 1, CHOOSE(D29, W29, X29, Y29, Z29), IF(C29 = 2, CHOOSE(D29, AC29, AD29, AE29, AF29), IF(C29 = 3, CHOOSE(D29, AI29, AJ29, AK29), IF(C29 = 4, CHOOSE(D29, AN29, AO29), IF(C29 = 5, CHOOSE(D29, AR29, AS29, AT29), IF(C29 = 7, CHOOSE(D29, AW29, AX29, AY29), FALSE)))))))</f>
        <v>0</v>
      </c>
      <c r="W29" s="2" t="b">
        <f t="shared" ref="W29" si="393">AND(NOT(I29), NOT(K29), NOT(J29))</f>
        <v>0</v>
      </c>
      <c r="X29" s="2" t="b">
        <f t="shared" ref="X29" si="394">AND(NOT(I29), NOT(K29), NOT(J29))</f>
        <v>0</v>
      </c>
      <c r="Y29" s="2" t="b">
        <f t="shared" ref="Y29" si="395">AND(NOT(I29), NOT(K29), NOT(J29))</f>
        <v>0</v>
      </c>
      <c r="Z29" s="2" t="b">
        <f t="shared" ref="Z29" si="396">AND(NOT(I29), NOT(K29), NOT(J29))</f>
        <v>0</v>
      </c>
      <c r="AC29" s="2" t="b">
        <f t="shared" ref="AC29" si="397">AND(NOT(I29), NOT(K29), NOT(J29))</f>
        <v>0</v>
      </c>
      <c r="AD29" s="2" t="b">
        <f t="shared" ref="AD29" si="398">AND(NOT(G29), NOT(K29), NOT(J29))</f>
        <v>0</v>
      </c>
      <c r="AE29" s="2" t="b">
        <f t="shared" ref="AE29" si="399">AND(NOT(I29), NOT(K29), NOT(J29))</f>
        <v>0</v>
      </c>
      <c r="AF29" s="2" t="b">
        <f t="shared" ref="AF29" si="400">AND(NOT(I29), NOT(K29), NOT(J29))</f>
        <v>0</v>
      </c>
      <c r="AI29" s="2" t="b">
        <f t="shared" ref="AI29" si="401">AND(NOT(I29), NOT(K29), NOT(J29))</f>
        <v>0</v>
      </c>
      <c r="AJ29" s="2" t="b">
        <f t="shared" ref="AJ29" si="402">AND(NOT(J29), NOT(K29))</f>
        <v>0</v>
      </c>
      <c r="AK29" s="2" t="b">
        <f t="shared" ref="AK29" si="403">AND(NOT(I29), NOT(K29), NOT(J29))</f>
        <v>0</v>
      </c>
      <c r="AN29" s="2" t="b">
        <f t="shared" ref="AN29" si="404">AND(NOT(I29), NOT(K29), NOT(J29))</f>
        <v>0</v>
      </c>
      <c r="AO29" s="2" t="b">
        <f t="shared" ref="AO29" si="405">AND(NOT(G29), NOT(J29), NOT(K29))</f>
        <v>0</v>
      </c>
      <c r="AR29" s="2" t="b">
        <f t="shared" ref="AR29:AR31" si="406">AND(NOT(J29), NOT(K29))</f>
        <v>0</v>
      </c>
      <c r="AS29" s="2" t="b">
        <f t="shared" ref="AS29" si="407">AND(NOT(I29), NOT(K29), NOT(J29))</f>
        <v>0</v>
      </c>
      <c r="AT29" s="2" t="b">
        <f t="shared" ref="AT29" si="408">AND(NOT(G29), NOT(J29), NOT(K29))</f>
        <v>0</v>
      </c>
      <c r="AW29" s="2" t="b">
        <f t="shared" ref="AW29" si="409">AND(NOT(G29), NOT(J29), NOT(K29))</f>
        <v>0</v>
      </c>
      <c r="AX29" s="2" t="b">
        <f t="shared" ref="AX29" si="410">AND(NOT(J29), NOT(K29))</f>
        <v>0</v>
      </c>
      <c r="AY29" s="2" t="b">
        <f t="shared" ref="AY29" si="411">AND(NOT(G29), NOT(J29), NOT(K29))</f>
        <v>0</v>
      </c>
    </row>
    <row r="30" spans="2:54" ht="18" hidden="1" customHeight="1" x14ac:dyDescent="0.3">
      <c r="B30" s="416"/>
      <c r="C30" s="332"/>
      <c r="D30" s="332"/>
      <c r="E30" s="2" t="s">
        <v>234</v>
      </c>
      <c r="F30" s="2" t="str">
        <f>IF('One-Off Entries'!N12 &lt;&gt; "", LEFT('One-Off Entries'!N12, 1), "")</f>
        <v/>
      </c>
      <c r="G30" s="2" t="b">
        <f t="shared" si="0"/>
        <v>0</v>
      </c>
      <c r="H30" s="2" t="b">
        <f t="shared" ref="H30:H32" si="412">IF(F30 = "G", TRUE, FALSE)</f>
        <v>0</v>
      </c>
      <c r="I30" s="2" t="b">
        <f t="shared" ref="I30:I32" si="413">IF(F30 = "S", TRUE, FALSE)</f>
        <v>0</v>
      </c>
      <c r="J30" s="2" t="b">
        <f t="shared" ref="J30:J32" si="414">IF(F30 = "B", TRUE, FALSE)</f>
        <v>0</v>
      </c>
      <c r="K30" s="27" t="b">
        <f t="shared" ref="K30:K32" si="415">IF(AND(IF(G30 = FALSE, TRUE, FALSE), IF(H30 = FALSE, TRUE, FALSE), IF(I30 = FALSE, TRUE, FALSE), IF(J30 = FALSE, TRUE, FALSE)) = TRUE, TRUE, FALSE)</f>
        <v>1</v>
      </c>
      <c r="L30" s="416"/>
      <c r="O30" s="1" t="s">
        <v>386</v>
      </c>
      <c r="P30" s="1" t="b">
        <f t="shared" ref="P30" si="416">OR(IF(C29 = 2, TRUE, FALSE), IF(C29 = 2.2, TRUE, FALSE))</f>
        <v>0</v>
      </c>
      <c r="Q30" s="1">
        <f t="shared" si="5"/>
        <v>0</v>
      </c>
      <c r="T30" s="2" t="b">
        <f t="shared" ref="T30" si="417">IF(D29 = 0, FALSE, IF(C29 = 1, CHOOSE(D29, W30, X30, Y30, Z30), IF(C29 = 2, CHOOSE(D29, AC30, AD30, AE30, AF30), IF(C29 = 3, CHOOSE(D29, AI30, AJ30, AK30), IF(C29 = 4, CHOOSE(D29, AN30, AO30), IF(C29 = 5, CHOOSE(D29, AR30, AS30, AT30), IF(C29 = 7, CHOOSE(D29, AW30, AX30, AY30), FALSE)))))))</f>
        <v>0</v>
      </c>
      <c r="W30" s="2" t="b">
        <f t="shared" ref="W30:W31" si="418">AND(NOT(K30), NOT(J30))</f>
        <v>0</v>
      </c>
      <c r="X30" s="2" t="b">
        <f t="shared" ref="X30" si="419">NOT(K29)</f>
        <v>0</v>
      </c>
      <c r="Y30" s="2" t="b">
        <f t="shared" ref="Y30" si="420">AND(NOT(K30), NOT(J30))</f>
        <v>0</v>
      </c>
      <c r="Z30" s="2" t="b">
        <f t="shared" ref="Z30" si="421">OR(I30, J30)</f>
        <v>0</v>
      </c>
      <c r="AC30" s="2" t="b">
        <f t="shared" ref="AC30" si="422">AND(NOT(K30), NOT(J30))</f>
        <v>0</v>
      </c>
      <c r="AD30" s="2" t="b">
        <f t="shared" ref="AD30" si="423">J30</f>
        <v>0</v>
      </c>
      <c r="AE30" s="2" t="b">
        <f t="shared" ref="AE30" si="424">AND(NOT(K30), NOT(J30))</f>
        <v>0</v>
      </c>
      <c r="AF30" s="2" t="b">
        <f t="shared" ref="AF30" si="425">J30</f>
        <v>0</v>
      </c>
      <c r="AI30" s="2" t="b">
        <f t="shared" ref="AI30" si="426">AND(NOT(J30), NOT(K30))</f>
        <v>0</v>
      </c>
      <c r="AJ30" s="2" t="b">
        <f t="shared" ref="AJ30" si="427">OR(I30, J30)</f>
        <v>0</v>
      </c>
      <c r="AK30" s="2" t="b">
        <f t="shared" ref="AK30" si="428">OR(I30, J30)</f>
        <v>0</v>
      </c>
      <c r="AN30" s="2" t="b">
        <f t="shared" ref="AN30" si="429">OR(I30, J30)</f>
        <v>0</v>
      </c>
      <c r="AO30" s="2" t="b">
        <f t="shared" ref="AO30" si="430">J30</f>
        <v>0</v>
      </c>
      <c r="AR30" s="2" t="b">
        <f t="shared" si="406"/>
        <v>0</v>
      </c>
      <c r="AS30" s="2" t="b">
        <f t="shared" ref="AS30" si="431">OR(I30, J30)</f>
        <v>0</v>
      </c>
      <c r="AT30" s="2" t="b">
        <f t="shared" ref="AT30" si="432">OR(I30, J30)</f>
        <v>0</v>
      </c>
      <c r="AW30" s="2" t="b">
        <f t="shared" ref="AW30" si="433">J30</f>
        <v>0</v>
      </c>
      <c r="AX30" s="2" t="b">
        <f t="shared" ref="AX30" si="434">J30</f>
        <v>0</v>
      </c>
      <c r="AY30" s="2" t="b">
        <f t="shared" ref="AY30" si="435">J30</f>
        <v>0</v>
      </c>
    </row>
    <row r="31" spans="2:54" ht="18" hidden="1" customHeight="1" x14ac:dyDescent="0.3">
      <c r="B31" s="416"/>
      <c r="C31" s="332"/>
      <c r="D31" s="332"/>
      <c r="E31" s="2" t="s">
        <v>235</v>
      </c>
      <c r="F31" s="2" t="str">
        <f>IF('One-Off Entries'!O12 &lt;&gt; "", LEFT('One-Off Entries'!O12, 1), "")</f>
        <v/>
      </c>
      <c r="G31" s="2" t="b">
        <f t="shared" si="0"/>
        <v>0</v>
      </c>
      <c r="H31" s="2" t="b">
        <f t="shared" si="412"/>
        <v>0</v>
      </c>
      <c r="I31" s="2" t="b">
        <f t="shared" si="413"/>
        <v>0</v>
      </c>
      <c r="J31" s="2" t="b">
        <f t="shared" si="414"/>
        <v>0</v>
      </c>
      <c r="K31" s="27" t="b">
        <f t="shared" si="415"/>
        <v>1</v>
      </c>
      <c r="L31" s="416"/>
      <c r="O31" s="1" t="s">
        <v>387</v>
      </c>
      <c r="P31" s="1" t="b">
        <f t="shared" ref="P31" si="436">OR(IF(D29 = 2, TRUE, FALSE), IF(D29 = 4, TRUE, FALSE))</f>
        <v>0</v>
      </c>
      <c r="Q31" s="1">
        <f t="shared" si="5"/>
        <v>0</v>
      </c>
      <c r="T31" s="2" t="b">
        <f t="shared" ref="T31" si="437">IF(D29 = 0, FALSE, IF(C29 = 1, CHOOSE(D29, W31, X31, Y31, Z31), IF(C29 = 2, CHOOSE(D29, AC31, AD31, AE31, AF31), IF(C29 = 3, CHOOSE(D29, AI31, AJ31, AK31), IF(C29 = 4, CHOOSE(D29, AN31, AO31), IF(C29 = 5, CHOOSE(D29, AR31, AS31, AT31), IF(C29 = 7, CHOOSE(D29, AW31, AX31, AY31), FALSE)))))))</f>
        <v>0</v>
      </c>
      <c r="W31" s="2" t="b">
        <f t="shared" si="418"/>
        <v>0</v>
      </c>
      <c r="X31" s="2" t="b">
        <f t="shared" ref="X31" si="438">OR(I31, J31)</f>
        <v>0</v>
      </c>
      <c r="Y31" s="2" t="b">
        <f t="shared" ref="Y31" si="439">AND(NOT(K30), NOT(J30))</f>
        <v>0</v>
      </c>
      <c r="Z31" s="2" t="b">
        <f t="shared" ref="Z31" si="440">J31</f>
        <v>0</v>
      </c>
      <c r="AC31" s="2" t="b">
        <f t="shared" ref="AC31" si="441">NOT(K31)</f>
        <v>0</v>
      </c>
      <c r="AD31" s="2" t="b">
        <f t="shared" ref="AD31" si="442">OR(I31, J31)</f>
        <v>0</v>
      </c>
      <c r="AE31" s="2" t="b">
        <f t="shared" ref="AE31" si="443">NOT(K31)</f>
        <v>0</v>
      </c>
      <c r="AF31" s="2" t="b">
        <f t="shared" ref="AF31" si="444">OR(I31, J31)</f>
        <v>0</v>
      </c>
      <c r="AI31" s="2" t="b">
        <f t="shared" ref="AI31" si="445">AND(OR(I31, J31), NOT(K31))</f>
        <v>0</v>
      </c>
      <c r="AJ31" s="2" t="b">
        <f t="shared" ref="AJ31" si="446">J31</f>
        <v>0</v>
      </c>
      <c r="AK31" s="2" t="b">
        <f t="shared" ref="AK31" si="447">J31</f>
        <v>0</v>
      </c>
      <c r="AN31" s="2" t="b">
        <f t="shared" ref="AN31:AN32" si="448">K31</f>
        <v>1</v>
      </c>
      <c r="AO31" s="2" t="b">
        <f t="shared" ref="AO31:AO32" si="449">K31</f>
        <v>1</v>
      </c>
      <c r="AR31" s="2" t="b">
        <f t="shared" si="406"/>
        <v>0</v>
      </c>
      <c r="AS31" s="2" t="b">
        <f t="shared" ref="AS31" si="450">J31</f>
        <v>0</v>
      </c>
      <c r="AT31" s="2" t="b">
        <f t="shared" ref="AT31" si="451">J31</f>
        <v>0</v>
      </c>
      <c r="AW31" s="2" t="b">
        <f t="shared" ref="AW31:AW32" si="452">K31</f>
        <v>1</v>
      </c>
      <c r="AX31" s="2" t="b">
        <f t="shared" ref="AX31:AX32" si="453">K31</f>
        <v>1</v>
      </c>
      <c r="AY31" s="2" t="b">
        <f t="shared" ref="AY31:AY32" si="454">K31</f>
        <v>1</v>
      </c>
    </row>
    <row r="32" spans="2:54" ht="18" customHeight="1" x14ac:dyDescent="0.3">
      <c r="B32" s="412"/>
      <c r="C32" s="332"/>
      <c r="D32" s="332"/>
      <c r="E32" s="2" t="s">
        <v>236</v>
      </c>
      <c r="F32" s="2" t="str">
        <f>IF('One-Off Entries'!P12 &lt;&gt; "", LEFT('One-Off Entries'!P12, 1), "")</f>
        <v/>
      </c>
      <c r="G32" s="2" t="b">
        <f t="shared" si="0"/>
        <v>0</v>
      </c>
      <c r="H32" s="2" t="b">
        <f t="shared" si="412"/>
        <v>0</v>
      </c>
      <c r="I32" s="2" t="b">
        <f t="shared" si="413"/>
        <v>0</v>
      </c>
      <c r="J32" s="2" t="b">
        <f t="shared" si="414"/>
        <v>0</v>
      </c>
      <c r="K32" s="27" t="b">
        <f t="shared" si="415"/>
        <v>1</v>
      </c>
      <c r="L32" s="412"/>
      <c r="O32" s="1" t="s">
        <v>388</v>
      </c>
      <c r="P32" s="1" t="b">
        <f t="shared" ref="P32" si="455">IF(SUM(Q29:Q32) &gt; 1, TRUE, FALSE)</f>
        <v>0</v>
      </c>
      <c r="Q32" s="1">
        <f t="shared" si="5"/>
        <v>0</v>
      </c>
      <c r="T32" s="2" t="b">
        <f>IF(D29 = 0, FALSE, IF(C29 = 1, CHOOSE(D29, W32, X32, Y32, Z32), IF(C29 = 2, IF(BB32 = "Rolex 24 at Daytona", CHOOSE(D29, AC32, AD32, AE32, AF32), K32), IF(C29 = 3, CHOOSE(D29, AI32, AJ32, AK32), IF(C29 = 4, CHOOSE(D29, AN32, AO32), IF(C29 = 5, CHOOSE(D29, AR32, AS32, AT32), IF(C29 = 7, CHOOSE(D29, AW32, AX32, AY32), FALSE)))))))</f>
        <v>0</v>
      </c>
      <c r="W32" s="2" t="b">
        <f t="shared" ref="W32" si="456">K32</f>
        <v>1</v>
      </c>
      <c r="X32" s="2" t="b">
        <f t="shared" ref="X32" si="457">K32</f>
        <v>1</v>
      </c>
      <c r="Y32" s="2" t="b">
        <f t="shared" ref="Y32" si="458">K32</f>
        <v>1</v>
      </c>
      <c r="Z32" s="2" t="b">
        <f t="shared" ref="Z32" si="459">K32</f>
        <v>1</v>
      </c>
      <c r="AC32" s="2" t="b">
        <v>1</v>
      </c>
      <c r="AD32" s="2" t="b">
        <f t="shared" ref="AD32" si="460">NOT(K32)</f>
        <v>0</v>
      </c>
      <c r="AE32" s="2" t="b">
        <v>1</v>
      </c>
      <c r="AF32" s="2" t="b">
        <f t="shared" ref="AF32" si="461">NOT(K32)</f>
        <v>0</v>
      </c>
      <c r="AI32" s="2" t="b">
        <f t="shared" ref="AI32" si="462">K32</f>
        <v>1</v>
      </c>
      <c r="AJ32" s="2" t="b">
        <f t="shared" ref="AJ32" si="463">K32</f>
        <v>1</v>
      </c>
      <c r="AK32" s="2" t="b">
        <f t="shared" ref="AK32" si="464">K32</f>
        <v>1</v>
      </c>
      <c r="AN32" s="2" t="b">
        <f t="shared" si="448"/>
        <v>1</v>
      </c>
      <c r="AO32" s="2" t="b">
        <f t="shared" si="449"/>
        <v>1</v>
      </c>
      <c r="AR32" s="2" t="b">
        <f t="shared" ref="AR32" si="465">K32</f>
        <v>1</v>
      </c>
      <c r="AS32" s="2" t="b">
        <f t="shared" ref="AS32" si="466">K32</f>
        <v>1</v>
      </c>
      <c r="AT32" s="2" t="b">
        <f t="shared" ref="AT32" si="467">K32</f>
        <v>1</v>
      </c>
      <c r="AW32" s="2" t="b">
        <f t="shared" si="452"/>
        <v>1</v>
      </c>
      <c r="AX32" s="2" t="b">
        <f t="shared" si="453"/>
        <v>1</v>
      </c>
      <c r="AY32" s="2" t="b">
        <f t="shared" si="454"/>
        <v>1</v>
      </c>
      <c r="BB32" s="1">
        <f>'One-Off Entries'!C12</f>
        <v>0</v>
      </c>
    </row>
    <row r="33" spans="2:54" ht="18" hidden="1" customHeight="1" x14ac:dyDescent="0.3">
      <c r="B33" s="415">
        <v>8</v>
      </c>
      <c r="C33" s="332">
        <f>'One-Off Entries'!AI13</f>
        <v>0</v>
      </c>
      <c r="D33" s="332">
        <f>'One-Off Entries'!AJ13</f>
        <v>0</v>
      </c>
      <c r="E33" s="2" t="s">
        <v>233</v>
      </c>
      <c r="F33" s="2" t="str">
        <f>IF('One-Off Entries'!M13 &lt;&gt; "", LEFT('One-Off Entries'!M13, 1), "")</f>
        <v/>
      </c>
      <c r="G33" s="2" t="b">
        <f>IF(F33 = "P", TRUE, FALSE)</f>
        <v>0</v>
      </c>
      <c r="H33" s="2" t="b">
        <f>IF(F33 = "G", TRUE, FALSE)</f>
        <v>0</v>
      </c>
      <c r="I33" s="2" t="b">
        <f>IF(F33 = "S", TRUE, FALSE)</f>
        <v>0</v>
      </c>
      <c r="J33" s="2" t="b">
        <f>IF(F33 = "B", TRUE, FALSE)</f>
        <v>0</v>
      </c>
      <c r="K33" s="27" t="b">
        <f>IF(AND(IF(G33 = FALSE, TRUE, FALSE), IF(H33 = FALSE, TRUE, FALSE), IF(I33 = FALSE, TRUE, FALSE), IF(J33 = FALSE, TRUE, FALSE)) = TRUE, TRUE, FALSE)</f>
        <v>1</v>
      </c>
      <c r="L33" s="415" t="str">
        <f>IF(P33, "", IF(AND(P34, P35), AND(T33, T34, T35, T36), AND(NOT(P36), T33, T34, T35, T36)))</f>
        <v/>
      </c>
      <c r="O33" s="1" t="s">
        <v>232</v>
      </c>
      <c r="P33" s="1" t="b">
        <f t="shared" ref="P33" si="468">AND(K33, K34, K35, K36)</f>
        <v>1</v>
      </c>
      <c r="Q33" s="1">
        <f t="shared" si="5"/>
        <v>0</v>
      </c>
      <c r="T33" s="2" t="b">
        <f t="shared" ref="T33" si="469">IF(D33 = 0, FALSE, IF(C33 = 1, CHOOSE(D33, W33, X33, Y33, Z33), IF(C33 = 2, CHOOSE(D33, AC33, AD33, AE33, AF33), IF(C33 = 3, CHOOSE(D33, AI33, AJ33, AK33), IF(C33 = 4, CHOOSE(D33, AN33, AO33), IF(C33 = 5, CHOOSE(D33, AR33, AS33, AT33), IF(C33 = 7, CHOOSE(D33, AW33, AX33, AY33), FALSE)))))))</f>
        <v>0</v>
      </c>
      <c r="W33" s="2" t="b">
        <f t="shared" ref="W33" si="470">AND(NOT(I33), NOT(K33), NOT(J33))</f>
        <v>0</v>
      </c>
      <c r="X33" s="2" t="b">
        <f t="shared" ref="X33" si="471">AND(NOT(I33), NOT(K33), NOT(J33))</f>
        <v>0</v>
      </c>
      <c r="Y33" s="2" t="b">
        <f t="shared" ref="Y33" si="472">AND(NOT(I33), NOT(K33), NOT(J33))</f>
        <v>0</v>
      </c>
      <c r="Z33" s="2" t="b">
        <f t="shared" ref="Z33" si="473">AND(NOT(I33), NOT(K33), NOT(J33))</f>
        <v>0</v>
      </c>
      <c r="AC33" s="2" t="b">
        <f t="shared" ref="AC33" si="474">AND(NOT(I33), NOT(K33), NOT(J33))</f>
        <v>0</v>
      </c>
      <c r="AD33" s="2" t="b">
        <f t="shared" ref="AD33" si="475">AND(NOT(G33), NOT(K33), NOT(J33))</f>
        <v>0</v>
      </c>
      <c r="AE33" s="2" t="b">
        <f t="shared" ref="AE33" si="476">AND(NOT(I33), NOT(K33), NOT(J33))</f>
        <v>0</v>
      </c>
      <c r="AF33" s="2" t="b">
        <f t="shared" ref="AF33" si="477">AND(NOT(I33), NOT(K33), NOT(J33))</f>
        <v>0</v>
      </c>
      <c r="AI33" s="2" t="b">
        <f t="shared" ref="AI33" si="478">AND(NOT(I33), NOT(K33), NOT(J33))</f>
        <v>0</v>
      </c>
      <c r="AJ33" s="2" t="b">
        <f t="shared" ref="AJ33" si="479">AND(NOT(J33), NOT(K33))</f>
        <v>0</v>
      </c>
      <c r="AK33" s="2" t="b">
        <f t="shared" ref="AK33" si="480">AND(NOT(I33), NOT(K33), NOT(J33))</f>
        <v>0</v>
      </c>
      <c r="AN33" s="2" t="b">
        <f t="shared" ref="AN33" si="481">AND(NOT(I33), NOT(K33), NOT(J33))</f>
        <v>0</v>
      </c>
      <c r="AO33" s="2" t="b">
        <f t="shared" ref="AO33" si="482">AND(NOT(G33), NOT(J33), NOT(K33))</f>
        <v>0</v>
      </c>
      <c r="AR33" s="2" t="b">
        <f t="shared" ref="AR33:AR35" si="483">AND(NOT(J33), NOT(K33))</f>
        <v>0</v>
      </c>
      <c r="AS33" s="2" t="b">
        <f t="shared" ref="AS33" si="484">AND(NOT(I33), NOT(K33), NOT(J33))</f>
        <v>0</v>
      </c>
      <c r="AT33" s="2" t="b">
        <f t="shared" ref="AT33" si="485">AND(NOT(G33), NOT(J33), NOT(K33))</f>
        <v>0</v>
      </c>
      <c r="AW33" s="2" t="b">
        <f t="shared" ref="AW33" si="486">AND(NOT(G33), NOT(J33), NOT(K33))</f>
        <v>0</v>
      </c>
      <c r="AX33" s="2" t="b">
        <f t="shared" ref="AX33" si="487">AND(NOT(J33), NOT(K33))</f>
        <v>0</v>
      </c>
      <c r="AY33" s="2" t="b">
        <f t="shared" ref="AY33" si="488">AND(NOT(G33), NOT(J33), NOT(K33))</f>
        <v>0</v>
      </c>
    </row>
    <row r="34" spans="2:54" ht="18" hidden="1" customHeight="1" x14ac:dyDescent="0.3">
      <c r="B34" s="416"/>
      <c r="C34" s="332"/>
      <c r="D34" s="332"/>
      <c r="E34" s="2" t="s">
        <v>234</v>
      </c>
      <c r="F34" s="2" t="str">
        <f>IF('One-Off Entries'!N13 &lt;&gt; "", LEFT('One-Off Entries'!N13, 1), "")</f>
        <v/>
      </c>
      <c r="G34" s="2" t="b">
        <f t="shared" si="0"/>
        <v>0</v>
      </c>
      <c r="H34" s="2" t="b">
        <f t="shared" ref="H34:H36" si="489">IF(F34 = "G", TRUE, FALSE)</f>
        <v>0</v>
      </c>
      <c r="I34" s="2" t="b">
        <f t="shared" ref="I34:I36" si="490">IF(F34 = "S", TRUE, FALSE)</f>
        <v>0</v>
      </c>
      <c r="J34" s="2" t="b">
        <f t="shared" ref="J34:J36" si="491">IF(F34 = "B", TRUE, FALSE)</f>
        <v>0</v>
      </c>
      <c r="K34" s="27" t="b">
        <f t="shared" ref="K34:K36" si="492">IF(AND(IF(G34 = FALSE, TRUE, FALSE), IF(H34 = FALSE, TRUE, FALSE), IF(I34 = FALSE, TRUE, FALSE), IF(J34 = FALSE, TRUE, FALSE)) = TRUE, TRUE, FALSE)</f>
        <v>1</v>
      </c>
      <c r="L34" s="416"/>
      <c r="O34" s="1" t="s">
        <v>386</v>
      </c>
      <c r="P34" s="1" t="b">
        <f t="shared" ref="P34" si="493">OR(IF(C33 = 2, TRUE, FALSE), IF(C33 = 2.2, TRUE, FALSE))</f>
        <v>0</v>
      </c>
      <c r="Q34" s="1">
        <f t="shared" si="5"/>
        <v>0</v>
      </c>
      <c r="T34" s="2" t="b">
        <f t="shared" ref="T34" si="494">IF(D33 = 0, FALSE, IF(C33 = 1, CHOOSE(D33, W34, X34, Y34, Z34), IF(C33 = 2, CHOOSE(D33, AC34, AD34, AE34, AF34), IF(C33 = 3, CHOOSE(D33, AI34, AJ34, AK34), IF(C33 = 4, CHOOSE(D33, AN34, AO34), IF(C33 = 5, CHOOSE(D33, AR34, AS34, AT34), IF(C33 = 7, CHOOSE(D33, AW34, AX34, AY34), FALSE)))))))</f>
        <v>0</v>
      </c>
      <c r="W34" s="2" t="b">
        <f t="shared" ref="W34:W35" si="495">AND(NOT(K34), NOT(J34))</f>
        <v>0</v>
      </c>
      <c r="X34" s="2" t="b">
        <f t="shared" ref="X34" si="496">NOT(K33)</f>
        <v>0</v>
      </c>
      <c r="Y34" s="2" t="b">
        <f t="shared" ref="Y34" si="497">AND(NOT(K34), NOT(J34))</f>
        <v>0</v>
      </c>
      <c r="Z34" s="2" t="b">
        <f t="shared" ref="Z34" si="498">OR(I34, J34)</f>
        <v>0</v>
      </c>
      <c r="AC34" s="2" t="b">
        <f t="shared" ref="AC34" si="499">AND(NOT(K34), NOT(J34))</f>
        <v>0</v>
      </c>
      <c r="AD34" s="2" t="b">
        <f t="shared" ref="AD34" si="500">J34</f>
        <v>0</v>
      </c>
      <c r="AE34" s="2" t="b">
        <f t="shared" ref="AE34" si="501">AND(NOT(K34), NOT(J34))</f>
        <v>0</v>
      </c>
      <c r="AF34" s="2" t="b">
        <f t="shared" ref="AF34" si="502">J34</f>
        <v>0</v>
      </c>
      <c r="AI34" s="2" t="b">
        <f t="shared" ref="AI34" si="503">AND(NOT(J34), NOT(K34))</f>
        <v>0</v>
      </c>
      <c r="AJ34" s="2" t="b">
        <f t="shared" ref="AJ34" si="504">OR(I34, J34)</f>
        <v>0</v>
      </c>
      <c r="AK34" s="2" t="b">
        <f t="shared" ref="AK34" si="505">OR(I34, J34)</f>
        <v>0</v>
      </c>
      <c r="AN34" s="2" t="b">
        <f t="shared" ref="AN34" si="506">OR(I34, J34)</f>
        <v>0</v>
      </c>
      <c r="AO34" s="2" t="b">
        <f t="shared" ref="AO34" si="507">J34</f>
        <v>0</v>
      </c>
      <c r="AR34" s="2" t="b">
        <f t="shared" si="483"/>
        <v>0</v>
      </c>
      <c r="AS34" s="2" t="b">
        <f t="shared" ref="AS34" si="508">OR(I34, J34)</f>
        <v>0</v>
      </c>
      <c r="AT34" s="2" t="b">
        <f t="shared" ref="AT34" si="509">OR(I34, J34)</f>
        <v>0</v>
      </c>
      <c r="AW34" s="2" t="b">
        <f t="shared" ref="AW34" si="510">J34</f>
        <v>0</v>
      </c>
      <c r="AX34" s="2" t="b">
        <f t="shared" ref="AX34" si="511">J34</f>
        <v>0</v>
      </c>
      <c r="AY34" s="2" t="b">
        <f t="shared" ref="AY34" si="512">J34</f>
        <v>0</v>
      </c>
    </row>
    <row r="35" spans="2:54" ht="18" hidden="1" customHeight="1" x14ac:dyDescent="0.3">
      <c r="B35" s="416"/>
      <c r="C35" s="332"/>
      <c r="D35" s="332"/>
      <c r="E35" s="2" t="s">
        <v>235</v>
      </c>
      <c r="F35" s="2" t="str">
        <f>IF('One-Off Entries'!O13 &lt;&gt; "", LEFT('One-Off Entries'!O13, 1), "")</f>
        <v/>
      </c>
      <c r="G35" s="2" t="b">
        <f t="shared" si="0"/>
        <v>0</v>
      </c>
      <c r="H35" s="2" t="b">
        <f t="shared" si="489"/>
        <v>0</v>
      </c>
      <c r="I35" s="2" t="b">
        <f t="shared" si="490"/>
        <v>0</v>
      </c>
      <c r="J35" s="2" t="b">
        <f t="shared" si="491"/>
        <v>0</v>
      </c>
      <c r="K35" s="27" t="b">
        <f t="shared" si="492"/>
        <v>1</v>
      </c>
      <c r="L35" s="416"/>
      <c r="O35" s="1" t="s">
        <v>387</v>
      </c>
      <c r="P35" s="1" t="b">
        <f t="shared" ref="P35" si="513">OR(IF(D33 = 2, TRUE, FALSE), IF(D33 = 4, TRUE, FALSE))</f>
        <v>0</v>
      </c>
      <c r="Q35" s="1">
        <f t="shared" si="5"/>
        <v>0</v>
      </c>
      <c r="T35" s="2" t="b">
        <f t="shared" ref="T35" si="514">IF(D33 = 0, FALSE, IF(C33 = 1, CHOOSE(D33, W35, X35, Y35, Z35), IF(C33 = 2, CHOOSE(D33, AC35, AD35, AE35, AF35), IF(C33 = 3, CHOOSE(D33, AI35, AJ35, AK35), IF(C33 = 4, CHOOSE(D33, AN35, AO35), IF(C33 = 5, CHOOSE(D33, AR35, AS35, AT35), IF(C33 = 7, CHOOSE(D33, AW35, AX35, AY35), FALSE)))))))</f>
        <v>0</v>
      </c>
      <c r="W35" s="2" t="b">
        <f t="shared" si="495"/>
        <v>0</v>
      </c>
      <c r="X35" s="2" t="b">
        <f t="shared" ref="X35" si="515">OR(I35, J35)</f>
        <v>0</v>
      </c>
      <c r="Y35" s="2" t="b">
        <f t="shared" ref="Y35" si="516">AND(NOT(K34), NOT(J34))</f>
        <v>0</v>
      </c>
      <c r="Z35" s="2" t="b">
        <f t="shared" ref="Z35" si="517">J35</f>
        <v>0</v>
      </c>
      <c r="AC35" s="2" t="b">
        <f t="shared" ref="AC35" si="518">NOT(K35)</f>
        <v>0</v>
      </c>
      <c r="AD35" s="2" t="b">
        <f t="shared" ref="AD35" si="519">OR(I35, J35)</f>
        <v>0</v>
      </c>
      <c r="AE35" s="2" t="b">
        <f t="shared" ref="AE35" si="520">NOT(K35)</f>
        <v>0</v>
      </c>
      <c r="AF35" s="2" t="b">
        <f t="shared" ref="AF35" si="521">OR(I35, J35)</f>
        <v>0</v>
      </c>
      <c r="AI35" s="2" t="b">
        <f t="shared" ref="AI35" si="522">AND(OR(I35, J35), NOT(K35))</f>
        <v>0</v>
      </c>
      <c r="AJ35" s="2" t="b">
        <f t="shared" ref="AJ35" si="523">J35</f>
        <v>0</v>
      </c>
      <c r="AK35" s="2" t="b">
        <f t="shared" ref="AK35" si="524">J35</f>
        <v>0</v>
      </c>
      <c r="AN35" s="2" t="b">
        <f t="shared" ref="AN35:AN36" si="525">K35</f>
        <v>1</v>
      </c>
      <c r="AO35" s="2" t="b">
        <f t="shared" ref="AO35:AO36" si="526">K35</f>
        <v>1</v>
      </c>
      <c r="AR35" s="2" t="b">
        <f t="shared" si="483"/>
        <v>0</v>
      </c>
      <c r="AS35" s="2" t="b">
        <f t="shared" ref="AS35" si="527">J35</f>
        <v>0</v>
      </c>
      <c r="AT35" s="2" t="b">
        <f t="shared" ref="AT35" si="528">J35</f>
        <v>0</v>
      </c>
      <c r="AW35" s="2" t="b">
        <f t="shared" ref="AW35:AW36" si="529">K35</f>
        <v>1</v>
      </c>
      <c r="AX35" s="2" t="b">
        <f t="shared" ref="AX35:AX36" si="530">K35</f>
        <v>1</v>
      </c>
      <c r="AY35" s="2" t="b">
        <f t="shared" ref="AY35:AY36" si="531">K35</f>
        <v>1</v>
      </c>
    </row>
    <row r="36" spans="2:54" ht="18" customHeight="1" x14ac:dyDescent="0.3">
      <c r="B36" s="412"/>
      <c r="C36" s="332"/>
      <c r="D36" s="332"/>
      <c r="E36" s="2" t="s">
        <v>236</v>
      </c>
      <c r="F36" s="2" t="str">
        <f>IF('One-Off Entries'!P13 &lt;&gt; "", LEFT('One-Off Entries'!P13, 1), "")</f>
        <v/>
      </c>
      <c r="G36" s="2" t="b">
        <f t="shared" si="0"/>
        <v>0</v>
      </c>
      <c r="H36" s="2" t="b">
        <f t="shared" si="489"/>
        <v>0</v>
      </c>
      <c r="I36" s="2" t="b">
        <f t="shared" si="490"/>
        <v>0</v>
      </c>
      <c r="J36" s="2" t="b">
        <f t="shared" si="491"/>
        <v>0</v>
      </c>
      <c r="K36" s="27" t="b">
        <f t="shared" si="492"/>
        <v>1</v>
      </c>
      <c r="L36" s="412"/>
      <c r="O36" s="1" t="s">
        <v>388</v>
      </c>
      <c r="P36" s="1" t="b">
        <f t="shared" ref="P36" si="532">IF(SUM(Q33:Q36) &gt; 1, TRUE, FALSE)</f>
        <v>0</v>
      </c>
      <c r="Q36" s="1">
        <f t="shared" si="5"/>
        <v>0</v>
      </c>
      <c r="T36" s="2" t="b">
        <f>IF(D33 = 0, FALSE, IF(C33 = 1, CHOOSE(D33, W36, X36, Y36, Z36), IF(C33 = 2, IF(BB36 = "Rolex 24 at Daytona", CHOOSE(D33, AC36, AD36, AE36, AF36), K36), IF(C33 = 3, CHOOSE(D33, AI36, AJ36, AK36), IF(C33 = 4, CHOOSE(D33, AN36, AO36), IF(C33 = 5, CHOOSE(D33, AR36, AS36, AT36), IF(C33 = 7, CHOOSE(D33, AW36, AX36, AY36), FALSE)))))))</f>
        <v>0</v>
      </c>
      <c r="W36" s="2" t="b">
        <f t="shared" ref="W36" si="533">K36</f>
        <v>1</v>
      </c>
      <c r="X36" s="2" t="b">
        <f t="shared" ref="X36" si="534">K36</f>
        <v>1</v>
      </c>
      <c r="Y36" s="2" t="b">
        <f t="shared" ref="Y36" si="535">K36</f>
        <v>1</v>
      </c>
      <c r="Z36" s="2" t="b">
        <f t="shared" ref="Z36" si="536">K36</f>
        <v>1</v>
      </c>
      <c r="AC36" s="2" t="b">
        <v>1</v>
      </c>
      <c r="AD36" s="2" t="b">
        <f t="shared" ref="AD36" si="537">NOT(K36)</f>
        <v>0</v>
      </c>
      <c r="AE36" s="2" t="b">
        <v>1</v>
      </c>
      <c r="AF36" s="2" t="b">
        <f t="shared" ref="AF36" si="538">NOT(K36)</f>
        <v>0</v>
      </c>
      <c r="AI36" s="2" t="b">
        <f t="shared" ref="AI36" si="539">K36</f>
        <v>1</v>
      </c>
      <c r="AJ36" s="2" t="b">
        <f t="shared" ref="AJ36" si="540">K36</f>
        <v>1</v>
      </c>
      <c r="AK36" s="2" t="b">
        <f t="shared" ref="AK36" si="541">K36</f>
        <v>1</v>
      </c>
      <c r="AN36" s="2" t="b">
        <f t="shared" si="525"/>
        <v>1</v>
      </c>
      <c r="AO36" s="2" t="b">
        <f t="shared" si="526"/>
        <v>1</v>
      </c>
      <c r="AR36" s="2" t="b">
        <f t="shared" ref="AR36" si="542">K36</f>
        <v>1</v>
      </c>
      <c r="AS36" s="2" t="b">
        <f t="shared" ref="AS36" si="543">K36</f>
        <v>1</v>
      </c>
      <c r="AT36" s="2" t="b">
        <f t="shared" ref="AT36" si="544">K36</f>
        <v>1</v>
      </c>
      <c r="AW36" s="2" t="b">
        <f t="shared" si="529"/>
        <v>1</v>
      </c>
      <c r="AX36" s="2" t="b">
        <f t="shared" si="530"/>
        <v>1</v>
      </c>
      <c r="AY36" s="2" t="b">
        <f t="shared" si="531"/>
        <v>1</v>
      </c>
      <c r="BB36" s="1">
        <f>'One-Off Entries'!C13</f>
        <v>0</v>
      </c>
    </row>
    <row r="37" spans="2:54" ht="18" hidden="1" customHeight="1" x14ac:dyDescent="0.3">
      <c r="B37" s="415">
        <v>9</v>
      </c>
      <c r="C37" s="332">
        <f>'One-Off Entries'!AI14</f>
        <v>0</v>
      </c>
      <c r="D37" s="332">
        <f>'One-Off Entries'!AJ14</f>
        <v>0</v>
      </c>
      <c r="E37" s="2" t="s">
        <v>233</v>
      </c>
      <c r="F37" s="2" t="str">
        <f>IF('One-Off Entries'!M14 &lt;&gt; "", LEFT('One-Off Entries'!M14, 1), "")</f>
        <v/>
      </c>
      <c r="G37" s="2" t="b">
        <f>IF(F37 = "P", TRUE, FALSE)</f>
        <v>0</v>
      </c>
      <c r="H37" s="2" t="b">
        <f>IF(F37 = "G", TRUE, FALSE)</f>
        <v>0</v>
      </c>
      <c r="I37" s="2" t="b">
        <f>IF(F37 = "S", TRUE, FALSE)</f>
        <v>0</v>
      </c>
      <c r="J37" s="2" t="b">
        <f>IF(F37 = "B", TRUE, FALSE)</f>
        <v>0</v>
      </c>
      <c r="K37" s="27" t="b">
        <f>IF(AND(IF(G37 = FALSE, TRUE, FALSE), IF(H37 = FALSE, TRUE, FALSE), IF(I37 = FALSE, TRUE, FALSE), IF(J37 = FALSE, TRUE, FALSE)) = TRUE, TRUE, FALSE)</f>
        <v>1</v>
      </c>
      <c r="L37" s="415" t="str">
        <f>IF(P37, "", IF(AND(P38, P39), AND(T37, T38, T39, T40), AND(NOT(P40), T37, T38, T39, T40)))</f>
        <v/>
      </c>
      <c r="O37" s="1" t="s">
        <v>232</v>
      </c>
      <c r="P37" s="1" t="b">
        <f t="shared" ref="P37" si="545">AND(K37, K38, K39, K40)</f>
        <v>1</v>
      </c>
      <c r="Q37" s="1">
        <f t="shared" si="5"/>
        <v>0</v>
      </c>
      <c r="T37" s="2" t="b">
        <f t="shared" ref="T37" si="546">IF(D37 = 0, FALSE, IF(C37 = 1, CHOOSE(D37, W37, X37, Y37, Z37), IF(C37 = 2, CHOOSE(D37, AC37, AD37, AE37, AF37), IF(C37 = 3, CHOOSE(D37, AI37, AJ37, AK37), IF(C37 = 4, CHOOSE(D37, AN37, AO37), IF(C37 = 5, CHOOSE(D37, AR37, AS37, AT37), IF(C37 = 7, CHOOSE(D37, AW37, AX37, AY37), FALSE)))))))</f>
        <v>0</v>
      </c>
      <c r="W37" s="2" t="b">
        <f t="shared" ref="W37" si="547">AND(NOT(I37), NOT(K37), NOT(J37))</f>
        <v>0</v>
      </c>
      <c r="X37" s="2" t="b">
        <f t="shared" ref="X37" si="548">AND(NOT(I37), NOT(K37), NOT(J37))</f>
        <v>0</v>
      </c>
      <c r="Y37" s="2" t="b">
        <f t="shared" ref="Y37" si="549">AND(NOT(I37), NOT(K37), NOT(J37))</f>
        <v>0</v>
      </c>
      <c r="Z37" s="2" t="b">
        <f t="shared" ref="Z37" si="550">AND(NOT(I37), NOT(K37), NOT(J37))</f>
        <v>0</v>
      </c>
      <c r="AC37" s="2" t="b">
        <f t="shared" ref="AC37" si="551">AND(NOT(I37), NOT(K37), NOT(J37))</f>
        <v>0</v>
      </c>
      <c r="AD37" s="2" t="b">
        <f t="shared" ref="AD37" si="552">AND(NOT(G37), NOT(K37), NOT(J37))</f>
        <v>0</v>
      </c>
      <c r="AE37" s="2" t="b">
        <f t="shared" ref="AE37" si="553">AND(NOT(I37), NOT(K37), NOT(J37))</f>
        <v>0</v>
      </c>
      <c r="AF37" s="2" t="b">
        <f t="shared" ref="AF37" si="554">AND(NOT(I37), NOT(K37), NOT(J37))</f>
        <v>0</v>
      </c>
      <c r="AI37" s="2" t="b">
        <f t="shared" ref="AI37" si="555">AND(NOT(I37), NOT(K37), NOT(J37))</f>
        <v>0</v>
      </c>
      <c r="AJ37" s="2" t="b">
        <f t="shared" ref="AJ37" si="556">AND(NOT(J37), NOT(K37))</f>
        <v>0</v>
      </c>
      <c r="AK37" s="2" t="b">
        <f t="shared" ref="AK37" si="557">AND(NOT(I37), NOT(K37), NOT(J37))</f>
        <v>0</v>
      </c>
      <c r="AN37" s="2" t="b">
        <f t="shared" ref="AN37" si="558">AND(NOT(I37), NOT(K37), NOT(J37))</f>
        <v>0</v>
      </c>
      <c r="AO37" s="2" t="b">
        <f t="shared" ref="AO37" si="559">AND(NOT(G37), NOT(J37), NOT(K37))</f>
        <v>0</v>
      </c>
      <c r="AR37" s="2" t="b">
        <f t="shared" ref="AR37:AR39" si="560">AND(NOT(J37), NOT(K37))</f>
        <v>0</v>
      </c>
      <c r="AS37" s="2" t="b">
        <f t="shared" ref="AS37" si="561">AND(NOT(I37), NOT(K37), NOT(J37))</f>
        <v>0</v>
      </c>
      <c r="AT37" s="2" t="b">
        <f t="shared" ref="AT37" si="562">AND(NOT(G37), NOT(J37), NOT(K37))</f>
        <v>0</v>
      </c>
      <c r="AW37" s="2" t="b">
        <f t="shared" ref="AW37" si="563">AND(NOT(G37), NOT(J37), NOT(K37))</f>
        <v>0</v>
      </c>
      <c r="AX37" s="2" t="b">
        <f t="shared" ref="AX37" si="564">AND(NOT(J37), NOT(K37))</f>
        <v>0</v>
      </c>
      <c r="AY37" s="2" t="b">
        <f t="shared" ref="AY37" si="565">AND(NOT(G37), NOT(J37), NOT(K37))</f>
        <v>0</v>
      </c>
    </row>
    <row r="38" spans="2:54" ht="18" hidden="1" customHeight="1" x14ac:dyDescent="0.3">
      <c r="B38" s="416"/>
      <c r="C38" s="332"/>
      <c r="D38" s="332"/>
      <c r="E38" s="2" t="s">
        <v>234</v>
      </c>
      <c r="F38" s="2" t="str">
        <f>IF('One-Off Entries'!N14 &lt;&gt; "", LEFT('One-Off Entries'!N14, 1), "")</f>
        <v/>
      </c>
      <c r="G38" s="2" t="b">
        <f t="shared" si="0"/>
        <v>0</v>
      </c>
      <c r="H38" s="2" t="b">
        <f t="shared" ref="H38:H40" si="566">IF(F38 = "G", TRUE, FALSE)</f>
        <v>0</v>
      </c>
      <c r="I38" s="2" t="b">
        <f t="shared" ref="I38:I40" si="567">IF(F38 = "S", TRUE, FALSE)</f>
        <v>0</v>
      </c>
      <c r="J38" s="2" t="b">
        <f t="shared" ref="J38:J40" si="568">IF(F38 = "B", TRUE, FALSE)</f>
        <v>0</v>
      </c>
      <c r="K38" s="27" t="b">
        <f t="shared" ref="K38:K40" si="569">IF(AND(IF(G38 = FALSE, TRUE, FALSE), IF(H38 = FALSE, TRUE, FALSE), IF(I38 = FALSE, TRUE, FALSE), IF(J38 = FALSE, TRUE, FALSE)) = TRUE, TRUE, FALSE)</f>
        <v>1</v>
      </c>
      <c r="L38" s="416"/>
      <c r="O38" s="1" t="s">
        <v>386</v>
      </c>
      <c r="P38" s="1" t="b">
        <f t="shared" ref="P38" si="570">OR(IF(C37 = 2, TRUE, FALSE), IF(C37 = 2.2, TRUE, FALSE))</f>
        <v>0</v>
      </c>
      <c r="Q38" s="1">
        <f t="shared" si="5"/>
        <v>0</v>
      </c>
      <c r="T38" s="2" t="b">
        <f t="shared" ref="T38" si="571">IF(D37 = 0, FALSE, IF(C37 = 1, CHOOSE(D37, W38, X38, Y38, Z38), IF(C37 = 2, CHOOSE(D37, AC38, AD38, AE38, AF38), IF(C37 = 3, CHOOSE(D37, AI38, AJ38, AK38), IF(C37 = 4, CHOOSE(D37, AN38, AO38), IF(C37 = 5, CHOOSE(D37, AR38, AS38, AT38), IF(C37 = 7, CHOOSE(D37, AW38, AX38, AY38), FALSE)))))))</f>
        <v>0</v>
      </c>
      <c r="W38" s="2" t="b">
        <f t="shared" ref="W38:W39" si="572">AND(NOT(K38), NOT(J38))</f>
        <v>0</v>
      </c>
      <c r="X38" s="2" t="b">
        <f t="shared" ref="X38" si="573">NOT(K37)</f>
        <v>0</v>
      </c>
      <c r="Y38" s="2" t="b">
        <f t="shared" ref="Y38" si="574">AND(NOT(K38), NOT(J38))</f>
        <v>0</v>
      </c>
      <c r="Z38" s="2" t="b">
        <f t="shared" ref="Z38" si="575">OR(I38, J38)</f>
        <v>0</v>
      </c>
      <c r="AC38" s="2" t="b">
        <f t="shared" ref="AC38" si="576">AND(NOT(K38), NOT(J38))</f>
        <v>0</v>
      </c>
      <c r="AD38" s="2" t="b">
        <f t="shared" ref="AD38" si="577">J38</f>
        <v>0</v>
      </c>
      <c r="AE38" s="2" t="b">
        <f t="shared" ref="AE38" si="578">AND(NOT(K38), NOT(J38))</f>
        <v>0</v>
      </c>
      <c r="AF38" s="2" t="b">
        <f t="shared" ref="AF38" si="579">J38</f>
        <v>0</v>
      </c>
      <c r="AI38" s="2" t="b">
        <f t="shared" ref="AI38" si="580">AND(NOT(J38), NOT(K38))</f>
        <v>0</v>
      </c>
      <c r="AJ38" s="2" t="b">
        <f t="shared" ref="AJ38" si="581">OR(I38, J38)</f>
        <v>0</v>
      </c>
      <c r="AK38" s="2" t="b">
        <f t="shared" ref="AK38" si="582">OR(I38, J38)</f>
        <v>0</v>
      </c>
      <c r="AN38" s="2" t="b">
        <f t="shared" ref="AN38" si="583">OR(I38, J38)</f>
        <v>0</v>
      </c>
      <c r="AO38" s="2" t="b">
        <f t="shared" ref="AO38" si="584">J38</f>
        <v>0</v>
      </c>
      <c r="AR38" s="2" t="b">
        <f t="shared" si="560"/>
        <v>0</v>
      </c>
      <c r="AS38" s="2" t="b">
        <f t="shared" ref="AS38" si="585">OR(I38, J38)</f>
        <v>0</v>
      </c>
      <c r="AT38" s="2" t="b">
        <f t="shared" ref="AT38" si="586">OR(I38, J38)</f>
        <v>0</v>
      </c>
      <c r="AW38" s="2" t="b">
        <f t="shared" ref="AW38" si="587">J38</f>
        <v>0</v>
      </c>
      <c r="AX38" s="2" t="b">
        <f t="shared" ref="AX38" si="588">J38</f>
        <v>0</v>
      </c>
      <c r="AY38" s="2" t="b">
        <f t="shared" ref="AY38" si="589">J38</f>
        <v>0</v>
      </c>
    </row>
    <row r="39" spans="2:54" ht="18" hidden="1" customHeight="1" x14ac:dyDescent="0.3">
      <c r="B39" s="416"/>
      <c r="C39" s="332"/>
      <c r="D39" s="332"/>
      <c r="E39" s="2" t="s">
        <v>235</v>
      </c>
      <c r="F39" s="2" t="str">
        <f>IF('One-Off Entries'!O14 &lt;&gt; "", LEFT('One-Off Entries'!O14, 1), "")</f>
        <v/>
      </c>
      <c r="G39" s="2" t="b">
        <f t="shared" si="0"/>
        <v>0</v>
      </c>
      <c r="H39" s="2" t="b">
        <f t="shared" si="566"/>
        <v>0</v>
      </c>
      <c r="I39" s="2" t="b">
        <f t="shared" si="567"/>
        <v>0</v>
      </c>
      <c r="J39" s="2" t="b">
        <f t="shared" si="568"/>
        <v>0</v>
      </c>
      <c r="K39" s="27" t="b">
        <f t="shared" si="569"/>
        <v>1</v>
      </c>
      <c r="L39" s="416"/>
      <c r="O39" s="1" t="s">
        <v>387</v>
      </c>
      <c r="P39" s="1" t="b">
        <f t="shared" ref="P39" si="590">OR(IF(D37 = 2, TRUE, FALSE), IF(D37 = 4, TRUE, FALSE))</f>
        <v>0</v>
      </c>
      <c r="Q39" s="1">
        <f t="shared" si="5"/>
        <v>0</v>
      </c>
      <c r="T39" s="2" t="b">
        <f t="shared" ref="T39" si="591">IF(D37 = 0, FALSE, IF(C37 = 1, CHOOSE(D37, W39, X39, Y39, Z39), IF(C37 = 2, CHOOSE(D37, AC39, AD39, AE39, AF39), IF(C37 = 3, CHOOSE(D37, AI39, AJ39, AK39), IF(C37 = 4, CHOOSE(D37, AN39, AO39), IF(C37 = 5, CHOOSE(D37, AR39, AS39, AT39), IF(C37 = 7, CHOOSE(D37, AW39, AX39, AY39), FALSE)))))))</f>
        <v>0</v>
      </c>
      <c r="W39" s="2" t="b">
        <f t="shared" si="572"/>
        <v>0</v>
      </c>
      <c r="X39" s="2" t="b">
        <f t="shared" ref="X39" si="592">OR(I39, J39)</f>
        <v>0</v>
      </c>
      <c r="Y39" s="2" t="b">
        <f t="shared" ref="Y39" si="593">AND(NOT(K38), NOT(J38))</f>
        <v>0</v>
      </c>
      <c r="Z39" s="2" t="b">
        <f t="shared" ref="Z39" si="594">J39</f>
        <v>0</v>
      </c>
      <c r="AC39" s="2" t="b">
        <f t="shared" ref="AC39" si="595">NOT(K39)</f>
        <v>0</v>
      </c>
      <c r="AD39" s="2" t="b">
        <f t="shared" ref="AD39" si="596">OR(I39, J39)</f>
        <v>0</v>
      </c>
      <c r="AE39" s="2" t="b">
        <f t="shared" ref="AE39" si="597">NOT(K39)</f>
        <v>0</v>
      </c>
      <c r="AF39" s="2" t="b">
        <f t="shared" ref="AF39" si="598">OR(I39, J39)</f>
        <v>0</v>
      </c>
      <c r="AI39" s="2" t="b">
        <f t="shared" ref="AI39" si="599">AND(OR(I39, J39), NOT(K39))</f>
        <v>0</v>
      </c>
      <c r="AJ39" s="2" t="b">
        <f t="shared" ref="AJ39" si="600">J39</f>
        <v>0</v>
      </c>
      <c r="AK39" s="2" t="b">
        <f t="shared" ref="AK39" si="601">J39</f>
        <v>0</v>
      </c>
      <c r="AN39" s="2" t="b">
        <f t="shared" ref="AN39:AN40" si="602">K39</f>
        <v>1</v>
      </c>
      <c r="AO39" s="2" t="b">
        <f t="shared" ref="AO39:AO40" si="603">K39</f>
        <v>1</v>
      </c>
      <c r="AR39" s="2" t="b">
        <f t="shared" si="560"/>
        <v>0</v>
      </c>
      <c r="AS39" s="2" t="b">
        <f t="shared" ref="AS39" si="604">J39</f>
        <v>0</v>
      </c>
      <c r="AT39" s="2" t="b">
        <f t="shared" ref="AT39" si="605">J39</f>
        <v>0</v>
      </c>
      <c r="AW39" s="2" t="b">
        <f t="shared" ref="AW39:AW40" si="606">K39</f>
        <v>1</v>
      </c>
      <c r="AX39" s="2" t="b">
        <f t="shared" ref="AX39:AX40" si="607">K39</f>
        <v>1</v>
      </c>
      <c r="AY39" s="2" t="b">
        <f t="shared" ref="AY39:AY40" si="608">K39</f>
        <v>1</v>
      </c>
    </row>
    <row r="40" spans="2:54" ht="18" customHeight="1" x14ac:dyDescent="0.3">
      <c r="B40" s="412"/>
      <c r="C40" s="332"/>
      <c r="D40" s="332"/>
      <c r="E40" s="2" t="s">
        <v>236</v>
      </c>
      <c r="F40" s="2" t="str">
        <f>IF('One-Off Entries'!P14 &lt;&gt; "", LEFT('One-Off Entries'!P14, 1), "")</f>
        <v/>
      </c>
      <c r="G40" s="2" t="b">
        <f t="shared" si="0"/>
        <v>0</v>
      </c>
      <c r="H40" s="2" t="b">
        <f t="shared" si="566"/>
        <v>0</v>
      </c>
      <c r="I40" s="2" t="b">
        <f t="shared" si="567"/>
        <v>0</v>
      </c>
      <c r="J40" s="2" t="b">
        <f t="shared" si="568"/>
        <v>0</v>
      </c>
      <c r="K40" s="27" t="b">
        <f t="shared" si="569"/>
        <v>1</v>
      </c>
      <c r="L40" s="412"/>
      <c r="O40" s="1" t="s">
        <v>388</v>
      </c>
      <c r="P40" s="1" t="b">
        <f t="shared" ref="P40" si="609">IF(SUM(Q37:Q40) &gt; 1, TRUE, FALSE)</f>
        <v>0</v>
      </c>
      <c r="Q40" s="1">
        <f t="shared" si="5"/>
        <v>0</v>
      </c>
      <c r="T40" s="2" t="b">
        <f>IF(D37 = 0, FALSE, IF(C37 = 1, CHOOSE(D37, W40, X40, Y40, Z40), IF(C37 = 2, IF(BB40 = "Rolex 24 at Daytona", CHOOSE(D37, AC40, AD40, AE40, AF40), K40), IF(C37 = 3, CHOOSE(D37, AI40, AJ40, AK40), IF(C37 = 4, CHOOSE(D37, AN40, AO40), IF(C37 = 5, CHOOSE(D37, AR40, AS40, AT40), IF(C37 = 7, CHOOSE(D37, AW40, AX40, AY40), FALSE)))))))</f>
        <v>0</v>
      </c>
      <c r="W40" s="2" t="b">
        <f t="shared" ref="W40" si="610">K40</f>
        <v>1</v>
      </c>
      <c r="X40" s="2" t="b">
        <f t="shared" ref="X40" si="611">K40</f>
        <v>1</v>
      </c>
      <c r="Y40" s="2" t="b">
        <f t="shared" ref="Y40" si="612">K40</f>
        <v>1</v>
      </c>
      <c r="Z40" s="2" t="b">
        <f t="shared" ref="Z40" si="613">K40</f>
        <v>1</v>
      </c>
      <c r="AC40" s="2" t="b">
        <v>1</v>
      </c>
      <c r="AD40" s="2" t="b">
        <f t="shared" ref="AD40" si="614">NOT(K40)</f>
        <v>0</v>
      </c>
      <c r="AE40" s="2" t="b">
        <v>1</v>
      </c>
      <c r="AF40" s="2" t="b">
        <f t="shared" ref="AF40" si="615">NOT(K40)</f>
        <v>0</v>
      </c>
      <c r="AI40" s="2" t="b">
        <f t="shared" ref="AI40" si="616">K40</f>
        <v>1</v>
      </c>
      <c r="AJ40" s="2" t="b">
        <f t="shared" ref="AJ40" si="617">K40</f>
        <v>1</v>
      </c>
      <c r="AK40" s="2" t="b">
        <f t="shared" ref="AK40" si="618">K40</f>
        <v>1</v>
      </c>
      <c r="AN40" s="2" t="b">
        <f t="shared" si="602"/>
        <v>1</v>
      </c>
      <c r="AO40" s="2" t="b">
        <f t="shared" si="603"/>
        <v>1</v>
      </c>
      <c r="AR40" s="2" t="b">
        <f t="shared" ref="AR40" si="619">K40</f>
        <v>1</v>
      </c>
      <c r="AS40" s="2" t="b">
        <f t="shared" ref="AS40" si="620">K40</f>
        <v>1</v>
      </c>
      <c r="AT40" s="2" t="b">
        <f t="shared" ref="AT40" si="621">K40</f>
        <v>1</v>
      </c>
      <c r="AW40" s="2" t="b">
        <f t="shared" si="606"/>
        <v>1</v>
      </c>
      <c r="AX40" s="2" t="b">
        <f t="shared" si="607"/>
        <v>1</v>
      </c>
      <c r="AY40" s="2" t="b">
        <f t="shared" si="608"/>
        <v>1</v>
      </c>
      <c r="BB40" s="1">
        <f>'One-Off Entries'!C14</f>
        <v>0</v>
      </c>
    </row>
    <row r="41" spans="2:54" ht="18" hidden="1" customHeight="1" x14ac:dyDescent="0.3">
      <c r="B41" s="415">
        <v>10</v>
      </c>
      <c r="C41" s="332">
        <f>'One-Off Entries'!AI15</f>
        <v>0</v>
      </c>
      <c r="D41" s="332">
        <f>'One-Off Entries'!AJ15</f>
        <v>0</v>
      </c>
      <c r="E41" s="2" t="s">
        <v>233</v>
      </c>
      <c r="F41" s="2" t="str">
        <f>IF('One-Off Entries'!M15 &lt;&gt; "", LEFT('One-Off Entries'!M15, 1), "")</f>
        <v/>
      </c>
      <c r="G41" s="2" t="b">
        <f>IF(F41 = "P", TRUE, FALSE)</f>
        <v>0</v>
      </c>
      <c r="H41" s="2" t="b">
        <f>IF(F41 = "G", TRUE, FALSE)</f>
        <v>0</v>
      </c>
      <c r="I41" s="2" t="b">
        <f>IF(F41 = "S", TRUE, FALSE)</f>
        <v>0</v>
      </c>
      <c r="J41" s="2" t="b">
        <f>IF(F41 = "B", TRUE, FALSE)</f>
        <v>0</v>
      </c>
      <c r="K41" s="27" t="b">
        <f>IF(AND(IF(G41 = FALSE, TRUE, FALSE), IF(H41 = FALSE, TRUE, FALSE), IF(I41 = FALSE, TRUE, FALSE), IF(J41 = FALSE, TRUE, FALSE)) = TRUE, TRUE, FALSE)</f>
        <v>1</v>
      </c>
      <c r="L41" s="415" t="str">
        <f>IF(P41, "", IF(AND(P42, P43), AND(T41, T42, T43, T44), AND(NOT(P44), T41, T42, T43, T44)))</f>
        <v/>
      </c>
      <c r="O41" s="1" t="s">
        <v>232</v>
      </c>
      <c r="P41" s="1" t="b">
        <f t="shared" ref="P41" si="622">AND(K41, K42, K43, K44)</f>
        <v>1</v>
      </c>
      <c r="Q41" s="1">
        <f t="shared" si="5"/>
        <v>0</v>
      </c>
      <c r="T41" s="2" t="b">
        <f t="shared" ref="T41" si="623">IF(D41 = 0, FALSE, IF(C41 = 1, CHOOSE(D41, W41, X41, Y41, Z41), IF(C41 = 2, CHOOSE(D41, AC41, AD41, AE41, AF41), IF(C41 = 3, CHOOSE(D41, AI41, AJ41, AK41), IF(C41 = 4, CHOOSE(D41, AN41, AO41), IF(C41 = 5, CHOOSE(D41, AR41, AS41, AT41), IF(C41 = 7, CHOOSE(D41, AW41, AX41, AY41), FALSE)))))))</f>
        <v>0</v>
      </c>
      <c r="W41" s="2" t="b">
        <f t="shared" ref="W41" si="624">AND(NOT(I41), NOT(K41), NOT(J41))</f>
        <v>0</v>
      </c>
      <c r="X41" s="2" t="b">
        <f t="shared" ref="X41" si="625">AND(NOT(I41), NOT(K41), NOT(J41))</f>
        <v>0</v>
      </c>
      <c r="Y41" s="2" t="b">
        <f t="shared" ref="Y41" si="626">AND(NOT(I41), NOT(K41), NOT(J41))</f>
        <v>0</v>
      </c>
      <c r="Z41" s="2" t="b">
        <f t="shared" ref="Z41" si="627">AND(NOT(I41), NOT(K41), NOT(J41))</f>
        <v>0</v>
      </c>
      <c r="AC41" s="2" t="b">
        <f t="shared" ref="AC41" si="628">AND(NOT(I41), NOT(K41), NOT(J41))</f>
        <v>0</v>
      </c>
      <c r="AD41" s="2" t="b">
        <f t="shared" ref="AD41" si="629">AND(NOT(G41), NOT(K41), NOT(J41))</f>
        <v>0</v>
      </c>
      <c r="AE41" s="2" t="b">
        <f t="shared" ref="AE41" si="630">AND(NOT(I41), NOT(K41), NOT(J41))</f>
        <v>0</v>
      </c>
      <c r="AF41" s="2" t="b">
        <f t="shared" ref="AF41" si="631">AND(NOT(I41), NOT(K41), NOT(J41))</f>
        <v>0</v>
      </c>
      <c r="AI41" s="2" t="b">
        <f t="shared" ref="AI41" si="632">AND(NOT(I41), NOT(K41), NOT(J41))</f>
        <v>0</v>
      </c>
      <c r="AJ41" s="2" t="b">
        <f t="shared" ref="AJ41" si="633">AND(NOT(J41), NOT(K41))</f>
        <v>0</v>
      </c>
      <c r="AK41" s="2" t="b">
        <f t="shared" ref="AK41" si="634">AND(NOT(I41), NOT(K41), NOT(J41))</f>
        <v>0</v>
      </c>
      <c r="AN41" s="2" t="b">
        <f t="shared" ref="AN41" si="635">AND(NOT(I41), NOT(K41), NOT(J41))</f>
        <v>0</v>
      </c>
      <c r="AO41" s="2" t="b">
        <f t="shared" ref="AO41" si="636">AND(NOT(G41), NOT(J41), NOT(K41))</f>
        <v>0</v>
      </c>
      <c r="AR41" s="2" t="b">
        <f t="shared" ref="AR41:AR43" si="637">AND(NOT(J41), NOT(K41))</f>
        <v>0</v>
      </c>
      <c r="AS41" s="2" t="b">
        <f t="shared" ref="AS41" si="638">AND(NOT(I41), NOT(K41), NOT(J41))</f>
        <v>0</v>
      </c>
      <c r="AT41" s="2" t="b">
        <f t="shared" ref="AT41" si="639">AND(NOT(G41), NOT(J41), NOT(K41))</f>
        <v>0</v>
      </c>
      <c r="AW41" s="2" t="b">
        <f t="shared" ref="AW41" si="640">AND(NOT(G41), NOT(J41), NOT(K41))</f>
        <v>0</v>
      </c>
      <c r="AX41" s="2" t="b">
        <f t="shared" ref="AX41" si="641">AND(NOT(J41), NOT(K41))</f>
        <v>0</v>
      </c>
      <c r="AY41" s="2" t="b">
        <f t="shared" ref="AY41" si="642">AND(NOT(G41), NOT(J41), NOT(K41))</f>
        <v>0</v>
      </c>
    </row>
    <row r="42" spans="2:54" ht="18" hidden="1" customHeight="1" x14ac:dyDescent="0.3">
      <c r="B42" s="416"/>
      <c r="C42" s="332"/>
      <c r="D42" s="332"/>
      <c r="E42" s="2" t="s">
        <v>234</v>
      </c>
      <c r="F42" s="2" t="str">
        <f>IF('One-Off Entries'!N15 &lt;&gt; "", LEFT('One-Off Entries'!N15, 1), "")</f>
        <v/>
      </c>
      <c r="G42" s="2" t="b">
        <f t="shared" si="0"/>
        <v>0</v>
      </c>
      <c r="H42" s="2" t="b">
        <f t="shared" ref="H42:H44" si="643">IF(F42 = "G", TRUE, FALSE)</f>
        <v>0</v>
      </c>
      <c r="I42" s="2" t="b">
        <f t="shared" ref="I42:I44" si="644">IF(F42 = "S", TRUE, FALSE)</f>
        <v>0</v>
      </c>
      <c r="J42" s="2" t="b">
        <f t="shared" ref="J42:J44" si="645">IF(F42 = "B", TRUE, FALSE)</f>
        <v>0</v>
      </c>
      <c r="K42" s="27" t="b">
        <f t="shared" ref="K42:K44" si="646">IF(AND(IF(G42 = FALSE, TRUE, FALSE), IF(H42 = FALSE, TRUE, FALSE), IF(I42 = FALSE, TRUE, FALSE), IF(J42 = FALSE, TRUE, FALSE)) = TRUE, TRUE, FALSE)</f>
        <v>1</v>
      </c>
      <c r="L42" s="416"/>
      <c r="O42" s="1" t="s">
        <v>386</v>
      </c>
      <c r="P42" s="1" t="b">
        <f t="shared" ref="P42" si="647">OR(IF(C41 = 2, TRUE, FALSE), IF(C41 = 2.2, TRUE, FALSE))</f>
        <v>0</v>
      </c>
      <c r="Q42" s="1">
        <f t="shared" si="5"/>
        <v>0</v>
      </c>
      <c r="T42" s="2" t="b">
        <f t="shared" ref="T42" si="648">IF(D41 = 0, FALSE, IF(C41 = 1, CHOOSE(D41, W42, X42, Y42, Z42), IF(C41 = 2, CHOOSE(D41, AC42, AD42, AE42, AF42), IF(C41 = 3, CHOOSE(D41, AI42, AJ42, AK42), IF(C41 = 4, CHOOSE(D41, AN42, AO42), IF(C41 = 5, CHOOSE(D41, AR42, AS42, AT42), IF(C41 = 7, CHOOSE(D41, AW42, AX42, AY42), FALSE)))))))</f>
        <v>0</v>
      </c>
      <c r="W42" s="2" t="b">
        <f t="shared" ref="W42:W43" si="649">AND(NOT(K42), NOT(J42))</f>
        <v>0</v>
      </c>
      <c r="X42" s="2" t="b">
        <f t="shared" ref="X42" si="650">NOT(K41)</f>
        <v>0</v>
      </c>
      <c r="Y42" s="2" t="b">
        <f t="shared" ref="Y42" si="651">AND(NOT(K42), NOT(J42))</f>
        <v>0</v>
      </c>
      <c r="Z42" s="2" t="b">
        <f t="shared" ref="Z42" si="652">OR(I42, J42)</f>
        <v>0</v>
      </c>
      <c r="AC42" s="2" t="b">
        <f t="shared" ref="AC42" si="653">AND(NOT(K42), NOT(J42))</f>
        <v>0</v>
      </c>
      <c r="AD42" s="2" t="b">
        <f t="shared" ref="AD42" si="654">J42</f>
        <v>0</v>
      </c>
      <c r="AE42" s="2" t="b">
        <f t="shared" ref="AE42" si="655">AND(NOT(K42), NOT(J42))</f>
        <v>0</v>
      </c>
      <c r="AF42" s="2" t="b">
        <f t="shared" ref="AF42" si="656">J42</f>
        <v>0</v>
      </c>
      <c r="AI42" s="2" t="b">
        <f t="shared" ref="AI42" si="657">AND(NOT(J42), NOT(K42))</f>
        <v>0</v>
      </c>
      <c r="AJ42" s="2" t="b">
        <f t="shared" ref="AJ42" si="658">OR(I42, J42)</f>
        <v>0</v>
      </c>
      <c r="AK42" s="2" t="b">
        <f t="shared" ref="AK42" si="659">OR(I42, J42)</f>
        <v>0</v>
      </c>
      <c r="AN42" s="2" t="b">
        <f t="shared" ref="AN42" si="660">OR(I42, J42)</f>
        <v>0</v>
      </c>
      <c r="AO42" s="2" t="b">
        <f t="shared" ref="AO42" si="661">J42</f>
        <v>0</v>
      </c>
      <c r="AR42" s="2" t="b">
        <f t="shared" si="637"/>
        <v>0</v>
      </c>
      <c r="AS42" s="2" t="b">
        <f t="shared" ref="AS42" si="662">OR(I42, J42)</f>
        <v>0</v>
      </c>
      <c r="AT42" s="2" t="b">
        <f t="shared" ref="AT42" si="663">OR(I42, J42)</f>
        <v>0</v>
      </c>
      <c r="AW42" s="2" t="b">
        <f t="shared" ref="AW42" si="664">J42</f>
        <v>0</v>
      </c>
      <c r="AX42" s="2" t="b">
        <f t="shared" ref="AX42" si="665">J42</f>
        <v>0</v>
      </c>
      <c r="AY42" s="2" t="b">
        <f t="shared" ref="AY42" si="666">J42</f>
        <v>0</v>
      </c>
    </row>
    <row r="43" spans="2:54" ht="18" hidden="1" customHeight="1" x14ac:dyDescent="0.3">
      <c r="B43" s="416"/>
      <c r="C43" s="332"/>
      <c r="D43" s="332"/>
      <c r="E43" s="2" t="s">
        <v>235</v>
      </c>
      <c r="F43" s="2" t="str">
        <f>IF('One-Off Entries'!O15 &lt;&gt; "", LEFT('One-Off Entries'!O15, 1), "")</f>
        <v/>
      </c>
      <c r="G43" s="2" t="b">
        <f t="shared" si="0"/>
        <v>0</v>
      </c>
      <c r="H43" s="2" t="b">
        <f t="shared" si="643"/>
        <v>0</v>
      </c>
      <c r="I43" s="2" t="b">
        <f t="shared" si="644"/>
        <v>0</v>
      </c>
      <c r="J43" s="2" t="b">
        <f t="shared" si="645"/>
        <v>0</v>
      </c>
      <c r="K43" s="27" t="b">
        <f t="shared" si="646"/>
        <v>1</v>
      </c>
      <c r="L43" s="416"/>
      <c r="O43" s="1" t="s">
        <v>387</v>
      </c>
      <c r="P43" s="1" t="b">
        <f t="shared" ref="P43" si="667">OR(IF(D41 = 2, TRUE, FALSE), IF(D41 = 4, TRUE, FALSE))</f>
        <v>0</v>
      </c>
      <c r="Q43" s="1">
        <f t="shared" si="5"/>
        <v>0</v>
      </c>
      <c r="T43" s="2" t="b">
        <f t="shared" ref="T43" si="668">IF(D41 = 0, FALSE, IF(C41 = 1, CHOOSE(D41, W43, X43, Y43, Z43), IF(C41 = 2, CHOOSE(D41, AC43, AD43, AE43, AF43), IF(C41 = 3, CHOOSE(D41, AI43, AJ43, AK43), IF(C41 = 4, CHOOSE(D41, AN43, AO43), IF(C41 = 5, CHOOSE(D41, AR43, AS43, AT43), IF(C41 = 7, CHOOSE(D41, AW43, AX43, AY43), FALSE)))))))</f>
        <v>0</v>
      </c>
      <c r="W43" s="2" t="b">
        <f t="shared" si="649"/>
        <v>0</v>
      </c>
      <c r="X43" s="2" t="b">
        <f t="shared" ref="X43" si="669">OR(I43, J43)</f>
        <v>0</v>
      </c>
      <c r="Y43" s="2" t="b">
        <f t="shared" ref="Y43" si="670">AND(NOT(K42), NOT(J42))</f>
        <v>0</v>
      </c>
      <c r="Z43" s="2" t="b">
        <f t="shared" ref="Z43" si="671">J43</f>
        <v>0</v>
      </c>
      <c r="AC43" s="2" t="b">
        <f t="shared" ref="AC43" si="672">NOT(K43)</f>
        <v>0</v>
      </c>
      <c r="AD43" s="2" t="b">
        <f t="shared" ref="AD43" si="673">OR(I43, J43)</f>
        <v>0</v>
      </c>
      <c r="AE43" s="2" t="b">
        <f t="shared" ref="AE43" si="674">NOT(K43)</f>
        <v>0</v>
      </c>
      <c r="AF43" s="2" t="b">
        <f t="shared" ref="AF43" si="675">OR(I43, J43)</f>
        <v>0</v>
      </c>
      <c r="AI43" s="2" t="b">
        <f t="shared" ref="AI43" si="676">AND(OR(I43, J43), NOT(K43))</f>
        <v>0</v>
      </c>
      <c r="AJ43" s="2" t="b">
        <f t="shared" ref="AJ43" si="677">J43</f>
        <v>0</v>
      </c>
      <c r="AK43" s="2" t="b">
        <f t="shared" ref="AK43" si="678">J43</f>
        <v>0</v>
      </c>
      <c r="AN43" s="2" t="b">
        <f t="shared" ref="AN43:AN44" si="679">K43</f>
        <v>1</v>
      </c>
      <c r="AO43" s="2" t="b">
        <f t="shared" ref="AO43:AO44" si="680">K43</f>
        <v>1</v>
      </c>
      <c r="AR43" s="2" t="b">
        <f t="shared" si="637"/>
        <v>0</v>
      </c>
      <c r="AS43" s="2" t="b">
        <f t="shared" ref="AS43" si="681">J43</f>
        <v>0</v>
      </c>
      <c r="AT43" s="2" t="b">
        <f t="shared" ref="AT43" si="682">J43</f>
        <v>0</v>
      </c>
      <c r="AW43" s="2" t="b">
        <f t="shared" ref="AW43:AW44" si="683">K43</f>
        <v>1</v>
      </c>
      <c r="AX43" s="2" t="b">
        <f t="shared" ref="AX43:AX44" si="684">K43</f>
        <v>1</v>
      </c>
      <c r="AY43" s="2" t="b">
        <f t="shared" ref="AY43:AY44" si="685">K43</f>
        <v>1</v>
      </c>
    </row>
    <row r="44" spans="2:54" ht="18" customHeight="1" x14ac:dyDescent="0.3">
      <c r="B44" s="412"/>
      <c r="C44" s="332"/>
      <c r="D44" s="332"/>
      <c r="E44" s="2" t="s">
        <v>236</v>
      </c>
      <c r="F44" s="2" t="str">
        <f>IF('One-Off Entries'!P15 &lt;&gt; "", LEFT('One-Off Entries'!P15, 1), "")</f>
        <v/>
      </c>
      <c r="G44" s="2" t="b">
        <f t="shared" si="0"/>
        <v>0</v>
      </c>
      <c r="H44" s="2" t="b">
        <f t="shared" si="643"/>
        <v>0</v>
      </c>
      <c r="I44" s="2" t="b">
        <f t="shared" si="644"/>
        <v>0</v>
      </c>
      <c r="J44" s="2" t="b">
        <f t="shared" si="645"/>
        <v>0</v>
      </c>
      <c r="K44" s="27" t="b">
        <f t="shared" si="646"/>
        <v>1</v>
      </c>
      <c r="L44" s="412"/>
      <c r="O44" s="1" t="s">
        <v>388</v>
      </c>
      <c r="P44" s="1" t="b">
        <f t="shared" ref="P44" si="686">IF(SUM(Q41:Q44) &gt; 1, TRUE, FALSE)</f>
        <v>0</v>
      </c>
      <c r="Q44" s="1">
        <f t="shared" si="5"/>
        <v>0</v>
      </c>
      <c r="T44" s="2" t="b">
        <f>IF(D41 = 0, FALSE, IF(C41 = 1, CHOOSE(D41, W44, X44, Y44, Z44), IF(C41 = 2, IF(BB44 = "Rolex 24 at Daytona", CHOOSE(D41, AC44, AD44, AE44, AF44), K44), IF(C41 = 3, CHOOSE(D41, AI44, AJ44, AK44), IF(C41 = 4, CHOOSE(D41, AN44, AO44), IF(C41 = 5, CHOOSE(D41, AR44, AS44, AT44), IF(C41 = 7, CHOOSE(D41, AW44, AX44, AY44), FALSE)))))))</f>
        <v>0</v>
      </c>
      <c r="W44" s="2" t="b">
        <f t="shared" ref="W44" si="687">K44</f>
        <v>1</v>
      </c>
      <c r="X44" s="2" t="b">
        <f t="shared" ref="X44" si="688">K44</f>
        <v>1</v>
      </c>
      <c r="Y44" s="2" t="b">
        <f t="shared" ref="Y44" si="689">K44</f>
        <v>1</v>
      </c>
      <c r="Z44" s="2" t="b">
        <f t="shared" ref="Z44" si="690">K44</f>
        <v>1</v>
      </c>
      <c r="AC44" s="2" t="b">
        <v>1</v>
      </c>
      <c r="AD44" s="2" t="b">
        <f t="shared" ref="AD44" si="691">NOT(K44)</f>
        <v>0</v>
      </c>
      <c r="AE44" s="2" t="b">
        <v>1</v>
      </c>
      <c r="AF44" s="2" t="b">
        <f t="shared" ref="AF44" si="692">NOT(K44)</f>
        <v>0</v>
      </c>
      <c r="AI44" s="2" t="b">
        <f t="shared" ref="AI44" si="693">K44</f>
        <v>1</v>
      </c>
      <c r="AJ44" s="2" t="b">
        <f t="shared" ref="AJ44" si="694">K44</f>
        <v>1</v>
      </c>
      <c r="AK44" s="2" t="b">
        <f t="shared" ref="AK44" si="695">K44</f>
        <v>1</v>
      </c>
      <c r="AN44" s="2" t="b">
        <f t="shared" si="679"/>
        <v>1</v>
      </c>
      <c r="AO44" s="2" t="b">
        <f t="shared" si="680"/>
        <v>1</v>
      </c>
      <c r="AR44" s="2" t="b">
        <f t="shared" ref="AR44" si="696">K44</f>
        <v>1</v>
      </c>
      <c r="AS44" s="2" t="b">
        <f t="shared" ref="AS44" si="697">K44</f>
        <v>1</v>
      </c>
      <c r="AT44" s="2" t="b">
        <f t="shared" ref="AT44" si="698">K44</f>
        <v>1</v>
      </c>
      <c r="AW44" s="2" t="b">
        <f t="shared" si="683"/>
        <v>1</v>
      </c>
      <c r="AX44" s="2" t="b">
        <f t="shared" si="684"/>
        <v>1</v>
      </c>
      <c r="AY44" s="2" t="b">
        <f t="shared" si="685"/>
        <v>1</v>
      </c>
      <c r="BB44" s="1">
        <f>'One-Off Entries'!C15</f>
        <v>0</v>
      </c>
    </row>
    <row r="45" spans="2:54" ht="18" hidden="1" customHeight="1" x14ac:dyDescent="0.3">
      <c r="B45" s="415">
        <v>11</v>
      </c>
      <c r="C45" s="332">
        <f>'One-Off Entries'!AI16</f>
        <v>0</v>
      </c>
      <c r="D45" s="332">
        <f>'One-Off Entries'!AJ16</f>
        <v>0</v>
      </c>
      <c r="E45" s="2" t="s">
        <v>233</v>
      </c>
      <c r="F45" s="2" t="str">
        <f>IF('One-Off Entries'!M16 &lt;&gt; "", LEFT('One-Off Entries'!M16, 1), "")</f>
        <v/>
      </c>
      <c r="G45" s="2" t="b">
        <f>IF(F45 = "P", TRUE, FALSE)</f>
        <v>0</v>
      </c>
      <c r="H45" s="2" t="b">
        <f>IF(F45 = "G", TRUE, FALSE)</f>
        <v>0</v>
      </c>
      <c r="I45" s="2" t="b">
        <f>IF(F45 = "S", TRUE, FALSE)</f>
        <v>0</v>
      </c>
      <c r="J45" s="2" t="b">
        <f>IF(F45 = "B", TRUE, FALSE)</f>
        <v>0</v>
      </c>
      <c r="K45" s="27" t="b">
        <f>IF(AND(IF(G45 = FALSE, TRUE, FALSE), IF(H45 = FALSE, TRUE, FALSE), IF(I45 = FALSE, TRUE, FALSE), IF(J45 = FALSE, TRUE, FALSE)) = TRUE, TRUE, FALSE)</f>
        <v>1</v>
      </c>
      <c r="L45" s="415" t="str">
        <f>IF(P45, "", IF(AND(P46, P47), AND(T45, T46, T47, T48), AND(NOT(P48), T45, T46, T47, T48)))</f>
        <v/>
      </c>
      <c r="O45" s="1" t="s">
        <v>232</v>
      </c>
      <c r="P45" s="1" t="b">
        <f t="shared" ref="P45" si="699">AND(K45, K46, K47, K48)</f>
        <v>1</v>
      </c>
      <c r="Q45" s="1">
        <f t="shared" si="5"/>
        <v>0</v>
      </c>
      <c r="T45" s="2" t="b">
        <f t="shared" ref="T45" si="700">IF(D45 = 0, FALSE, IF(C45 = 1, CHOOSE(D45, W45, X45, Y45, Z45), IF(C45 = 2, CHOOSE(D45, AC45, AD45, AE45, AF45), IF(C45 = 3, CHOOSE(D45, AI45, AJ45, AK45), IF(C45 = 4, CHOOSE(D45, AN45, AO45), IF(C45 = 5, CHOOSE(D45, AR45, AS45, AT45), IF(C45 = 7, CHOOSE(D45, AW45, AX45, AY45), FALSE)))))))</f>
        <v>0</v>
      </c>
      <c r="W45" s="2" t="b">
        <f t="shared" ref="W45" si="701">AND(NOT(I45), NOT(K45), NOT(J45))</f>
        <v>0</v>
      </c>
      <c r="X45" s="2" t="b">
        <f t="shared" ref="X45" si="702">AND(NOT(I45), NOT(K45), NOT(J45))</f>
        <v>0</v>
      </c>
      <c r="Y45" s="2" t="b">
        <f t="shared" ref="Y45" si="703">AND(NOT(I45), NOT(K45), NOT(J45))</f>
        <v>0</v>
      </c>
      <c r="Z45" s="2" t="b">
        <f t="shared" ref="Z45" si="704">AND(NOT(I45), NOT(K45), NOT(J45))</f>
        <v>0</v>
      </c>
      <c r="AC45" s="2" t="b">
        <f t="shared" ref="AC45" si="705">AND(NOT(I45), NOT(K45), NOT(J45))</f>
        <v>0</v>
      </c>
      <c r="AD45" s="2" t="b">
        <f t="shared" ref="AD45" si="706">AND(NOT(G45), NOT(K45), NOT(J45))</f>
        <v>0</v>
      </c>
      <c r="AE45" s="2" t="b">
        <f t="shared" ref="AE45" si="707">AND(NOT(I45), NOT(K45), NOT(J45))</f>
        <v>0</v>
      </c>
      <c r="AF45" s="2" t="b">
        <f t="shared" ref="AF45" si="708">AND(NOT(I45), NOT(K45), NOT(J45))</f>
        <v>0</v>
      </c>
      <c r="AI45" s="2" t="b">
        <f t="shared" ref="AI45" si="709">AND(NOT(I45), NOT(K45), NOT(J45))</f>
        <v>0</v>
      </c>
      <c r="AJ45" s="2" t="b">
        <f t="shared" ref="AJ45" si="710">AND(NOT(J45), NOT(K45))</f>
        <v>0</v>
      </c>
      <c r="AK45" s="2" t="b">
        <f t="shared" ref="AK45" si="711">AND(NOT(I45), NOT(K45), NOT(J45))</f>
        <v>0</v>
      </c>
      <c r="AN45" s="2" t="b">
        <f t="shared" ref="AN45" si="712">AND(NOT(I45), NOT(K45), NOT(J45))</f>
        <v>0</v>
      </c>
      <c r="AO45" s="2" t="b">
        <f t="shared" ref="AO45" si="713">AND(NOT(G45), NOT(J45), NOT(K45))</f>
        <v>0</v>
      </c>
      <c r="AR45" s="2" t="b">
        <f t="shared" ref="AR45:AR47" si="714">AND(NOT(J45), NOT(K45))</f>
        <v>0</v>
      </c>
      <c r="AS45" s="2" t="b">
        <f t="shared" ref="AS45" si="715">AND(NOT(I45), NOT(K45), NOT(J45))</f>
        <v>0</v>
      </c>
      <c r="AT45" s="2" t="b">
        <f t="shared" ref="AT45" si="716">AND(NOT(G45), NOT(J45), NOT(K45))</f>
        <v>0</v>
      </c>
      <c r="AW45" s="2" t="b">
        <f t="shared" ref="AW45" si="717">AND(NOT(G45), NOT(J45), NOT(K45))</f>
        <v>0</v>
      </c>
      <c r="AX45" s="2" t="b">
        <f t="shared" ref="AX45" si="718">AND(NOT(J45), NOT(K45))</f>
        <v>0</v>
      </c>
      <c r="AY45" s="2" t="b">
        <f t="shared" ref="AY45" si="719">AND(NOT(G45), NOT(J45), NOT(K45))</f>
        <v>0</v>
      </c>
    </row>
    <row r="46" spans="2:54" ht="18" hidden="1" customHeight="1" x14ac:dyDescent="0.3">
      <c r="B46" s="416"/>
      <c r="C46" s="332"/>
      <c r="D46" s="332"/>
      <c r="E46" s="2" t="s">
        <v>234</v>
      </c>
      <c r="F46" s="2" t="str">
        <f>IF('One-Off Entries'!N16 &lt;&gt; "", LEFT('One-Off Entries'!N16, 1), "")</f>
        <v/>
      </c>
      <c r="G46" s="2" t="b">
        <f t="shared" si="0"/>
        <v>0</v>
      </c>
      <c r="H46" s="2" t="b">
        <f t="shared" ref="H46:H48" si="720">IF(F46 = "G", TRUE, FALSE)</f>
        <v>0</v>
      </c>
      <c r="I46" s="2" t="b">
        <f t="shared" ref="I46:I48" si="721">IF(F46 = "S", TRUE, FALSE)</f>
        <v>0</v>
      </c>
      <c r="J46" s="2" t="b">
        <f t="shared" ref="J46:J48" si="722">IF(F46 = "B", TRUE, FALSE)</f>
        <v>0</v>
      </c>
      <c r="K46" s="27" t="b">
        <f t="shared" ref="K46:K48" si="723">IF(AND(IF(G46 = FALSE, TRUE, FALSE), IF(H46 = FALSE, TRUE, FALSE), IF(I46 = FALSE, TRUE, FALSE), IF(J46 = FALSE, TRUE, FALSE)) = TRUE, TRUE, FALSE)</f>
        <v>1</v>
      </c>
      <c r="L46" s="416"/>
      <c r="O46" s="1" t="s">
        <v>386</v>
      </c>
      <c r="P46" s="1" t="b">
        <f t="shared" ref="P46" si="724">OR(IF(C45 = 2, TRUE, FALSE), IF(C45 = 2.2, TRUE, FALSE))</f>
        <v>0</v>
      </c>
      <c r="Q46" s="1">
        <f t="shared" si="5"/>
        <v>0</v>
      </c>
      <c r="T46" s="2" t="b">
        <f t="shared" ref="T46" si="725">IF(D45 = 0, FALSE, IF(C45 = 1, CHOOSE(D45, W46, X46, Y46, Z46), IF(C45 = 2, CHOOSE(D45, AC46, AD46, AE46, AF46), IF(C45 = 3, CHOOSE(D45, AI46, AJ46, AK46), IF(C45 = 4, CHOOSE(D45, AN46, AO46), IF(C45 = 5, CHOOSE(D45, AR46, AS46, AT46), IF(C45 = 7, CHOOSE(D45, AW46, AX46, AY46), FALSE)))))))</f>
        <v>0</v>
      </c>
      <c r="W46" s="2" t="b">
        <f t="shared" ref="W46:W47" si="726">AND(NOT(K46), NOT(J46))</f>
        <v>0</v>
      </c>
      <c r="X46" s="2" t="b">
        <f t="shared" ref="X46" si="727">NOT(K45)</f>
        <v>0</v>
      </c>
      <c r="Y46" s="2" t="b">
        <f t="shared" ref="Y46" si="728">AND(NOT(K46), NOT(J46))</f>
        <v>0</v>
      </c>
      <c r="Z46" s="2" t="b">
        <f t="shared" ref="Z46" si="729">OR(I46, J46)</f>
        <v>0</v>
      </c>
      <c r="AC46" s="2" t="b">
        <f t="shared" ref="AC46" si="730">AND(NOT(K46), NOT(J46))</f>
        <v>0</v>
      </c>
      <c r="AD46" s="2" t="b">
        <f t="shared" ref="AD46" si="731">J46</f>
        <v>0</v>
      </c>
      <c r="AE46" s="2" t="b">
        <f t="shared" ref="AE46" si="732">AND(NOT(K46), NOT(J46))</f>
        <v>0</v>
      </c>
      <c r="AF46" s="2" t="b">
        <f t="shared" ref="AF46" si="733">J46</f>
        <v>0</v>
      </c>
      <c r="AI46" s="2" t="b">
        <f t="shared" ref="AI46" si="734">AND(NOT(J46), NOT(K46))</f>
        <v>0</v>
      </c>
      <c r="AJ46" s="2" t="b">
        <f t="shared" ref="AJ46" si="735">OR(I46, J46)</f>
        <v>0</v>
      </c>
      <c r="AK46" s="2" t="b">
        <f t="shared" ref="AK46" si="736">OR(I46, J46)</f>
        <v>0</v>
      </c>
      <c r="AN46" s="2" t="b">
        <f t="shared" ref="AN46" si="737">OR(I46, J46)</f>
        <v>0</v>
      </c>
      <c r="AO46" s="2" t="b">
        <f t="shared" ref="AO46" si="738">J46</f>
        <v>0</v>
      </c>
      <c r="AR46" s="2" t="b">
        <f t="shared" si="714"/>
        <v>0</v>
      </c>
      <c r="AS46" s="2" t="b">
        <f t="shared" ref="AS46" si="739">OR(I46, J46)</f>
        <v>0</v>
      </c>
      <c r="AT46" s="2" t="b">
        <f t="shared" ref="AT46" si="740">OR(I46, J46)</f>
        <v>0</v>
      </c>
      <c r="AW46" s="2" t="b">
        <f t="shared" ref="AW46" si="741">J46</f>
        <v>0</v>
      </c>
      <c r="AX46" s="2" t="b">
        <f t="shared" ref="AX46" si="742">J46</f>
        <v>0</v>
      </c>
      <c r="AY46" s="2" t="b">
        <f t="shared" ref="AY46" si="743">J46</f>
        <v>0</v>
      </c>
    </row>
    <row r="47" spans="2:54" ht="18" hidden="1" customHeight="1" x14ac:dyDescent="0.3">
      <c r="B47" s="416"/>
      <c r="C47" s="332"/>
      <c r="D47" s="332"/>
      <c r="E47" s="2" t="s">
        <v>235</v>
      </c>
      <c r="F47" s="2" t="str">
        <f>IF('One-Off Entries'!O16 &lt;&gt; "", LEFT('One-Off Entries'!O16, 1), "")</f>
        <v/>
      </c>
      <c r="G47" s="2" t="b">
        <f t="shared" si="0"/>
        <v>0</v>
      </c>
      <c r="H47" s="2" t="b">
        <f t="shared" si="720"/>
        <v>0</v>
      </c>
      <c r="I47" s="2" t="b">
        <f t="shared" si="721"/>
        <v>0</v>
      </c>
      <c r="J47" s="2" t="b">
        <f t="shared" si="722"/>
        <v>0</v>
      </c>
      <c r="K47" s="27" t="b">
        <f t="shared" si="723"/>
        <v>1</v>
      </c>
      <c r="L47" s="416"/>
      <c r="O47" s="1" t="s">
        <v>387</v>
      </c>
      <c r="P47" s="1" t="b">
        <f t="shared" ref="P47" si="744">OR(IF(D45 = 2, TRUE, FALSE), IF(D45 = 4, TRUE, FALSE))</f>
        <v>0</v>
      </c>
      <c r="Q47" s="1">
        <f t="shared" si="5"/>
        <v>0</v>
      </c>
      <c r="T47" s="2" t="b">
        <f t="shared" ref="T47" si="745">IF(D45 = 0, FALSE, IF(C45 = 1, CHOOSE(D45, W47, X47, Y47, Z47), IF(C45 = 2, CHOOSE(D45, AC47, AD47, AE47, AF47), IF(C45 = 3, CHOOSE(D45, AI47, AJ47, AK47), IF(C45 = 4, CHOOSE(D45, AN47, AO47), IF(C45 = 5, CHOOSE(D45, AR47, AS47, AT47), IF(C45 = 7, CHOOSE(D45, AW47, AX47, AY47), FALSE)))))))</f>
        <v>0</v>
      </c>
      <c r="W47" s="2" t="b">
        <f t="shared" si="726"/>
        <v>0</v>
      </c>
      <c r="X47" s="2" t="b">
        <f t="shared" ref="X47" si="746">OR(I47, J47)</f>
        <v>0</v>
      </c>
      <c r="Y47" s="2" t="b">
        <f t="shared" ref="Y47" si="747">AND(NOT(K46), NOT(J46))</f>
        <v>0</v>
      </c>
      <c r="Z47" s="2" t="b">
        <f t="shared" ref="Z47" si="748">J47</f>
        <v>0</v>
      </c>
      <c r="AC47" s="2" t="b">
        <f t="shared" ref="AC47" si="749">NOT(K47)</f>
        <v>0</v>
      </c>
      <c r="AD47" s="2" t="b">
        <f t="shared" ref="AD47" si="750">OR(I47, J47)</f>
        <v>0</v>
      </c>
      <c r="AE47" s="2" t="b">
        <f t="shared" ref="AE47" si="751">NOT(K47)</f>
        <v>0</v>
      </c>
      <c r="AF47" s="2" t="b">
        <f t="shared" ref="AF47" si="752">OR(I47, J47)</f>
        <v>0</v>
      </c>
      <c r="AI47" s="2" t="b">
        <f t="shared" ref="AI47" si="753">AND(OR(I47, J47), NOT(K47))</f>
        <v>0</v>
      </c>
      <c r="AJ47" s="2" t="b">
        <f t="shared" ref="AJ47" si="754">J47</f>
        <v>0</v>
      </c>
      <c r="AK47" s="2" t="b">
        <f t="shared" ref="AK47" si="755">J47</f>
        <v>0</v>
      </c>
      <c r="AN47" s="2" t="b">
        <f t="shared" ref="AN47:AN48" si="756">K47</f>
        <v>1</v>
      </c>
      <c r="AO47" s="2" t="b">
        <f t="shared" ref="AO47:AO48" si="757">K47</f>
        <v>1</v>
      </c>
      <c r="AR47" s="2" t="b">
        <f t="shared" si="714"/>
        <v>0</v>
      </c>
      <c r="AS47" s="2" t="b">
        <f t="shared" ref="AS47" si="758">J47</f>
        <v>0</v>
      </c>
      <c r="AT47" s="2" t="b">
        <f t="shared" ref="AT47" si="759">J47</f>
        <v>0</v>
      </c>
      <c r="AW47" s="2" t="b">
        <f t="shared" ref="AW47:AW48" si="760">K47</f>
        <v>1</v>
      </c>
      <c r="AX47" s="2" t="b">
        <f t="shared" ref="AX47:AX48" si="761">K47</f>
        <v>1</v>
      </c>
      <c r="AY47" s="2" t="b">
        <f t="shared" ref="AY47:AY48" si="762">K47</f>
        <v>1</v>
      </c>
    </row>
    <row r="48" spans="2:54" ht="18" customHeight="1" x14ac:dyDescent="0.3">
      <c r="B48" s="412"/>
      <c r="C48" s="332"/>
      <c r="D48" s="332"/>
      <c r="E48" s="2" t="s">
        <v>236</v>
      </c>
      <c r="F48" s="2" t="str">
        <f>IF('One-Off Entries'!P16 &lt;&gt; "", LEFT('One-Off Entries'!P16, 1), "")</f>
        <v/>
      </c>
      <c r="G48" s="2" t="b">
        <f t="shared" si="0"/>
        <v>0</v>
      </c>
      <c r="H48" s="2" t="b">
        <f t="shared" si="720"/>
        <v>0</v>
      </c>
      <c r="I48" s="2" t="b">
        <f t="shared" si="721"/>
        <v>0</v>
      </c>
      <c r="J48" s="2" t="b">
        <f t="shared" si="722"/>
        <v>0</v>
      </c>
      <c r="K48" s="27" t="b">
        <f t="shared" si="723"/>
        <v>1</v>
      </c>
      <c r="L48" s="412"/>
      <c r="O48" s="1" t="s">
        <v>388</v>
      </c>
      <c r="P48" s="1" t="b">
        <f t="shared" ref="P48" si="763">IF(SUM(Q45:Q48) &gt; 1, TRUE, FALSE)</f>
        <v>0</v>
      </c>
      <c r="Q48" s="1">
        <f t="shared" si="5"/>
        <v>0</v>
      </c>
      <c r="T48" s="2" t="b">
        <f>IF(D45 = 0, FALSE, IF(C45 = 1, CHOOSE(D45, W48, X48, Y48, Z48), IF(C45 = 2, IF(BB48 = "Rolex 24 at Daytona", CHOOSE(D45, AC48, AD48, AE48, AF48), K48), IF(C45 = 3, CHOOSE(D45, AI48, AJ48, AK48), IF(C45 = 4, CHOOSE(D45, AN48, AO48), IF(C45 = 5, CHOOSE(D45, AR48, AS48, AT48), IF(C45 = 7, CHOOSE(D45, AW48, AX48, AY48), FALSE)))))))</f>
        <v>0</v>
      </c>
      <c r="W48" s="2" t="b">
        <f t="shared" ref="W48" si="764">K48</f>
        <v>1</v>
      </c>
      <c r="X48" s="2" t="b">
        <f t="shared" ref="X48" si="765">K48</f>
        <v>1</v>
      </c>
      <c r="Y48" s="2" t="b">
        <f t="shared" ref="Y48" si="766">K48</f>
        <v>1</v>
      </c>
      <c r="Z48" s="2" t="b">
        <f t="shared" ref="Z48" si="767">K48</f>
        <v>1</v>
      </c>
      <c r="AC48" s="2" t="b">
        <v>1</v>
      </c>
      <c r="AD48" s="2" t="b">
        <f t="shared" ref="AD48" si="768">NOT(K48)</f>
        <v>0</v>
      </c>
      <c r="AE48" s="2" t="b">
        <v>1</v>
      </c>
      <c r="AF48" s="2" t="b">
        <f t="shared" ref="AF48" si="769">NOT(K48)</f>
        <v>0</v>
      </c>
      <c r="AI48" s="2" t="b">
        <f t="shared" ref="AI48" si="770">K48</f>
        <v>1</v>
      </c>
      <c r="AJ48" s="2" t="b">
        <f t="shared" ref="AJ48" si="771">K48</f>
        <v>1</v>
      </c>
      <c r="AK48" s="2" t="b">
        <f t="shared" ref="AK48" si="772">K48</f>
        <v>1</v>
      </c>
      <c r="AN48" s="2" t="b">
        <f t="shared" si="756"/>
        <v>1</v>
      </c>
      <c r="AO48" s="2" t="b">
        <f t="shared" si="757"/>
        <v>1</v>
      </c>
      <c r="AR48" s="2" t="b">
        <f t="shared" ref="AR48" si="773">K48</f>
        <v>1</v>
      </c>
      <c r="AS48" s="2" t="b">
        <f t="shared" ref="AS48" si="774">K48</f>
        <v>1</v>
      </c>
      <c r="AT48" s="2" t="b">
        <f t="shared" ref="AT48" si="775">K48</f>
        <v>1</v>
      </c>
      <c r="AW48" s="2" t="b">
        <f t="shared" si="760"/>
        <v>1</v>
      </c>
      <c r="AX48" s="2" t="b">
        <f t="shared" si="761"/>
        <v>1</v>
      </c>
      <c r="AY48" s="2" t="b">
        <f t="shared" si="762"/>
        <v>1</v>
      </c>
      <c r="BB48" s="1">
        <f>'One-Off Entries'!C16</f>
        <v>0</v>
      </c>
    </row>
    <row r="49" spans="2:54" ht="18" hidden="1" customHeight="1" x14ac:dyDescent="0.3">
      <c r="B49" s="415">
        <v>12</v>
      </c>
      <c r="C49" s="332">
        <f>'One-Off Entries'!AI17</f>
        <v>0</v>
      </c>
      <c r="D49" s="332">
        <f>'One-Off Entries'!AJ17</f>
        <v>0</v>
      </c>
      <c r="E49" s="2" t="s">
        <v>233</v>
      </c>
      <c r="F49" s="2" t="str">
        <f>IF('One-Off Entries'!M17 &lt;&gt; "", LEFT('One-Off Entries'!M17, 1), "")</f>
        <v/>
      </c>
      <c r="G49" s="2" t="b">
        <f>IF(F49 = "P", TRUE, FALSE)</f>
        <v>0</v>
      </c>
      <c r="H49" s="2" t="b">
        <f>IF(F49 = "G", TRUE, FALSE)</f>
        <v>0</v>
      </c>
      <c r="I49" s="2" t="b">
        <f>IF(F49 = "S", TRUE, FALSE)</f>
        <v>0</v>
      </c>
      <c r="J49" s="2" t="b">
        <f>IF(F49 = "B", TRUE, FALSE)</f>
        <v>0</v>
      </c>
      <c r="K49" s="27" t="b">
        <f>IF(AND(IF(G49 = FALSE, TRUE, FALSE), IF(H49 = FALSE, TRUE, FALSE), IF(I49 = FALSE, TRUE, FALSE), IF(J49 = FALSE, TRUE, FALSE)) = TRUE, TRUE, FALSE)</f>
        <v>1</v>
      </c>
      <c r="L49" s="415" t="str">
        <f>IF(P49, "", IF(AND(P50, P51), AND(T49, T50, T51, T52), AND(NOT(P52), T49, T50, T51, T52)))</f>
        <v/>
      </c>
      <c r="O49" s="1" t="s">
        <v>232</v>
      </c>
      <c r="P49" s="1" t="b">
        <f t="shared" ref="P49" si="776">AND(K49, K50, K51, K52)</f>
        <v>1</v>
      </c>
      <c r="Q49" s="1">
        <f t="shared" si="5"/>
        <v>0</v>
      </c>
      <c r="T49" s="2" t="b">
        <f t="shared" ref="T49" si="777">IF(D49 = 0, FALSE, IF(C49 = 1, CHOOSE(D49, W49, X49, Y49, Z49), IF(C49 = 2, CHOOSE(D49, AC49, AD49, AE49, AF49), IF(C49 = 3, CHOOSE(D49, AI49, AJ49, AK49), IF(C49 = 4, CHOOSE(D49, AN49, AO49), IF(C49 = 5, CHOOSE(D49, AR49, AS49, AT49), IF(C49 = 7, CHOOSE(D49, AW49, AX49, AY49), FALSE)))))))</f>
        <v>0</v>
      </c>
      <c r="W49" s="2" t="b">
        <f t="shared" ref="W49" si="778">AND(NOT(I49), NOT(K49), NOT(J49))</f>
        <v>0</v>
      </c>
      <c r="X49" s="2" t="b">
        <f t="shared" ref="X49" si="779">AND(NOT(I49), NOT(K49), NOT(J49))</f>
        <v>0</v>
      </c>
      <c r="Y49" s="2" t="b">
        <f t="shared" ref="Y49" si="780">AND(NOT(I49), NOT(K49), NOT(J49))</f>
        <v>0</v>
      </c>
      <c r="Z49" s="2" t="b">
        <f t="shared" ref="Z49" si="781">AND(NOT(I49), NOT(K49), NOT(J49))</f>
        <v>0</v>
      </c>
      <c r="AC49" s="2" t="b">
        <f t="shared" ref="AC49" si="782">AND(NOT(I49), NOT(K49), NOT(J49))</f>
        <v>0</v>
      </c>
      <c r="AD49" s="2" t="b">
        <f t="shared" ref="AD49" si="783">AND(NOT(G49), NOT(K49), NOT(J49))</f>
        <v>0</v>
      </c>
      <c r="AE49" s="2" t="b">
        <f t="shared" ref="AE49" si="784">AND(NOT(I49), NOT(K49), NOT(J49))</f>
        <v>0</v>
      </c>
      <c r="AF49" s="2" t="b">
        <f t="shared" ref="AF49" si="785">AND(NOT(I49), NOT(K49), NOT(J49))</f>
        <v>0</v>
      </c>
      <c r="AI49" s="2" t="b">
        <f t="shared" ref="AI49" si="786">AND(NOT(I49), NOT(K49), NOT(J49))</f>
        <v>0</v>
      </c>
      <c r="AJ49" s="2" t="b">
        <f t="shared" ref="AJ49" si="787">AND(NOT(J49), NOT(K49))</f>
        <v>0</v>
      </c>
      <c r="AK49" s="2" t="b">
        <f t="shared" ref="AK49" si="788">AND(NOT(I49), NOT(K49), NOT(J49))</f>
        <v>0</v>
      </c>
      <c r="AN49" s="2" t="b">
        <f t="shared" ref="AN49" si="789">AND(NOT(I49), NOT(K49), NOT(J49))</f>
        <v>0</v>
      </c>
      <c r="AO49" s="2" t="b">
        <f t="shared" ref="AO49" si="790">AND(NOT(G49), NOT(J49), NOT(K49))</f>
        <v>0</v>
      </c>
      <c r="AR49" s="2" t="b">
        <f t="shared" ref="AR49:AR51" si="791">AND(NOT(J49), NOT(K49))</f>
        <v>0</v>
      </c>
      <c r="AS49" s="2" t="b">
        <f t="shared" ref="AS49" si="792">AND(NOT(I49), NOT(K49), NOT(J49))</f>
        <v>0</v>
      </c>
      <c r="AT49" s="2" t="b">
        <f t="shared" ref="AT49" si="793">AND(NOT(G49), NOT(J49), NOT(K49))</f>
        <v>0</v>
      </c>
      <c r="AW49" s="2" t="b">
        <f t="shared" ref="AW49" si="794">AND(NOT(G49), NOT(J49), NOT(K49))</f>
        <v>0</v>
      </c>
      <c r="AX49" s="2" t="b">
        <f t="shared" ref="AX49" si="795">AND(NOT(J49), NOT(K49))</f>
        <v>0</v>
      </c>
      <c r="AY49" s="2" t="b">
        <f t="shared" ref="AY49" si="796">AND(NOT(G49), NOT(J49), NOT(K49))</f>
        <v>0</v>
      </c>
    </row>
    <row r="50" spans="2:54" ht="18" hidden="1" customHeight="1" x14ac:dyDescent="0.3">
      <c r="B50" s="416"/>
      <c r="C50" s="332"/>
      <c r="D50" s="332"/>
      <c r="E50" s="2" t="s">
        <v>234</v>
      </c>
      <c r="F50" s="2" t="str">
        <f>IF('One-Off Entries'!N17 &lt;&gt; "", LEFT('One-Off Entries'!N17, 1), "")</f>
        <v/>
      </c>
      <c r="G50" s="2" t="b">
        <f t="shared" si="0"/>
        <v>0</v>
      </c>
      <c r="H50" s="2" t="b">
        <f t="shared" ref="H50:H52" si="797">IF(F50 = "G", TRUE, FALSE)</f>
        <v>0</v>
      </c>
      <c r="I50" s="2" t="b">
        <f t="shared" ref="I50:I52" si="798">IF(F50 = "S", TRUE, FALSE)</f>
        <v>0</v>
      </c>
      <c r="J50" s="2" t="b">
        <f t="shared" ref="J50:J52" si="799">IF(F50 = "B", TRUE, FALSE)</f>
        <v>0</v>
      </c>
      <c r="K50" s="27" t="b">
        <f t="shared" ref="K50:K52" si="800">IF(AND(IF(G50 = FALSE, TRUE, FALSE), IF(H50 = FALSE, TRUE, FALSE), IF(I50 = FALSE, TRUE, FALSE), IF(J50 = FALSE, TRUE, FALSE)) = TRUE, TRUE, FALSE)</f>
        <v>1</v>
      </c>
      <c r="L50" s="416"/>
      <c r="O50" s="1" t="s">
        <v>386</v>
      </c>
      <c r="P50" s="1" t="b">
        <f t="shared" ref="P50" si="801">OR(IF(C49 = 2, TRUE, FALSE), IF(C49 = 2.2, TRUE, FALSE))</f>
        <v>0</v>
      </c>
      <c r="Q50" s="1">
        <f t="shared" si="5"/>
        <v>0</v>
      </c>
      <c r="T50" s="2" t="b">
        <f t="shared" ref="T50" si="802">IF(D49 = 0, FALSE, IF(C49 = 1, CHOOSE(D49, W50, X50, Y50, Z50), IF(C49 = 2, CHOOSE(D49, AC50, AD50, AE50, AF50), IF(C49 = 3, CHOOSE(D49, AI50, AJ50, AK50), IF(C49 = 4, CHOOSE(D49, AN50, AO50), IF(C49 = 5, CHOOSE(D49, AR50, AS50, AT50), IF(C49 = 7, CHOOSE(D49, AW50, AX50, AY50), FALSE)))))))</f>
        <v>0</v>
      </c>
      <c r="W50" s="2" t="b">
        <f t="shared" ref="W50:W51" si="803">AND(NOT(K50), NOT(J50))</f>
        <v>0</v>
      </c>
      <c r="X50" s="2" t="b">
        <f t="shared" ref="X50" si="804">NOT(K49)</f>
        <v>0</v>
      </c>
      <c r="Y50" s="2" t="b">
        <f t="shared" ref="Y50" si="805">AND(NOT(K50), NOT(J50))</f>
        <v>0</v>
      </c>
      <c r="Z50" s="2" t="b">
        <f t="shared" ref="Z50" si="806">OR(I50, J50)</f>
        <v>0</v>
      </c>
      <c r="AC50" s="2" t="b">
        <f t="shared" ref="AC50" si="807">AND(NOT(K50), NOT(J50))</f>
        <v>0</v>
      </c>
      <c r="AD50" s="2" t="b">
        <f t="shared" ref="AD50" si="808">J50</f>
        <v>0</v>
      </c>
      <c r="AE50" s="2" t="b">
        <f t="shared" ref="AE50" si="809">AND(NOT(K50), NOT(J50))</f>
        <v>0</v>
      </c>
      <c r="AF50" s="2" t="b">
        <f t="shared" ref="AF50" si="810">J50</f>
        <v>0</v>
      </c>
      <c r="AI50" s="2" t="b">
        <f t="shared" ref="AI50" si="811">AND(NOT(J50), NOT(K50))</f>
        <v>0</v>
      </c>
      <c r="AJ50" s="2" t="b">
        <f t="shared" ref="AJ50" si="812">OR(I50, J50)</f>
        <v>0</v>
      </c>
      <c r="AK50" s="2" t="b">
        <f t="shared" ref="AK50" si="813">OR(I50, J50)</f>
        <v>0</v>
      </c>
      <c r="AN50" s="2" t="b">
        <f t="shared" ref="AN50" si="814">OR(I50, J50)</f>
        <v>0</v>
      </c>
      <c r="AO50" s="2" t="b">
        <f t="shared" ref="AO50" si="815">J50</f>
        <v>0</v>
      </c>
      <c r="AR50" s="2" t="b">
        <f t="shared" si="791"/>
        <v>0</v>
      </c>
      <c r="AS50" s="2" t="b">
        <f t="shared" ref="AS50" si="816">OR(I50, J50)</f>
        <v>0</v>
      </c>
      <c r="AT50" s="2" t="b">
        <f t="shared" ref="AT50" si="817">OR(I50, J50)</f>
        <v>0</v>
      </c>
      <c r="AW50" s="2" t="b">
        <f t="shared" ref="AW50" si="818">J50</f>
        <v>0</v>
      </c>
      <c r="AX50" s="2" t="b">
        <f t="shared" ref="AX50" si="819">J50</f>
        <v>0</v>
      </c>
      <c r="AY50" s="2" t="b">
        <f t="shared" ref="AY50" si="820">J50</f>
        <v>0</v>
      </c>
    </row>
    <row r="51" spans="2:54" ht="18" hidden="1" customHeight="1" x14ac:dyDescent="0.3">
      <c r="B51" s="416"/>
      <c r="C51" s="332"/>
      <c r="D51" s="332"/>
      <c r="E51" s="2" t="s">
        <v>235</v>
      </c>
      <c r="F51" s="2" t="str">
        <f>IF('One-Off Entries'!O17 &lt;&gt; "", LEFT('One-Off Entries'!O17, 1), "")</f>
        <v/>
      </c>
      <c r="G51" s="2" t="b">
        <f t="shared" si="0"/>
        <v>0</v>
      </c>
      <c r="H51" s="2" t="b">
        <f t="shared" si="797"/>
        <v>0</v>
      </c>
      <c r="I51" s="2" t="b">
        <f t="shared" si="798"/>
        <v>0</v>
      </c>
      <c r="J51" s="2" t="b">
        <f t="shared" si="799"/>
        <v>0</v>
      </c>
      <c r="K51" s="27" t="b">
        <f t="shared" si="800"/>
        <v>1</v>
      </c>
      <c r="L51" s="416"/>
      <c r="O51" s="1" t="s">
        <v>387</v>
      </c>
      <c r="P51" s="1" t="b">
        <f t="shared" ref="P51" si="821">OR(IF(D49 = 2, TRUE, FALSE), IF(D49 = 4, TRUE, FALSE))</f>
        <v>0</v>
      </c>
      <c r="Q51" s="1">
        <f t="shared" si="5"/>
        <v>0</v>
      </c>
      <c r="T51" s="2" t="b">
        <f t="shared" ref="T51" si="822">IF(D49 = 0, FALSE, IF(C49 = 1, CHOOSE(D49, W51, X51, Y51, Z51), IF(C49 = 2, CHOOSE(D49, AC51, AD51, AE51, AF51), IF(C49 = 3, CHOOSE(D49, AI51, AJ51, AK51), IF(C49 = 4, CHOOSE(D49, AN51, AO51), IF(C49 = 5, CHOOSE(D49, AR51, AS51, AT51), IF(C49 = 7, CHOOSE(D49, AW51, AX51, AY51), FALSE)))))))</f>
        <v>0</v>
      </c>
      <c r="W51" s="2" t="b">
        <f t="shared" si="803"/>
        <v>0</v>
      </c>
      <c r="X51" s="2" t="b">
        <f t="shared" ref="X51" si="823">OR(I51, J51)</f>
        <v>0</v>
      </c>
      <c r="Y51" s="2" t="b">
        <f t="shared" ref="Y51" si="824">AND(NOT(K50), NOT(J50))</f>
        <v>0</v>
      </c>
      <c r="Z51" s="2" t="b">
        <f t="shared" ref="Z51" si="825">J51</f>
        <v>0</v>
      </c>
      <c r="AC51" s="2" t="b">
        <f t="shared" ref="AC51" si="826">NOT(K51)</f>
        <v>0</v>
      </c>
      <c r="AD51" s="2" t="b">
        <f t="shared" ref="AD51" si="827">OR(I51, J51)</f>
        <v>0</v>
      </c>
      <c r="AE51" s="2" t="b">
        <f t="shared" ref="AE51" si="828">NOT(K51)</f>
        <v>0</v>
      </c>
      <c r="AF51" s="2" t="b">
        <f t="shared" ref="AF51" si="829">OR(I51, J51)</f>
        <v>0</v>
      </c>
      <c r="AI51" s="2" t="b">
        <f t="shared" ref="AI51" si="830">AND(OR(I51, J51), NOT(K51))</f>
        <v>0</v>
      </c>
      <c r="AJ51" s="2" t="b">
        <f t="shared" ref="AJ51" si="831">J51</f>
        <v>0</v>
      </c>
      <c r="AK51" s="2" t="b">
        <f t="shared" ref="AK51" si="832">J51</f>
        <v>0</v>
      </c>
      <c r="AN51" s="2" t="b">
        <f t="shared" ref="AN51:AN52" si="833">K51</f>
        <v>1</v>
      </c>
      <c r="AO51" s="2" t="b">
        <f t="shared" ref="AO51:AO52" si="834">K51</f>
        <v>1</v>
      </c>
      <c r="AR51" s="2" t="b">
        <f t="shared" si="791"/>
        <v>0</v>
      </c>
      <c r="AS51" s="2" t="b">
        <f t="shared" ref="AS51" si="835">J51</f>
        <v>0</v>
      </c>
      <c r="AT51" s="2" t="b">
        <f t="shared" ref="AT51" si="836">J51</f>
        <v>0</v>
      </c>
      <c r="AW51" s="2" t="b">
        <f t="shared" ref="AW51:AW52" si="837">K51</f>
        <v>1</v>
      </c>
      <c r="AX51" s="2" t="b">
        <f t="shared" ref="AX51:AX52" si="838">K51</f>
        <v>1</v>
      </c>
      <c r="AY51" s="2" t="b">
        <f t="shared" ref="AY51:AY52" si="839">K51</f>
        <v>1</v>
      </c>
    </row>
    <row r="52" spans="2:54" ht="18" customHeight="1" x14ac:dyDescent="0.3">
      <c r="B52" s="412"/>
      <c r="C52" s="332"/>
      <c r="D52" s="332"/>
      <c r="E52" s="2" t="s">
        <v>236</v>
      </c>
      <c r="F52" s="2" t="str">
        <f>IF('One-Off Entries'!P17 &lt;&gt; "", LEFT('One-Off Entries'!P17, 1), "")</f>
        <v/>
      </c>
      <c r="G52" s="2" t="b">
        <f t="shared" si="0"/>
        <v>0</v>
      </c>
      <c r="H52" s="2" t="b">
        <f t="shared" si="797"/>
        <v>0</v>
      </c>
      <c r="I52" s="2" t="b">
        <f t="shared" si="798"/>
        <v>0</v>
      </c>
      <c r="J52" s="2" t="b">
        <f t="shared" si="799"/>
        <v>0</v>
      </c>
      <c r="K52" s="27" t="b">
        <f t="shared" si="800"/>
        <v>1</v>
      </c>
      <c r="L52" s="412"/>
      <c r="O52" s="1" t="s">
        <v>388</v>
      </c>
      <c r="P52" s="1" t="b">
        <f t="shared" ref="P52" si="840">IF(SUM(Q49:Q52) &gt; 1, TRUE, FALSE)</f>
        <v>0</v>
      </c>
      <c r="Q52" s="1">
        <f t="shared" si="5"/>
        <v>0</v>
      </c>
      <c r="T52" s="2" t="b">
        <f>IF(D49 = 0, FALSE, IF(C49 = 1, CHOOSE(D49, W52, X52, Y52, Z52), IF(C49 = 2, IF(BB52 = "Rolex 24 at Daytona", CHOOSE(D49, AC52, AD52, AE52, AF52), K52), IF(C49 = 3, CHOOSE(D49, AI52, AJ52, AK52), IF(C49 = 4, CHOOSE(D49, AN52, AO52), IF(C49 = 5, CHOOSE(D49, AR52, AS52, AT52), IF(C49 = 7, CHOOSE(D49, AW52, AX52, AY52), FALSE)))))))</f>
        <v>0</v>
      </c>
      <c r="W52" s="2" t="b">
        <f t="shared" ref="W52" si="841">K52</f>
        <v>1</v>
      </c>
      <c r="X52" s="2" t="b">
        <f t="shared" ref="X52" si="842">K52</f>
        <v>1</v>
      </c>
      <c r="Y52" s="2" t="b">
        <f t="shared" ref="Y52" si="843">K52</f>
        <v>1</v>
      </c>
      <c r="Z52" s="2" t="b">
        <f t="shared" ref="Z52" si="844">K52</f>
        <v>1</v>
      </c>
      <c r="AC52" s="2" t="b">
        <v>1</v>
      </c>
      <c r="AD52" s="2" t="b">
        <f t="shared" ref="AD52" si="845">NOT(K52)</f>
        <v>0</v>
      </c>
      <c r="AE52" s="2" t="b">
        <v>1</v>
      </c>
      <c r="AF52" s="2" t="b">
        <f t="shared" ref="AF52" si="846">NOT(K52)</f>
        <v>0</v>
      </c>
      <c r="AI52" s="2" t="b">
        <f t="shared" ref="AI52" si="847">K52</f>
        <v>1</v>
      </c>
      <c r="AJ52" s="2" t="b">
        <f t="shared" ref="AJ52" si="848">K52</f>
        <v>1</v>
      </c>
      <c r="AK52" s="2" t="b">
        <f t="shared" ref="AK52" si="849">K52</f>
        <v>1</v>
      </c>
      <c r="AN52" s="2" t="b">
        <f t="shared" si="833"/>
        <v>1</v>
      </c>
      <c r="AO52" s="2" t="b">
        <f t="shared" si="834"/>
        <v>1</v>
      </c>
      <c r="AR52" s="2" t="b">
        <f t="shared" ref="AR52" si="850">K52</f>
        <v>1</v>
      </c>
      <c r="AS52" s="2" t="b">
        <f t="shared" ref="AS52" si="851">K52</f>
        <v>1</v>
      </c>
      <c r="AT52" s="2" t="b">
        <f t="shared" ref="AT52" si="852">K52</f>
        <v>1</v>
      </c>
      <c r="AW52" s="2" t="b">
        <f t="shared" si="837"/>
        <v>1</v>
      </c>
      <c r="AX52" s="2" t="b">
        <f t="shared" si="838"/>
        <v>1</v>
      </c>
      <c r="AY52" s="2" t="b">
        <f t="shared" si="839"/>
        <v>1</v>
      </c>
      <c r="BB52" s="1">
        <f>'One-Off Entries'!C17</f>
        <v>0</v>
      </c>
    </row>
    <row r="53" spans="2:54" ht="18" hidden="1" customHeight="1" x14ac:dyDescent="0.3">
      <c r="B53" s="415">
        <v>13</v>
      </c>
      <c r="C53" s="332">
        <f>'One-Off Entries'!AI18</f>
        <v>0</v>
      </c>
      <c r="D53" s="332">
        <f>'One-Off Entries'!AJ18</f>
        <v>0</v>
      </c>
      <c r="E53" s="2" t="s">
        <v>233</v>
      </c>
      <c r="F53" s="2" t="str">
        <f>IF('One-Off Entries'!M18 &lt;&gt; "", LEFT('One-Off Entries'!M18, 1), "")</f>
        <v/>
      </c>
      <c r="G53" s="2" t="b">
        <f>IF(F53 = "P", TRUE, FALSE)</f>
        <v>0</v>
      </c>
      <c r="H53" s="2" t="b">
        <f>IF(F53 = "G", TRUE, FALSE)</f>
        <v>0</v>
      </c>
      <c r="I53" s="2" t="b">
        <f>IF(F53 = "S", TRUE, FALSE)</f>
        <v>0</v>
      </c>
      <c r="J53" s="2" t="b">
        <f>IF(F53 = "B", TRUE, FALSE)</f>
        <v>0</v>
      </c>
      <c r="K53" s="27" t="b">
        <f>IF(AND(IF(G53 = FALSE, TRUE, FALSE), IF(H53 = FALSE, TRUE, FALSE), IF(I53 = FALSE, TRUE, FALSE), IF(J53 = FALSE, TRUE, FALSE)) = TRUE, TRUE, FALSE)</f>
        <v>1</v>
      </c>
      <c r="L53" s="415" t="str">
        <f>IF(P53, "", IF(AND(P54, P55), AND(T53, T54, T55, T56), AND(NOT(P56), T53, T54, T55, T56)))</f>
        <v/>
      </c>
      <c r="O53" s="1" t="s">
        <v>232</v>
      </c>
      <c r="P53" s="1" t="b">
        <f t="shared" ref="P53" si="853">AND(K53, K54, K55, K56)</f>
        <v>1</v>
      </c>
      <c r="Q53" s="1">
        <f t="shared" si="5"/>
        <v>0</v>
      </c>
      <c r="T53" s="2" t="b">
        <f t="shared" ref="T53" si="854">IF(D53 = 0, FALSE, IF(C53 = 1, CHOOSE(D53, W53, X53, Y53, Z53), IF(C53 = 2, CHOOSE(D53, AC53, AD53, AE53, AF53), IF(C53 = 3, CHOOSE(D53, AI53, AJ53, AK53), IF(C53 = 4, CHOOSE(D53, AN53, AO53), IF(C53 = 5, CHOOSE(D53, AR53, AS53, AT53), IF(C53 = 7, CHOOSE(D53, AW53, AX53, AY53), FALSE)))))))</f>
        <v>0</v>
      </c>
      <c r="W53" s="2" t="b">
        <f t="shared" ref="W53" si="855">AND(NOT(I53), NOT(K53), NOT(J53))</f>
        <v>0</v>
      </c>
      <c r="X53" s="2" t="b">
        <f t="shared" ref="X53" si="856">AND(NOT(I53), NOT(K53), NOT(J53))</f>
        <v>0</v>
      </c>
      <c r="Y53" s="2" t="b">
        <f t="shared" ref="Y53" si="857">AND(NOT(I53), NOT(K53), NOT(J53))</f>
        <v>0</v>
      </c>
      <c r="Z53" s="2" t="b">
        <f t="shared" ref="Z53" si="858">AND(NOT(I53), NOT(K53), NOT(J53))</f>
        <v>0</v>
      </c>
      <c r="AC53" s="2" t="b">
        <f t="shared" ref="AC53" si="859">AND(NOT(I53), NOT(K53), NOT(J53))</f>
        <v>0</v>
      </c>
      <c r="AD53" s="2" t="b">
        <f t="shared" ref="AD53" si="860">AND(NOT(G53), NOT(K53), NOT(J53))</f>
        <v>0</v>
      </c>
      <c r="AE53" s="2" t="b">
        <f t="shared" ref="AE53" si="861">AND(NOT(I53), NOT(K53), NOT(J53))</f>
        <v>0</v>
      </c>
      <c r="AF53" s="2" t="b">
        <f t="shared" ref="AF53" si="862">AND(NOT(I53), NOT(K53), NOT(J53))</f>
        <v>0</v>
      </c>
      <c r="AI53" s="2" t="b">
        <f t="shared" ref="AI53" si="863">AND(NOT(I53), NOT(K53), NOT(J53))</f>
        <v>0</v>
      </c>
      <c r="AJ53" s="2" t="b">
        <f t="shared" ref="AJ53" si="864">AND(NOT(J53), NOT(K53))</f>
        <v>0</v>
      </c>
      <c r="AK53" s="2" t="b">
        <f t="shared" ref="AK53" si="865">AND(NOT(I53), NOT(K53), NOT(J53))</f>
        <v>0</v>
      </c>
      <c r="AN53" s="2" t="b">
        <f t="shared" ref="AN53" si="866">AND(NOT(I53), NOT(K53), NOT(J53))</f>
        <v>0</v>
      </c>
      <c r="AO53" s="2" t="b">
        <f t="shared" ref="AO53" si="867">AND(NOT(G53), NOT(J53), NOT(K53))</f>
        <v>0</v>
      </c>
      <c r="AR53" s="2" t="b">
        <f t="shared" ref="AR53:AR55" si="868">AND(NOT(J53), NOT(K53))</f>
        <v>0</v>
      </c>
      <c r="AS53" s="2" t="b">
        <f t="shared" ref="AS53" si="869">AND(NOT(I53), NOT(K53), NOT(J53))</f>
        <v>0</v>
      </c>
      <c r="AT53" s="2" t="b">
        <f t="shared" ref="AT53" si="870">AND(NOT(G53), NOT(J53), NOT(K53))</f>
        <v>0</v>
      </c>
      <c r="AW53" s="2" t="b">
        <f t="shared" ref="AW53" si="871">AND(NOT(G53), NOT(J53), NOT(K53))</f>
        <v>0</v>
      </c>
      <c r="AX53" s="2" t="b">
        <f t="shared" ref="AX53" si="872">AND(NOT(J53), NOT(K53))</f>
        <v>0</v>
      </c>
      <c r="AY53" s="2" t="b">
        <f t="shared" ref="AY53" si="873">AND(NOT(G53), NOT(J53), NOT(K53))</f>
        <v>0</v>
      </c>
    </row>
    <row r="54" spans="2:54" ht="18" hidden="1" customHeight="1" x14ac:dyDescent="0.3">
      <c r="B54" s="416"/>
      <c r="C54" s="332"/>
      <c r="D54" s="332"/>
      <c r="E54" s="2" t="s">
        <v>234</v>
      </c>
      <c r="F54" s="2" t="str">
        <f>IF('One-Off Entries'!N18 &lt;&gt; "", LEFT('One-Off Entries'!N18, 1), "")</f>
        <v/>
      </c>
      <c r="G54" s="2" t="b">
        <f t="shared" si="0"/>
        <v>0</v>
      </c>
      <c r="H54" s="2" t="b">
        <f t="shared" ref="H54:H56" si="874">IF(F54 = "G", TRUE, FALSE)</f>
        <v>0</v>
      </c>
      <c r="I54" s="2" t="b">
        <f t="shared" ref="I54:I56" si="875">IF(F54 = "S", TRUE, FALSE)</f>
        <v>0</v>
      </c>
      <c r="J54" s="2" t="b">
        <f t="shared" ref="J54:J56" si="876">IF(F54 = "B", TRUE, FALSE)</f>
        <v>0</v>
      </c>
      <c r="K54" s="27" t="b">
        <f t="shared" ref="K54:K56" si="877">IF(AND(IF(G54 = FALSE, TRUE, FALSE), IF(H54 = FALSE, TRUE, FALSE), IF(I54 = FALSE, TRUE, FALSE), IF(J54 = FALSE, TRUE, FALSE)) = TRUE, TRUE, FALSE)</f>
        <v>1</v>
      </c>
      <c r="L54" s="416"/>
      <c r="O54" s="1" t="s">
        <v>386</v>
      </c>
      <c r="P54" s="1" t="b">
        <f t="shared" ref="P54" si="878">OR(IF(C53 = 2, TRUE, FALSE), IF(C53 = 2.2, TRUE, FALSE))</f>
        <v>0</v>
      </c>
      <c r="Q54" s="1">
        <f t="shared" si="5"/>
        <v>0</v>
      </c>
      <c r="T54" s="2" t="b">
        <f t="shared" ref="T54" si="879">IF(D53 = 0, FALSE, IF(C53 = 1, CHOOSE(D53, W54, X54, Y54, Z54), IF(C53 = 2, CHOOSE(D53, AC54, AD54, AE54, AF54), IF(C53 = 3, CHOOSE(D53, AI54, AJ54, AK54), IF(C53 = 4, CHOOSE(D53, AN54, AO54), IF(C53 = 5, CHOOSE(D53, AR54, AS54, AT54), IF(C53 = 7, CHOOSE(D53, AW54, AX54, AY54), FALSE)))))))</f>
        <v>0</v>
      </c>
      <c r="W54" s="2" t="b">
        <f t="shared" ref="W54:W55" si="880">AND(NOT(K54), NOT(J54))</f>
        <v>0</v>
      </c>
      <c r="X54" s="2" t="b">
        <f t="shared" ref="X54" si="881">NOT(K53)</f>
        <v>0</v>
      </c>
      <c r="Y54" s="2" t="b">
        <f t="shared" ref="Y54" si="882">AND(NOT(K54), NOT(J54))</f>
        <v>0</v>
      </c>
      <c r="Z54" s="2" t="b">
        <f t="shared" ref="Z54" si="883">OR(I54, J54)</f>
        <v>0</v>
      </c>
      <c r="AC54" s="2" t="b">
        <f t="shared" ref="AC54" si="884">AND(NOT(K54), NOT(J54))</f>
        <v>0</v>
      </c>
      <c r="AD54" s="2" t="b">
        <f t="shared" ref="AD54" si="885">J54</f>
        <v>0</v>
      </c>
      <c r="AE54" s="2" t="b">
        <f t="shared" ref="AE54" si="886">AND(NOT(K54), NOT(J54))</f>
        <v>0</v>
      </c>
      <c r="AF54" s="2" t="b">
        <f t="shared" ref="AF54" si="887">J54</f>
        <v>0</v>
      </c>
      <c r="AI54" s="2" t="b">
        <f t="shared" ref="AI54" si="888">AND(NOT(J54), NOT(K54))</f>
        <v>0</v>
      </c>
      <c r="AJ54" s="2" t="b">
        <f t="shared" ref="AJ54" si="889">OR(I54, J54)</f>
        <v>0</v>
      </c>
      <c r="AK54" s="2" t="b">
        <f t="shared" ref="AK54" si="890">OR(I54, J54)</f>
        <v>0</v>
      </c>
      <c r="AN54" s="2" t="b">
        <f t="shared" ref="AN54" si="891">OR(I54, J54)</f>
        <v>0</v>
      </c>
      <c r="AO54" s="2" t="b">
        <f t="shared" ref="AO54" si="892">J54</f>
        <v>0</v>
      </c>
      <c r="AR54" s="2" t="b">
        <f t="shared" si="868"/>
        <v>0</v>
      </c>
      <c r="AS54" s="2" t="b">
        <f t="shared" ref="AS54" si="893">OR(I54, J54)</f>
        <v>0</v>
      </c>
      <c r="AT54" s="2" t="b">
        <f t="shared" ref="AT54" si="894">OR(I54, J54)</f>
        <v>0</v>
      </c>
      <c r="AW54" s="2" t="b">
        <f t="shared" ref="AW54" si="895">J54</f>
        <v>0</v>
      </c>
      <c r="AX54" s="2" t="b">
        <f t="shared" ref="AX54" si="896">J54</f>
        <v>0</v>
      </c>
      <c r="AY54" s="2" t="b">
        <f t="shared" ref="AY54" si="897">J54</f>
        <v>0</v>
      </c>
    </row>
    <row r="55" spans="2:54" ht="18" hidden="1" customHeight="1" x14ac:dyDescent="0.3">
      <c r="B55" s="416"/>
      <c r="C55" s="332"/>
      <c r="D55" s="332"/>
      <c r="E55" s="2" t="s">
        <v>235</v>
      </c>
      <c r="F55" s="2" t="str">
        <f>IF('One-Off Entries'!O18 &lt;&gt; "", LEFT('One-Off Entries'!O18, 1), "")</f>
        <v/>
      </c>
      <c r="G55" s="2" t="b">
        <f t="shared" si="0"/>
        <v>0</v>
      </c>
      <c r="H55" s="2" t="b">
        <f t="shared" si="874"/>
        <v>0</v>
      </c>
      <c r="I55" s="2" t="b">
        <f t="shared" si="875"/>
        <v>0</v>
      </c>
      <c r="J55" s="2" t="b">
        <f t="shared" si="876"/>
        <v>0</v>
      </c>
      <c r="K55" s="27" t="b">
        <f t="shared" si="877"/>
        <v>1</v>
      </c>
      <c r="L55" s="416"/>
      <c r="O55" s="1" t="s">
        <v>387</v>
      </c>
      <c r="P55" s="1" t="b">
        <f t="shared" ref="P55" si="898">OR(IF(D53 = 2, TRUE, FALSE), IF(D53 = 4, TRUE, FALSE))</f>
        <v>0</v>
      </c>
      <c r="Q55" s="1">
        <f t="shared" si="5"/>
        <v>0</v>
      </c>
      <c r="T55" s="2" t="b">
        <f t="shared" ref="T55" si="899">IF(D53 = 0, FALSE, IF(C53 = 1, CHOOSE(D53, W55, X55, Y55, Z55), IF(C53 = 2, CHOOSE(D53, AC55, AD55, AE55, AF55), IF(C53 = 3, CHOOSE(D53, AI55, AJ55, AK55), IF(C53 = 4, CHOOSE(D53, AN55, AO55), IF(C53 = 5, CHOOSE(D53, AR55, AS55, AT55), IF(C53 = 7, CHOOSE(D53, AW55, AX55, AY55), FALSE)))))))</f>
        <v>0</v>
      </c>
      <c r="W55" s="2" t="b">
        <f t="shared" si="880"/>
        <v>0</v>
      </c>
      <c r="X55" s="2" t="b">
        <f t="shared" ref="X55" si="900">OR(I55, J55)</f>
        <v>0</v>
      </c>
      <c r="Y55" s="2" t="b">
        <f t="shared" ref="Y55" si="901">AND(NOT(K54), NOT(J54))</f>
        <v>0</v>
      </c>
      <c r="Z55" s="2" t="b">
        <f t="shared" ref="Z55" si="902">J55</f>
        <v>0</v>
      </c>
      <c r="AC55" s="2" t="b">
        <f t="shared" ref="AC55" si="903">NOT(K55)</f>
        <v>0</v>
      </c>
      <c r="AD55" s="2" t="b">
        <f t="shared" ref="AD55" si="904">OR(I55, J55)</f>
        <v>0</v>
      </c>
      <c r="AE55" s="2" t="b">
        <f t="shared" ref="AE55" si="905">NOT(K55)</f>
        <v>0</v>
      </c>
      <c r="AF55" s="2" t="b">
        <f t="shared" ref="AF55" si="906">OR(I55, J55)</f>
        <v>0</v>
      </c>
      <c r="AI55" s="2" t="b">
        <f t="shared" ref="AI55" si="907">AND(OR(I55, J55), NOT(K55))</f>
        <v>0</v>
      </c>
      <c r="AJ55" s="2" t="b">
        <f t="shared" ref="AJ55" si="908">J55</f>
        <v>0</v>
      </c>
      <c r="AK55" s="2" t="b">
        <f t="shared" ref="AK55" si="909">J55</f>
        <v>0</v>
      </c>
      <c r="AN55" s="2" t="b">
        <f t="shared" ref="AN55:AN56" si="910">K55</f>
        <v>1</v>
      </c>
      <c r="AO55" s="2" t="b">
        <f t="shared" ref="AO55:AO56" si="911">K55</f>
        <v>1</v>
      </c>
      <c r="AR55" s="2" t="b">
        <f t="shared" si="868"/>
        <v>0</v>
      </c>
      <c r="AS55" s="2" t="b">
        <f t="shared" ref="AS55" si="912">J55</f>
        <v>0</v>
      </c>
      <c r="AT55" s="2" t="b">
        <f t="shared" ref="AT55" si="913">J55</f>
        <v>0</v>
      </c>
      <c r="AW55" s="2" t="b">
        <f t="shared" ref="AW55:AW56" si="914">K55</f>
        <v>1</v>
      </c>
      <c r="AX55" s="2" t="b">
        <f t="shared" ref="AX55:AX56" si="915">K55</f>
        <v>1</v>
      </c>
      <c r="AY55" s="2" t="b">
        <f t="shared" ref="AY55:AY56" si="916">K55</f>
        <v>1</v>
      </c>
    </row>
    <row r="56" spans="2:54" ht="18" customHeight="1" x14ac:dyDescent="0.3">
      <c r="B56" s="412"/>
      <c r="C56" s="332"/>
      <c r="D56" s="332"/>
      <c r="E56" s="2" t="s">
        <v>236</v>
      </c>
      <c r="F56" s="2" t="str">
        <f>IF('One-Off Entries'!P18 &lt;&gt; "", LEFT('One-Off Entries'!P18, 1), "")</f>
        <v/>
      </c>
      <c r="G56" s="2" t="b">
        <f t="shared" si="0"/>
        <v>0</v>
      </c>
      <c r="H56" s="2" t="b">
        <f t="shared" si="874"/>
        <v>0</v>
      </c>
      <c r="I56" s="2" t="b">
        <f t="shared" si="875"/>
        <v>0</v>
      </c>
      <c r="J56" s="2" t="b">
        <f t="shared" si="876"/>
        <v>0</v>
      </c>
      <c r="K56" s="27" t="b">
        <f t="shared" si="877"/>
        <v>1</v>
      </c>
      <c r="L56" s="412"/>
      <c r="O56" s="1" t="s">
        <v>388</v>
      </c>
      <c r="P56" s="1" t="b">
        <f t="shared" ref="P56" si="917">IF(SUM(Q53:Q56) &gt; 1, TRUE, FALSE)</f>
        <v>0</v>
      </c>
      <c r="Q56" s="1">
        <f t="shared" si="5"/>
        <v>0</v>
      </c>
      <c r="T56" s="2" t="b">
        <f>IF(D53 = 0, FALSE, IF(C53 = 1, CHOOSE(D53, W56, X56, Y56, Z56), IF(C53 = 2, IF(BB56 = "Rolex 24 at Daytona", CHOOSE(D53, AC56, AD56, AE56, AF56), K56), IF(C53 = 3, CHOOSE(D53, AI56, AJ56, AK56), IF(C53 = 4, CHOOSE(D53, AN56, AO56), IF(C53 = 5, CHOOSE(D53, AR56, AS56, AT56), IF(C53 = 7, CHOOSE(D53, AW56, AX56, AY56), FALSE)))))))</f>
        <v>0</v>
      </c>
      <c r="W56" s="2" t="b">
        <f t="shared" ref="W56" si="918">K56</f>
        <v>1</v>
      </c>
      <c r="X56" s="2" t="b">
        <f t="shared" ref="X56" si="919">K56</f>
        <v>1</v>
      </c>
      <c r="Y56" s="2" t="b">
        <f t="shared" ref="Y56" si="920">K56</f>
        <v>1</v>
      </c>
      <c r="Z56" s="2" t="b">
        <f t="shared" ref="Z56" si="921">K56</f>
        <v>1</v>
      </c>
      <c r="AC56" s="2" t="b">
        <v>1</v>
      </c>
      <c r="AD56" s="2" t="b">
        <f t="shared" ref="AD56" si="922">NOT(K56)</f>
        <v>0</v>
      </c>
      <c r="AE56" s="2" t="b">
        <v>1</v>
      </c>
      <c r="AF56" s="2" t="b">
        <f t="shared" ref="AF56" si="923">NOT(K56)</f>
        <v>0</v>
      </c>
      <c r="AI56" s="2" t="b">
        <f t="shared" ref="AI56" si="924">K56</f>
        <v>1</v>
      </c>
      <c r="AJ56" s="2" t="b">
        <f t="shared" ref="AJ56" si="925">K56</f>
        <v>1</v>
      </c>
      <c r="AK56" s="2" t="b">
        <f t="shared" ref="AK56" si="926">K56</f>
        <v>1</v>
      </c>
      <c r="AN56" s="2" t="b">
        <f t="shared" si="910"/>
        <v>1</v>
      </c>
      <c r="AO56" s="2" t="b">
        <f t="shared" si="911"/>
        <v>1</v>
      </c>
      <c r="AR56" s="2" t="b">
        <f t="shared" ref="AR56" si="927">K56</f>
        <v>1</v>
      </c>
      <c r="AS56" s="2" t="b">
        <f t="shared" ref="AS56" si="928">K56</f>
        <v>1</v>
      </c>
      <c r="AT56" s="2" t="b">
        <f t="shared" ref="AT56" si="929">K56</f>
        <v>1</v>
      </c>
      <c r="AW56" s="2" t="b">
        <f t="shared" si="914"/>
        <v>1</v>
      </c>
      <c r="AX56" s="2" t="b">
        <f t="shared" si="915"/>
        <v>1</v>
      </c>
      <c r="AY56" s="2" t="b">
        <f t="shared" si="916"/>
        <v>1</v>
      </c>
      <c r="BB56" s="1">
        <f>'One-Off Entries'!C18</f>
        <v>0</v>
      </c>
    </row>
    <row r="57" spans="2:54" ht="18" hidden="1" customHeight="1" x14ac:dyDescent="0.3">
      <c r="B57" s="415">
        <v>14</v>
      </c>
      <c r="C57" s="332">
        <f>'One-Off Entries'!AI19</f>
        <v>0</v>
      </c>
      <c r="D57" s="332">
        <f>'One-Off Entries'!AJ19</f>
        <v>0</v>
      </c>
      <c r="E57" s="2" t="s">
        <v>233</v>
      </c>
      <c r="F57" s="2" t="str">
        <f>IF('One-Off Entries'!M19 &lt;&gt; "", LEFT('One-Off Entries'!M19, 1), "")</f>
        <v/>
      </c>
      <c r="G57" s="2" t="b">
        <f>IF(F57 = "P", TRUE, FALSE)</f>
        <v>0</v>
      </c>
      <c r="H57" s="2" t="b">
        <f>IF(F57 = "G", TRUE, FALSE)</f>
        <v>0</v>
      </c>
      <c r="I57" s="2" t="b">
        <f>IF(F57 = "S", TRUE, FALSE)</f>
        <v>0</v>
      </c>
      <c r="J57" s="2" t="b">
        <f>IF(F57 = "B", TRUE, FALSE)</f>
        <v>0</v>
      </c>
      <c r="K57" s="27" t="b">
        <f>IF(AND(IF(G57 = FALSE, TRUE, FALSE), IF(H57 = FALSE, TRUE, FALSE), IF(I57 = FALSE, TRUE, FALSE), IF(J57 = FALSE, TRUE, FALSE)) = TRUE, TRUE, FALSE)</f>
        <v>1</v>
      </c>
      <c r="L57" s="415" t="str">
        <f>IF(P57, "", IF(AND(P58, P59), AND(T57, T58, T59, T60), AND(NOT(P60), T57, T58, T59, T60)))</f>
        <v/>
      </c>
      <c r="O57" s="1" t="s">
        <v>232</v>
      </c>
      <c r="P57" s="1" t="b">
        <f t="shared" ref="P57" si="930">AND(K57, K58, K59, K60)</f>
        <v>1</v>
      </c>
      <c r="Q57" s="1">
        <f t="shared" si="5"/>
        <v>0</v>
      </c>
      <c r="T57" s="2" t="b">
        <f t="shared" ref="T57" si="931">IF(D57 = 0, FALSE, IF(C57 = 1, CHOOSE(D57, W57, X57, Y57, Z57), IF(C57 = 2, CHOOSE(D57, AC57, AD57, AE57, AF57), IF(C57 = 3, CHOOSE(D57, AI57, AJ57, AK57), IF(C57 = 4, CHOOSE(D57, AN57, AO57), IF(C57 = 5, CHOOSE(D57, AR57, AS57, AT57), IF(C57 = 7, CHOOSE(D57, AW57, AX57, AY57), FALSE)))))))</f>
        <v>0</v>
      </c>
      <c r="W57" s="2" t="b">
        <f t="shared" ref="W57" si="932">AND(NOT(I57), NOT(K57), NOT(J57))</f>
        <v>0</v>
      </c>
      <c r="X57" s="2" t="b">
        <f t="shared" ref="X57" si="933">AND(NOT(I57), NOT(K57), NOT(J57))</f>
        <v>0</v>
      </c>
      <c r="Y57" s="2" t="b">
        <f t="shared" ref="Y57" si="934">AND(NOT(I57), NOT(K57), NOT(J57))</f>
        <v>0</v>
      </c>
      <c r="Z57" s="2" t="b">
        <f t="shared" ref="Z57" si="935">AND(NOT(I57), NOT(K57), NOT(J57))</f>
        <v>0</v>
      </c>
      <c r="AC57" s="2" t="b">
        <f t="shared" ref="AC57" si="936">AND(NOT(I57), NOT(K57), NOT(J57))</f>
        <v>0</v>
      </c>
      <c r="AD57" s="2" t="b">
        <f t="shared" ref="AD57" si="937">AND(NOT(G57), NOT(K57), NOT(J57))</f>
        <v>0</v>
      </c>
      <c r="AE57" s="2" t="b">
        <f t="shared" ref="AE57" si="938">AND(NOT(I57), NOT(K57), NOT(J57))</f>
        <v>0</v>
      </c>
      <c r="AF57" s="2" t="b">
        <f t="shared" ref="AF57" si="939">AND(NOT(I57), NOT(K57), NOT(J57))</f>
        <v>0</v>
      </c>
      <c r="AI57" s="2" t="b">
        <f t="shared" ref="AI57" si="940">AND(NOT(I57), NOT(K57), NOT(J57))</f>
        <v>0</v>
      </c>
      <c r="AJ57" s="2" t="b">
        <f t="shared" ref="AJ57" si="941">AND(NOT(J57), NOT(K57))</f>
        <v>0</v>
      </c>
      <c r="AK57" s="2" t="b">
        <f t="shared" ref="AK57" si="942">AND(NOT(I57), NOT(K57), NOT(J57))</f>
        <v>0</v>
      </c>
      <c r="AN57" s="2" t="b">
        <f t="shared" ref="AN57" si="943">AND(NOT(I57), NOT(K57), NOT(J57))</f>
        <v>0</v>
      </c>
      <c r="AO57" s="2" t="b">
        <f t="shared" ref="AO57" si="944">AND(NOT(G57), NOT(J57), NOT(K57))</f>
        <v>0</v>
      </c>
      <c r="AR57" s="2" t="b">
        <f t="shared" ref="AR57:AR59" si="945">AND(NOT(J57), NOT(K57))</f>
        <v>0</v>
      </c>
      <c r="AS57" s="2" t="b">
        <f t="shared" ref="AS57" si="946">AND(NOT(I57), NOT(K57), NOT(J57))</f>
        <v>0</v>
      </c>
      <c r="AT57" s="2" t="b">
        <f t="shared" ref="AT57" si="947">AND(NOT(G57), NOT(J57), NOT(K57))</f>
        <v>0</v>
      </c>
      <c r="AW57" s="2" t="b">
        <f t="shared" ref="AW57" si="948">AND(NOT(G57), NOT(J57), NOT(K57))</f>
        <v>0</v>
      </c>
      <c r="AX57" s="2" t="b">
        <f t="shared" ref="AX57" si="949">AND(NOT(J57), NOT(K57))</f>
        <v>0</v>
      </c>
      <c r="AY57" s="2" t="b">
        <f t="shared" ref="AY57" si="950">AND(NOT(G57), NOT(J57), NOT(K57))</f>
        <v>0</v>
      </c>
    </row>
    <row r="58" spans="2:54" ht="18" hidden="1" customHeight="1" x14ac:dyDescent="0.3">
      <c r="B58" s="416"/>
      <c r="C58" s="332"/>
      <c r="D58" s="332"/>
      <c r="E58" s="2" t="s">
        <v>234</v>
      </c>
      <c r="F58" s="2" t="str">
        <f>IF('One-Off Entries'!N19 &lt;&gt; "", LEFT('One-Off Entries'!N19, 1), "")</f>
        <v/>
      </c>
      <c r="G58" s="2" t="b">
        <f t="shared" si="0"/>
        <v>0</v>
      </c>
      <c r="H58" s="2" t="b">
        <f t="shared" ref="H58:H60" si="951">IF(F58 = "G", TRUE, FALSE)</f>
        <v>0</v>
      </c>
      <c r="I58" s="2" t="b">
        <f t="shared" ref="I58:I60" si="952">IF(F58 = "S", TRUE, FALSE)</f>
        <v>0</v>
      </c>
      <c r="J58" s="2" t="b">
        <f t="shared" ref="J58:J60" si="953">IF(F58 = "B", TRUE, FALSE)</f>
        <v>0</v>
      </c>
      <c r="K58" s="27" t="b">
        <f t="shared" ref="K58:K60" si="954">IF(AND(IF(G58 = FALSE, TRUE, FALSE), IF(H58 = FALSE, TRUE, FALSE), IF(I58 = FALSE, TRUE, FALSE), IF(J58 = FALSE, TRUE, FALSE)) = TRUE, TRUE, FALSE)</f>
        <v>1</v>
      </c>
      <c r="L58" s="416"/>
      <c r="O58" s="1" t="s">
        <v>386</v>
      </c>
      <c r="P58" s="1" t="b">
        <f t="shared" ref="P58" si="955">OR(IF(C57 = 2, TRUE, FALSE), IF(C57 = 2.2, TRUE, FALSE))</f>
        <v>0</v>
      </c>
      <c r="Q58" s="1">
        <f t="shared" si="5"/>
        <v>0</v>
      </c>
      <c r="T58" s="2" t="b">
        <f t="shared" ref="T58" si="956">IF(D57 = 0, FALSE, IF(C57 = 1, CHOOSE(D57, W58, X58, Y58, Z58), IF(C57 = 2, CHOOSE(D57, AC58, AD58, AE58, AF58), IF(C57 = 3, CHOOSE(D57, AI58, AJ58, AK58), IF(C57 = 4, CHOOSE(D57, AN58, AO58), IF(C57 = 5, CHOOSE(D57, AR58, AS58, AT58), IF(C57 = 7, CHOOSE(D57, AW58, AX58, AY58), FALSE)))))))</f>
        <v>0</v>
      </c>
      <c r="W58" s="2" t="b">
        <f t="shared" ref="W58:W59" si="957">AND(NOT(K58), NOT(J58))</f>
        <v>0</v>
      </c>
      <c r="X58" s="2" t="b">
        <f t="shared" ref="X58" si="958">NOT(K57)</f>
        <v>0</v>
      </c>
      <c r="Y58" s="2" t="b">
        <f t="shared" ref="Y58" si="959">AND(NOT(K58), NOT(J58))</f>
        <v>0</v>
      </c>
      <c r="Z58" s="2" t="b">
        <f t="shared" ref="Z58" si="960">OR(I58, J58)</f>
        <v>0</v>
      </c>
      <c r="AC58" s="2" t="b">
        <f t="shared" ref="AC58" si="961">AND(NOT(K58), NOT(J58))</f>
        <v>0</v>
      </c>
      <c r="AD58" s="2" t="b">
        <f t="shared" ref="AD58" si="962">J58</f>
        <v>0</v>
      </c>
      <c r="AE58" s="2" t="b">
        <f t="shared" ref="AE58" si="963">AND(NOT(K58), NOT(J58))</f>
        <v>0</v>
      </c>
      <c r="AF58" s="2" t="b">
        <f t="shared" ref="AF58" si="964">J58</f>
        <v>0</v>
      </c>
      <c r="AI58" s="2" t="b">
        <f t="shared" ref="AI58" si="965">AND(NOT(J58), NOT(K58))</f>
        <v>0</v>
      </c>
      <c r="AJ58" s="2" t="b">
        <f t="shared" ref="AJ58" si="966">OR(I58, J58)</f>
        <v>0</v>
      </c>
      <c r="AK58" s="2" t="b">
        <f t="shared" ref="AK58" si="967">OR(I58, J58)</f>
        <v>0</v>
      </c>
      <c r="AN58" s="2" t="b">
        <f t="shared" ref="AN58" si="968">OR(I58, J58)</f>
        <v>0</v>
      </c>
      <c r="AO58" s="2" t="b">
        <f t="shared" ref="AO58" si="969">J58</f>
        <v>0</v>
      </c>
      <c r="AR58" s="2" t="b">
        <f t="shared" si="945"/>
        <v>0</v>
      </c>
      <c r="AS58" s="2" t="b">
        <f t="shared" ref="AS58" si="970">OR(I58, J58)</f>
        <v>0</v>
      </c>
      <c r="AT58" s="2" t="b">
        <f t="shared" ref="AT58" si="971">OR(I58, J58)</f>
        <v>0</v>
      </c>
      <c r="AW58" s="2" t="b">
        <f t="shared" ref="AW58" si="972">J58</f>
        <v>0</v>
      </c>
      <c r="AX58" s="2" t="b">
        <f t="shared" ref="AX58" si="973">J58</f>
        <v>0</v>
      </c>
      <c r="AY58" s="2" t="b">
        <f t="shared" ref="AY58" si="974">J58</f>
        <v>0</v>
      </c>
    </row>
    <row r="59" spans="2:54" ht="18" hidden="1" customHeight="1" x14ac:dyDescent="0.3">
      <c r="B59" s="416"/>
      <c r="C59" s="332"/>
      <c r="D59" s="332"/>
      <c r="E59" s="2" t="s">
        <v>235</v>
      </c>
      <c r="F59" s="2" t="str">
        <f>IF('One-Off Entries'!O19 &lt;&gt; "", LEFT('One-Off Entries'!O19, 1), "")</f>
        <v/>
      </c>
      <c r="G59" s="2" t="b">
        <f t="shared" si="0"/>
        <v>0</v>
      </c>
      <c r="H59" s="2" t="b">
        <f t="shared" si="951"/>
        <v>0</v>
      </c>
      <c r="I59" s="2" t="b">
        <f t="shared" si="952"/>
        <v>0</v>
      </c>
      <c r="J59" s="2" t="b">
        <f t="shared" si="953"/>
        <v>0</v>
      </c>
      <c r="K59" s="27" t="b">
        <f t="shared" si="954"/>
        <v>1</v>
      </c>
      <c r="L59" s="416"/>
      <c r="O59" s="1" t="s">
        <v>387</v>
      </c>
      <c r="P59" s="1" t="b">
        <f t="shared" ref="P59" si="975">OR(IF(D57 = 2, TRUE, FALSE), IF(D57 = 4, TRUE, FALSE))</f>
        <v>0</v>
      </c>
      <c r="Q59" s="1">
        <f t="shared" si="5"/>
        <v>0</v>
      </c>
      <c r="T59" s="2" t="b">
        <f t="shared" ref="T59" si="976">IF(D57 = 0, FALSE, IF(C57 = 1, CHOOSE(D57, W59, X59, Y59, Z59), IF(C57 = 2, CHOOSE(D57, AC59, AD59, AE59, AF59), IF(C57 = 3, CHOOSE(D57, AI59, AJ59, AK59), IF(C57 = 4, CHOOSE(D57, AN59, AO59), IF(C57 = 5, CHOOSE(D57, AR59, AS59, AT59), IF(C57 = 7, CHOOSE(D57, AW59, AX59, AY59), FALSE)))))))</f>
        <v>0</v>
      </c>
      <c r="W59" s="2" t="b">
        <f t="shared" si="957"/>
        <v>0</v>
      </c>
      <c r="X59" s="2" t="b">
        <f t="shared" ref="X59" si="977">OR(I59, J59)</f>
        <v>0</v>
      </c>
      <c r="Y59" s="2" t="b">
        <f t="shared" ref="Y59" si="978">AND(NOT(K58), NOT(J58))</f>
        <v>0</v>
      </c>
      <c r="Z59" s="2" t="b">
        <f t="shared" ref="Z59" si="979">J59</f>
        <v>0</v>
      </c>
      <c r="AC59" s="2" t="b">
        <f t="shared" ref="AC59" si="980">NOT(K59)</f>
        <v>0</v>
      </c>
      <c r="AD59" s="2" t="b">
        <f t="shared" ref="AD59" si="981">OR(I59, J59)</f>
        <v>0</v>
      </c>
      <c r="AE59" s="2" t="b">
        <f t="shared" ref="AE59" si="982">NOT(K59)</f>
        <v>0</v>
      </c>
      <c r="AF59" s="2" t="b">
        <f t="shared" ref="AF59" si="983">OR(I59, J59)</f>
        <v>0</v>
      </c>
      <c r="AI59" s="2" t="b">
        <f t="shared" ref="AI59" si="984">AND(OR(I59, J59), NOT(K59))</f>
        <v>0</v>
      </c>
      <c r="AJ59" s="2" t="b">
        <f t="shared" ref="AJ59" si="985">J59</f>
        <v>0</v>
      </c>
      <c r="AK59" s="2" t="b">
        <f t="shared" ref="AK59" si="986">J59</f>
        <v>0</v>
      </c>
      <c r="AN59" s="2" t="b">
        <f t="shared" ref="AN59:AN60" si="987">K59</f>
        <v>1</v>
      </c>
      <c r="AO59" s="2" t="b">
        <f t="shared" ref="AO59:AO60" si="988">K59</f>
        <v>1</v>
      </c>
      <c r="AR59" s="2" t="b">
        <f t="shared" si="945"/>
        <v>0</v>
      </c>
      <c r="AS59" s="2" t="b">
        <f t="shared" ref="AS59" si="989">J59</f>
        <v>0</v>
      </c>
      <c r="AT59" s="2" t="b">
        <f t="shared" ref="AT59" si="990">J59</f>
        <v>0</v>
      </c>
      <c r="AW59" s="2" t="b">
        <f t="shared" ref="AW59:AW60" si="991">K59</f>
        <v>1</v>
      </c>
      <c r="AX59" s="2" t="b">
        <f t="shared" ref="AX59:AX60" si="992">K59</f>
        <v>1</v>
      </c>
      <c r="AY59" s="2" t="b">
        <f t="shared" ref="AY59:AY60" si="993">K59</f>
        <v>1</v>
      </c>
    </row>
    <row r="60" spans="2:54" ht="18" customHeight="1" x14ac:dyDescent="0.3">
      <c r="B60" s="412"/>
      <c r="C60" s="332"/>
      <c r="D60" s="332"/>
      <c r="E60" s="2" t="s">
        <v>236</v>
      </c>
      <c r="F60" s="2" t="str">
        <f>IF('One-Off Entries'!P19 &lt;&gt; "", LEFT('One-Off Entries'!P19, 1), "")</f>
        <v/>
      </c>
      <c r="G60" s="2" t="b">
        <f t="shared" si="0"/>
        <v>0</v>
      </c>
      <c r="H60" s="2" t="b">
        <f t="shared" si="951"/>
        <v>0</v>
      </c>
      <c r="I60" s="2" t="b">
        <f t="shared" si="952"/>
        <v>0</v>
      </c>
      <c r="J60" s="2" t="b">
        <f t="shared" si="953"/>
        <v>0</v>
      </c>
      <c r="K60" s="27" t="b">
        <f t="shared" si="954"/>
        <v>1</v>
      </c>
      <c r="L60" s="412"/>
      <c r="O60" s="1" t="s">
        <v>388</v>
      </c>
      <c r="P60" s="1" t="b">
        <f t="shared" ref="P60" si="994">IF(SUM(Q57:Q60) &gt; 1, TRUE, FALSE)</f>
        <v>0</v>
      </c>
      <c r="Q60" s="1">
        <f t="shared" si="5"/>
        <v>0</v>
      </c>
      <c r="T60" s="2" t="b">
        <f>IF(D57 = 0, FALSE, IF(C57 = 1, CHOOSE(D57, W60, X60, Y60, Z60), IF(C57 = 2, IF(BB60 = "Rolex 24 at Daytona", CHOOSE(D57, AC60, AD60, AE60, AF60), K60), IF(C57 = 3, CHOOSE(D57, AI60, AJ60, AK60), IF(C57 = 4, CHOOSE(D57, AN60, AO60), IF(C57 = 5, CHOOSE(D57, AR60, AS60, AT60), IF(C57 = 7, CHOOSE(D57, AW60, AX60, AY60), FALSE)))))))</f>
        <v>0</v>
      </c>
      <c r="W60" s="2" t="b">
        <f t="shared" ref="W60" si="995">K60</f>
        <v>1</v>
      </c>
      <c r="X60" s="2" t="b">
        <f t="shared" ref="X60" si="996">K60</f>
        <v>1</v>
      </c>
      <c r="Y60" s="2" t="b">
        <f t="shared" ref="Y60" si="997">K60</f>
        <v>1</v>
      </c>
      <c r="Z60" s="2" t="b">
        <f t="shared" ref="Z60" si="998">K60</f>
        <v>1</v>
      </c>
      <c r="AC60" s="2" t="b">
        <v>1</v>
      </c>
      <c r="AD60" s="2" t="b">
        <f t="shared" ref="AD60" si="999">NOT(K60)</f>
        <v>0</v>
      </c>
      <c r="AE60" s="2" t="b">
        <v>1</v>
      </c>
      <c r="AF60" s="2" t="b">
        <f t="shared" ref="AF60" si="1000">NOT(K60)</f>
        <v>0</v>
      </c>
      <c r="AI60" s="2" t="b">
        <f t="shared" ref="AI60" si="1001">K60</f>
        <v>1</v>
      </c>
      <c r="AJ60" s="2" t="b">
        <f t="shared" ref="AJ60" si="1002">K60</f>
        <v>1</v>
      </c>
      <c r="AK60" s="2" t="b">
        <f t="shared" ref="AK60" si="1003">K60</f>
        <v>1</v>
      </c>
      <c r="AN60" s="2" t="b">
        <f t="shared" si="987"/>
        <v>1</v>
      </c>
      <c r="AO60" s="2" t="b">
        <f t="shared" si="988"/>
        <v>1</v>
      </c>
      <c r="AR60" s="2" t="b">
        <f t="shared" ref="AR60" si="1004">K60</f>
        <v>1</v>
      </c>
      <c r="AS60" s="2" t="b">
        <f t="shared" ref="AS60" si="1005">K60</f>
        <v>1</v>
      </c>
      <c r="AT60" s="2" t="b">
        <f t="shared" ref="AT60" si="1006">K60</f>
        <v>1</v>
      </c>
      <c r="AW60" s="2" t="b">
        <f t="shared" si="991"/>
        <v>1</v>
      </c>
      <c r="AX60" s="2" t="b">
        <f t="shared" si="992"/>
        <v>1</v>
      </c>
      <c r="AY60" s="2" t="b">
        <f t="shared" si="993"/>
        <v>1</v>
      </c>
      <c r="BB60" s="1">
        <f>'One-Off Entries'!C19</f>
        <v>0</v>
      </c>
    </row>
    <row r="61" spans="2:54" ht="18" hidden="1" customHeight="1" x14ac:dyDescent="0.3">
      <c r="B61" s="415">
        <v>15</v>
      </c>
      <c r="C61" s="332">
        <f>'One-Off Entries'!AI20</f>
        <v>0</v>
      </c>
      <c r="D61" s="332">
        <f>'One-Off Entries'!AJ20</f>
        <v>0</v>
      </c>
      <c r="E61" s="2" t="s">
        <v>233</v>
      </c>
      <c r="F61" s="2" t="str">
        <f>IF('One-Off Entries'!M20 &lt;&gt; "", LEFT('One-Off Entries'!M20, 1), "")</f>
        <v/>
      </c>
      <c r="G61" s="2" t="b">
        <f>IF(F61 = "P", TRUE, FALSE)</f>
        <v>0</v>
      </c>
      <c r="H61" s="2" t="b">
        <f>IF(F61 = "G", TRUE, FALSE)</f>
        <v>0</v>
      </c>
      <c r="I61" s="2" t="b">
        <f>IF(F61 = "S", TRUE, FALSE)</f>
        <v>0</v>
      </c>
      <c r="J61" s="2" t="b">
        <f>IF(F61 = "B", TRUE, FALSE)</f>
        <v>0</v>
      </c>
      <c r="K61" s="27" t="b">
        <f>IF(AND(IF(G61 = FALSE, TRUE, FALSE), IF(H61 = FALSE, TRUE, FALSE), IF(I61 = FALSE, TRUE, FALSE), IF(J61 = FALSE, TRUE, FALSE)) = TRUE, TRUE, FALSE)</f>
        <v>1</v>
      </c>
      <c r="L61" s="415" t="str">
        <f>IF(P61, "", IF(AND(P62, P63), AND(T61, T62, T63, T64), AND(NOT(P64), T61, T62, T63, T64)))</f>
        <v/>
      </c>
      <c r="O61" s="1" t="s">
        <v>232</v>
      </c>
      <c r="P61" s="1" t="b">
        <f t="shared" ref="P61" si="1007">AND(K61, K62, K63, K64)</f>
        <v>1</v>
      </c>
      <c r="Q61" s="1">
        <f t="shared" si="5"/>
        <v>0</v>
      </c>
      <c r="T61" s="2" t="b">
        <f t="shared" ref="T61" si="1008">IF(D61 = 0, FALSE, IF(C61 = 1, CHOOSE(D61, W61, X61, Y61, Z61), IF(C61 = 2, CHOOSE(D61, AC61, AD61, AE61, AF61), IF(C61 = 3, CHOOSE(D61, AI61, AJ61, AK61), IF(C61 = 4, CHOOSE(D61, AN61, AO61), IF(C61 = 5, CHOOSE(D61, AR61, AS61, AT61), IF(C61 = 7, CHOOSE(D61, AW61, AX61, AY61), FALSE)))))))</f>
        <v>0</v>
      </c>
      <c r="W61" s="2" t="b">
        <f t="shared" ref="W61" si="1009">AND(NOT(I61), NOT(K61), NOT(J61))</f>
        <v>0</v>
      </c>
      <c r="X61" s="2" t="b">
        <f t="shared" ref="X61" si="1010">AND(NOT(I61), NOT(K61), NOT(J61))</f>
        <v>0</v>
      </c>
      <c r="Y61" s="2" t="b">
        <f t="shared" ref="Y61" si="1011">AND(NOT(I61), NOT(K61), NOT(J61))</f>
        <v>0</v>
      </c>
      <c r="Z61" s="2" t="b">
        <f t="shared" ref="Z61" si="1012">AND(NOT(I61), NOT(K61), NOT(J61))</f>
        <v>0</v>
      </c>
      <c r="AC61" s="2" t="b">
        <f t="shared" ref="AC61" si="1013">AND(NOT(I61), NOT(K61), NOT(J61))</f>
        <v>0</v>
      </c>
      <c r="AD61" s="2" t="b">
        <f t="shared" ref="AD61" si="1014">AND(NOT(G61), NOT(K61), NOT(J61))</f>
        <v>0</v>
      </c>
      <c r="AE61" s="2" t="b">
        <f t="shared" ref="AE61" si="1015">AND(NOT(I61), NOT(K61), NOT(J61))</f>
        <v>0</v>
      </c>
      <c r="AF61" s="2" t="b">
        <f t="shared" ref="AF61" si="1016">AND(NOT(I61), NOT(K61), NOT(J61))</f>
        <v>0</v>
      </c>
      <c r="AI61" s="2" t="b">
        <f t="shared" ref="AI61" si="1017">AND(NOT(I61), NOT(K61), NOT(J61))</f>
        <v>0</v>
      </c>
      <c r="AJ61" s="2" t="b">
        <f t="shared" ref="AJ61" si="1018">AND(NOT(J61), NOT(K61))</f>
        <v>0</v>
      </c>
      <c r="AK61" s="2" t="b">
        <f t="shared" ref="AK61" si="1019">AND(NOT(I61), NOT(K61), NOT(J61))</f>
        <v>0</v>
      </c>
      <c r="AN61" s="2" t="b">
        <f t="shared" ref="AN61" si="1020">AND(NOT(I61), NOT(K61), NOT(J61))</f>
        <v>0</v>
      </c>
      <c r="AO61" s="2" t="b">
        <f t="shared" ref="AO61" si="1021">AND(NOT(G61), NOT(J61), NOT(K61))</f>
        <v>0</v>
      </c>
      <c r="AR61" s="2" t="b">
        <f t="shared" ref="AR61:AR63" si="1022">AND(NOT(J61), NOT(K61))</f>
        <v>0</v>
      </c>
      <c r="AS61" s="2" t="b">
        <f t="shared" ref="AS61" si="1023">AND(NOT(I61), NOT(K61), NOT(J61))</f>
        <v>0</v>
      </c>
      <c r="AT61" s="2" t="b">
        <f t="shared" ref="AT61" si="1024">AND(NOT(G61), NOT(J61), NOT(K61))</f>
        <v>0</v>
      </c>
      <c r="AW61" s="2" t="b">
        <f t="shared" ref="AW61" si="1025">AND(NOT(G61), NOT(J61), NOT(K61))</f>
        <v>0</v>
      </c>
      <c r="AX61" s="2" t="b">
        <f t="shared" ref="AX61" si="1026">AND(NOT(J61), NOT(K61))</f>
        <v>0</v>
      </c>
      <c r="AY61" s="2" t="b">
        <f t="shared" ref="AY61" si="1027">AND(NOT(G61), NOT(J61), NOT(K61))</f>
        <v>0</v>
      </c>
    </row>
    <row r="62" spans="2:54" ht="18" hidden="1" customHeight="1" x14ac:dyDescent="0.3">
      <c r="B62" s="416"/>
      <c r="C62" s="332"/>
      <c r="D62" s="332"/>
      <c r="E62" s="2" t="s">
        <v>234</v>
      </c>
      <c r="F62" s="2" t="str">
        <f>IF('One-Off Entries'!N20 &lt;&gt; "", LEFT('One-Off Entries'!N20, 1), "")</f>
        <v/>
      </c>
      <c r="G62" s="2" t="b">
        <f t="shared" si="0"/>
        <v>0</v>
      </c>
      <c r="H62" s="2" t="b">
        <f t="shared" ref="H62:H64" si="1028">IF(F62 = "G", TRUE, FALSE)</f>
        <v>0</v>
      </c>
      <c r="I62" s="2" t="b">
        <f t="shared" ref="I62:I64" si="1029">IF(F62 = "S", TRUE, FALSE)</f>
        <v>0</v>
      </c>
      <c r="J62" s="2" t="b">
        <f t="shared" ref="J62:J64" si="1030">IF(F62 = "B", TRUE, FALSE)</f>
        <v>0</v>
      </c>
      <c r="K62" s="27" t="b">
        <f t="shared" ref="K62:K64" si="1031">IF(AND(IF(G62 = FALSE, TRUE, FALSE), IF(H62 = FALSE, TRUE, FALSE), IF(I62 = FALSE, TRUE, FALSE), IF(J62 = FALSE, TRUE, FALSE)) = TRUE, TRUE, FALSE)</f>
        <v>1</v>
      </c>
      <c r="L62" s="416"/>
      <c r="O62" s="1" t="s">
        <v>386</v>
      </c>
      <c r="P62" s="1" t="b">
        <f t="shared" ref="P62" si="1032">OR(IF(C61 = 2, TRUE, FALSE), IF(C61 = 2.2, TRUE, FALSE))</f>
        <v>0</v>
      </c>
      <c r="Q62" s="1">
        <f t="shared" si="5"/>
        <v>0</v>
      </c>
      <c r="T62" s="2" t="b">
        <f t="shared" ref="T62" si="1033">IF(D61 = 0, FALSE, IF(C61 = 1, CHOOSE(D61, W62, X62, Y62, Z62), IF(C61 = 2, CHOOSE(D61, AC62, AD62, AE62, AF62), IF(C61 = 3, CHOOSE(D61, AI62, AJ62, AK62), IF(C61 = 4, CHOOSE(D61, AN62, AO62), IF(C61 = 5, CHOOSE(D61, AR62, AS62, AT62), IF(C61 = 7, CHOOSE(D61, AW62, AX62, AY62), FALSE)))))))</f>
        <v>0</v>
      </c>
      <c r="W62" s="2" t="b">
        <f t="shared" ref="W62:W63" si="1034">AND(NOT(K62), NOT(J62))</f>
        <v>0</v>
      </c>
      <c r="X62" s="2" t="b">
        <f t="shared" ref="X62" si="1035">NOT(K61)</f>
        <v>0</v>
      </c>
      <c r="Y62" s="2" t="b">
        <f t="shared" ref="Y62" si="1036">AND(NOT(K62), NOT(J62))</f>
        <v>0</v>
      </c>
      <c r="Z62" s="2" t="b">
        <f t="shared" ref="Z62" si="1037">OR(I62, J62)</f>
        <v>0</v>
      </c>
      <c r="AC62" s="2" t="b">
        <f t="shared" ref="AC62" si="1038">AND(NOT(K62), NOT(J62))</f>
        <v>0</v>
      </c>
      <c r="AD62" s="2" t="b">
        <f t="shared" ref="AD62" si="1039">J62</f>
        <v>0</v>
      </c>
      <c r="AE62" s="2" t="b">
        <f t="shared" ref="AE62" si="1040">AND(NOT(K62), NOT(J62))</f>
        <v>0</v>
      </c>
      <c r="AF62" s="2" t="b">
        <f t="shared" ref="AF62" si="1041">J62</f>
        <v>0</v>
      </c>
      <c r="AI62" s="2" t="b">
        <f t="shared" ref="AI62" si="1042">AND(NOT(J62), NOT(K62))</f>
        <v>0</v>
      </c>
      <c r="AJ62" s="2" t="b">
        <f t="shared" ref="AJ62" si="1043">OR(I62, J62)</f>
        <v>0</v>
      </c>
      <c r="AK62" s="2" t="b">
        <f t="shared" ref="AK62" si="1044">OR(I62, J62)</f>
        <v>0</v>
      </c>
      <c r="AN62" s="2" t="b">
        <f t="shared" ref="AN62" si="1045">OR(I62, J62)</f>
        <v>0</v>
      </c>
      <c r="AO62" s="2" t="b">
        <f t="shared" ref="AO62" si="1046">J62</f>
        <v>0</v>
      </c>
      <c r="AR62" s="2" t="b">
        <f t="shared" si="1022"/>
        <v>0</v>
      </c>
      <c r="AS62" s="2" t="b">
        <f t="shared" ref="AS62" si="1047">OR(I62, J62)</f>
        <v>0</v>
      </c>
      <c r="AT62" s="2" t="b">
        <f t="shared" ref="AT62" si="1048">OR(I62, J62)</f>
        <v>0</v>
      </c>
      <c r="AW62" s="2" t="b">
        <f t="shared" ref="AW62" si="1049">J62</f>
        <v>0</v>
      </c>
      <c r="AX62" s="2" t="b">
        <f t="shared" ref="AX62" si="1050">J62</f>
        <v>0</v>
      </c>
      <c r="AY62" s="2" t="b">
        <f t="shared" ref="AY62" si="1051">J62</f>
        <v>0</v>
      </c>
    </row>
    <row r="63" spans="2:54" ht="18" hidden="1" customHeight="1" x14ac:dyDescent="0.3">
      <c r="B63" s="416"/>
      <c r="C63" s="332"/>
      <c r="D63" s="332"/>
      <c r="E63" s="2" t="s">
        <v>235</v>
      </c>
      <c r="F63" s="2" t="str">
        <f>IF('One-Off Entries'!O20 &lt;&gt; "", LEFT('One-Off Entries'!O20, 1), "")</f>
        <v/>
      </c>
      <c r="G63" s="2" t="b">
        <f t="shared" si="0"/>
        <v>0</v>
      </c>
      <c r="H63" s="2" t="b">
        <f t="shared" si="1028"/>
        <v>0</v>
      </c>
      <c r="I63" s="2" t="b">
        <f t="shared" si="1029"/>
        <v>0</v>
      </c>
      <c r="J63" s="2" t="b">
        <f t="shared" si="1030"/>
        <v>0</v>
      </c>
      <c r="K63" s="27" t="b">
        <f t="shared" si="1031"/>
        <v>1</v>
      </c>
      <c r="L63" s="416"/>
      <c r="O63" s="1" t="s">
        <v>387</v>
      </c>
      <c r="P63" s="1" t="b">
        <f t="shared" ref="P63" si="1052">OR(IF(D61 = 2, TRUE, FALSE), IF(D61 = 4, TRUE, FALSE))</f>
        <v>0</v>
      </c>
      <c r="Q63" s="1">
        <f t="shared" si="5"/>
        <v>0</v>
      </c>
      <c r="T63" s="2" t="b">
        <f t="shared" ref="T63" si="1053">IF(D61 = 0, FALSE, IF(C61 = 1, CHOOSE(D61, W63, X63, Y63, Z63), IF(C61 = 2, CHOOSE(D61, AC63, AD63, AE63, AF63), IF(C61 = 3, CHOOSE(D61, AI63, AJ63, AK63), IF(C61 = 4, CHOOSE(D61, AN63, AO63), IF(C61 = 5, CHOOSE(D61, AR63, AS63, AT63), IF(C61 = 7, CHOOSE(D61, AW63, AX63, AY63), FALSE)))))))</f>
        <v>0</v>
      </c>
      <c r="W63" s="2" t="b">
        <f t="shared" si="1034"/>
        <v>0</v>
      </c>
      <c r="X63" s="2" t="b">
        <f t="shared" ref="X63" si="1054">OR(I63, J63)</f>
        <v>0</v>
      </c>
      <c r="Y63" s="2" t="b">
        <f t="shared" ref="Y63" si="1055">AND(NOT(K62), NOT(J62))</f>
        <v>0</v>
      </c>
      <c r="Z63" s="2" t="b">
        <f t="shared" ref="Z63" si="1056">J63</f>
        <v>0</v>
      </c>
      <c r="AC63" s="2" t="b">
        <f t="shared" ref="AC63" si="1057">NOT(K63)</f>
        <v>0</v>
      </c>
      <c r="AD63" s="2" t="b">
        <f t="shared" ref="AD63" si="1058">OR(I63, J63)</f>
        <v>0</v>
      </c>
      <c r="AE63" s="2" t="b">
        <f t="shared" ref="AE63" si="1059">NOT(K63)</f>
        <v>0</v>
      </c>
      <c r="AF63" s="2" t="b">
        <f t="shared" ref="AF63" si="1060">OR(I63, J63)</f>
        <v>0</v>
      </c>
      <c r="AI63" s="2" t="b">
        <f t="shared" ref="AI63" si="1061">AND(OR(I63, J63), NOT(K63))</f>
        <v>0</v>
      </c>
      <c r="AJ63" s="2" t="b">
        <f t="shared" ref="AJ63" si="1062">J63</f>
        <v>0</v>
      </c>
      <c r="AK63" s="2" t="b">
        <f t="shared" ref="AK63" si="1063">J63</f>
        <v>0</v>
      </c>
      <c r="AN63" s="2" t="b">
        <f t="shared" ref="AN63:AN64" si="1064">K63</f>
        <v>1</v>
      </c>
      <c r="AO63" s="2" t="b">
        <f t="shared" ref="AO63:AO64" si="1065">K63</f>
        <v>1</v>
      </c>
      <c r="AR63" s="2" t="b">
        <f t="shared" si="1022"/>
        <v>0</v>
      </c>
      <c r="AS63" s="2" t="b">
        <f t="shared" ref="AS63" si="1066">J63</f>
        <v>0</v>
      </c>
      <c r="AT63" s="2" t="b">
        <f t="shared" ref="AT63" si="1067">J63</f>
        <v>0</v>
      </c>
      <c r="AW63" s="2" t="b">
        <f t="shared" ref="AW63:AW64" si="1068">K63</f>
        <v>1</v>
      </c>
      <c r="AX63" s="2" t="b">
        <f t="shared" ref="AX63:AX64" si="1069">K63</f>
        <v>1</v>
      </c>
      <c r="AY63" s="2" t="b">
        <f t="shared" ref="AY63:AY64" si="1070">K63</f>
        <v>1</v>
      </c>
    </row>
    <row r="64" spans="2:54" ht="18" customHeight="1" x14ac:dyDescent="0.3">
      <c r="B64" s="412"/>
      <c r="C64" s="332"/>
      <c r="D64" s="332"/>
      <c r="E64" s="2" t="s">
        <v>236</v>
      </c>
      <c r="F64" s="2" t="str">
        <f>IF('One-Off Entries'!P20 &lt;&gt; "", LEFT('One-Off Entries'!P20, 1), "")</f>
        <v/>
      </c>
      <c r="G64" s="2" t="b">
        <f t="shared" si="0"/>
        <v>0</v>
      </c>
      <c r="H64" s="2" t="b">
        <f t="shared" si="1028"/>
        <v>0</v>
      </c>
      <c r="I64" s="2" t="b">
        <f t="shared" si="1029"/>
        <v>0</v>
      </c>
      <c r="J64" s="2" t="b">
        <f t="shared" si="1030"/>
        <v>0</v>
      </c>
      <c r="K64" s="27" t="b">
        <f t="shared" si="1031"/>
        <v>1</v>
      </c>
      <c r="L64" s="412"/>
      <c r="O64" s="1" t="s">
        <v>388</v>
      </c>
      <c r="P64" s="1" t="b">
        <f t="shared" ref="P64" si="1071">IF(SUM(Q61:Q64) &gt; 1, TRUE, FALSE)</f>
        <v>0</v>
      </c>
      <c r="Q64" s="1">
        <f t="shared" si="5"/>
        <v>0</v>
      </c>
      <c r="T64" s="2" t="b">
        <f>IF(D61 = 0, FALSE, IF(C61 = 1, CHOOSE(D61, W64, X64, Y64, Z64), IF(C61 = 2, IF(BB64 = "Rolex 24 at Daytona", CHOOSE(D61, AC64, AD64, AE64, AF64), K64), IF(C61 = 3, CHOOSE(D61, AI64, AJ64, AK64), IF(C61 = 4, CHOOSE(D61, AN64, AO64), IF(C61 = 5, CHOOSE(D61, AR64, AS64, AT64), IF(C61 = 7, CHOOSE(D61, AW64, AX64, AY64), FALSE)))))))</f>
        <v>0</v>
      </c>
      <c r="W64" s="2" t="b">
        <f t="shared" ref="W64" si="1072">K64</f>
        <v>1</v>
      </c>
      <c r="X64" s="2" t="b">
        <f t="shared" ref="X64" si="1073">K64</f>
        <v>1</v>
      </c>
      <c r="Y64" s="2" t="b">
        <f t="shared" ref="Y64" si="1074">K64</f>
        <v>1</v>
      </c>
      <c r="Z64" s="2" t="b">
        <f t="shared" ref="Z64" si="1075">K64</f>
        <v>1</v>
      </c>
      <c r="AC64" s="2" t="b">
        <v>1</v>
      </c>
      <c r="AD64" s="2" t="b">
        <f t="shared" ref="AD64" si="1076">NOT(K64)</f>
        <v>0</v>
      </c>
      <c r="AE64" s="2" t="b">
        <v>1</v>
      </c>
      <c r="AF64" s="2" t="b">
        <f t="shared" ref="AF64" si="1077">NOT(K64)</f>
        <v>0</v>
      </c>
      <c r="AI64" s="2" t="b">
        <f t="shared" ref="AI64" si="1078">K64</f>
        <v>1</v>
      </c>
      <c r="AJ64" s="2" t="b">
        <f t="shared" ref="AJ64" si="1079">K64</f>
        <v>1</v>
      </c>
      <c r="AK64" s="2" t="b">
        <f t="shared" ref="AK64" si="1080">K64</f>
        <v>1</v>
      </c>
      <c r="AN64" s="2" t="b">
        <f t="shared" si="1064"/>
        <v>1</v>
      </c>
      <c r="AO64" s="2" t="b">
        <f t="shared" si="1065"/>
        <v>1</v>
      </c>
      <c r="AR64" s="2" t="b">
        <f t="shared" ref="AR64" si="1081">K64</f>
        <v>1</v>
      </c>
      <c r="AS64" s="2" t="b">
        <f t="shared" ref="AS64" si="1082">K64</f>
        <v>1</v>
      </c>
      <c r="AT64" s="2" t="b">
        <f t="shared" ref="AT64" si="1083">K64</f>
        <v>1</v>
      </c>
      <c r="AW64" s="2" t="b">
        <f t="shared" si="1068"/>
        <v>1</v>
      </c>
      <c r="AX64" s="2" t="b">
        <f t="shared" si="1069"/>
        <v>1</v>
      </c>
      <c r="AY64" s="2" t="b">
        <f t="shared" si="1070"/>
        <v>1</v>
      </c>
      <c r="BB64" s="1">
        <f>'One-Off Entries'!C20</f>
        <v>0</v>
      </c>
    </row>
    <row r="65" spans="2:54" ht="18" hidden="1" customHeight="1" x14ac:dyDescent="0.3">
      <c r="B65" s="415">
        <v>16</v>
      </c>
      <c r="C65" s="332">
        <f>'One-Off Entries'!AI21</f>
        <v>0</v>
      </c>
      <c r="D65" s="332">
        <f>'One-Off Entries'!AJ21</f>
        <v>0</v>
      </c>
      <c r="E65" s="2" t="s">
        <v>233</v>
      </c>
      <c r="F65" s="2" t="str">
        <f>IF('One-Off Entries'!M21 &lt;&gt; "", LEFT('One-Off Entries'!M21, 1), "")</f>
        <v/>
      </c>
      <c r="G65" s="2" t="b">
        <f>IF(F65 = "P", TRUE, FALSE)</f>
        <v>0</v>
      </c>
      <c r="H65" s="2" t="b">
        <f>IF(F65 = "G", TRUE, FALSE)</f>
        <v>0</v>
      </c>
      <c r="I65" s="2" t="b">
        <f>IF(F65 = "S", TRUE, FALSE)</f>
        <v>0</v>
      </c>
      <c r="J65" s="2" t="b">
        <f>IF(F65 = "B", TRUE, FALSE)</f>
        <v>0</v>
      </c>
      <c r="K65" s="27" t="b">
        <f>IF(AND(IF(G65 = FALSE, TRUE, FALSE), IF(H65 = FALSE, TRUE, FALSE), IF(I65 = FALSE, TRUE, FALSE), IF(J65 = FALSE, TRUE, FALSE)) = TRUE, TRUE, FALSE)</f>
        <v>1</v>
      </c>
      <c r="L65" s="415" t="str">
        <f>IF(P65, "", IF(AND(P66, P67), AND(T65, T66, T67, T68), AND(NOT(P68), T65, T66, T67, T68)))</f>
        <v/>
      </c>
      <c r="O65" s="1" t="s">
        <v>232</v>
      </c>
      <c r="P65" s="1" t="b">
        <f t="shared" ref="P65" si="1084">AND(K65, K66, K67, K68)</f>
        <v>1</v>
      </c>
      <c r="Q65" s="1">
        <f t="shared" si="5"/>
        <v>0</v>
      </c>
      <c r="T65" s="2" t="b">
        <f t="shared" ref="T65" si="1085">IF(D65 = 0, FALSE, IF(C65 = 1, CHOOSE(D65, W65, X65, Y65, Z65), IF(C65 = 2, CHOOSE(D65, AC65, AD65, AE65, AF65), IF(C65 = 3, CHOOSE(D65, AI65, AJ65, AK65), IF(C65 = 4, CHOOSE(D65, AN65, AO65), IF(C65 = 5, CHOOSE(D65, AR65, AS65, AT65), IF(C65 = 7, CHOOSE(D65, AW65, AX65, AY65), FALSE)))))))</f>
        <v>0</v>
      </c>
      <c r="W65" s="2" t="b">
        <f t="shared" ref="W65" si="1086">AND(NOT(I65), NOT(K65), NOT(J65))</f>
        <v>0</v>
      </c>
      <c r="X65" s="2" t="b">
        <f t="shared" ref="X65" si="1087">AND(NOT(I65), NOT(K65), NOT(J65))</f>
        <v>0</v>
      </c>
      <c r="Y65" s="2" t="b">
        <f t="shared" ref="Y65" si="1088">AND(NOT(I65), NOT(K65), NOT(J65))</f>
        <v>0</v>
      </c>
      <c r="Z65" s="2" t="b">
        <f t="shared" ref="Z65" si="1089">AND(NOT(I65), NOT(K65), NOT(J65))</f>
        <v>0</v>
      </c>
      <c r="AC65" s="2" t="b">
        <f t="shared" ref="AC65" si="1090">AND(NOT(I65), NOT(K65), NOT(J65))</f>
        <v>0</v>
      </c>
      <c r="AD65" s="2" t="b">
        <f t="shared" ref="AD65" si="1091">AND(NOT(G65), NOT(K65), NOT(J65))</f>
        <v>0</v>
      </c>
      <c r="AE65" s="2" t="b">
        <f t="shared" ref="AE65" si="1092">AND(NOT(I65), NOT(K65), NOT(J65))</f>
        <v>0</v>
      </c>
      <c r="AF65" s="2" t="b">
        <f t="shared" ref="AF65" si="1093">AND(NOT(I65), NOT(K65), NOT(J65))</f>
        <v>0</v>
      </c>
      <c r="AI65" s="2" t="b">
        <f t="shared" ref="AI65" si="1094">AND(NOT(I65), NOT(K65), NOT(J65))</f>
        <v>0</v>
      </c>
      <c r="AJ65" s="2" t="b">
        <f t="shared" ref="AJ65" si="1095">AND(NOT(J65), NOT(K65))</f>
        <v>0</v>
      </c>
      <c r="AK65" s="2" t="b">
        <f t="shared" ref="AK65" si="1096">AND(NOT(I65), NOT(K65), NOT(J65))</f>
        <v>0</v>
      </c>
      <c r="AN65" s="2" t="b">
        <f t="shared" ref="AN65" si="1097">AND(NOT(I65), NOT(K65), NOT(J65))</f>
        <v>0</v>
      </c>
      <c r="AO65" s="2" t="b">
        <f t="shared" ref="AO65" si="1098">AND(NOT(G65), NOT(J65), NOT(K65))</f>
        <v>0</v>
      </c>
      <c r="AR65" s="2" t="b">
        <f t="shared" ref="AR65:AR67" si="1099">AND(NOT(J65), NOT(K65))</f>
        <v>0</v>
      </c>
      <c r="AS65" s="2" t="b">
        <f t="shared" ref="AS65" si="1100">AND(NOT(I65), NOT(K65), NOT(J65))</f>
        <v>0</v>
      </c>
      <c r="AT65" s="2" t="b">
        <f t="shared" ref="AT65" si="1101">AND(NOT(G65), NOT(J65), NOT(K65))</f>
        <v>0</v>
      </c>
      <c r="AW65" s="2" t="b">
        <f t="shared" ref="AW65" si="1102">AND(NOT(G65), NOT(J65), NOT(K65))</f>
        <v>0</v>
      </c>
      <c r="AX65" s="2" t="b">
        <f t="shared" ref="AX65" si="1103">AND(NOT(J65), NOT(K65))</f>
        <v>0</v>
      </c>
      <c r="AY65" s="2" t="b">
        <f t="shared" ref="AY65" si="1104">AND(NOT(G65), NOT(J65), NOT(K65))</f>
        <v>0</v>
      </c>
    </row>
    <row r="66" spans="2:54" ht="18" hidden="1" customHeight="1" x14ac:dyDescent="0.3">
      <c r="B66" s="416"/>
      <c r="C66" s="332"/>
      <c r="D66" s="332"/>
      <c r="E66" s="2" t="s">
        <v>234</v>
      </c>
      <c r="F66" s="2" t="str">
        <f>IF('One-Off Entries'!N21 &lt;&gt; "", LEFT('One-Off Entries'!N21, 1), "")</f>
        <v/>
      </c>
      <c r="G66" s="2" t="b">
        <f t="shared" si="0"/>
        <v>0</v>
      </c>
      <c r="H66" s="2" t="b">
        <f t="shared" ref="H66:H68" si="1105">IF(F66 = "G", TRUE, FALSE)</f>
        <v>0</v>
      </c>
      <c r="I66" s="2" t="b">
        <f t="shared" ref="I66:I68" si="1106">IF(F66 = "S", TRUE, FALSE)</f>
        <v>0</v>
      </c>
      <c r="J66" s="2" t="b">
        <f t="shared" ref="J66:J68" si="1107">IF(F66 = "B", TRUE, FALSE)</f>
        <v>0</v>
      </c>
      <c r="K66" s="27" t="b">
        <f t="shared" ref="K66:K68" si="1108">IF(AND(IF(G66 = FALSE, TRUE, FALSE), IF(H66 = FALSE, TRUE, FALSE), IF(I66 = FALSE, TRUE, FALSE), IF(J66 = FALSE, TRUE, FALSE)) = TRUE, TRUE, FALSE)</f>
        <v>1</v>
      </c>
      <c r="L66" s="416"/>
      <c r="O66" s="1" t="s">
        <v>386</v>
      </c>
      <c r="P66" s="1" t="b">
        <f t="shared" ref="P66" si="1109">OR(IF(C65 = 2, TRUE, FALSE), IF(C65 = 2.2, TRUE, FALSE))</f>
        <v>0</v>
      </c>
      <c r="Q66" s="1">
        <f t="shared" si="5"/>
        <v>0</v>
      </c>
      <c r="T66" s="2" t="b">
        <f t="shared" ref="T66" si="1110">IF(D65 = 0, FALSE, IF(C65 = 1, CHOOSE(D65, W66, X66, Y66, Z66), IF(C65 = 2, CHOOSE(D65, AC66, AD66, AE66, AF66), IF(C65 = 3, CHOOSE(D65, AI66, AJ66, AK66), IF(C65 = 4, CHOOSE(D65, AN66, AO66), IF(C65 = 5, CHOOSE(D65, AR66, AS66, AT66), IF(C65 = 7, CHOOSE(D65, AW66, AX66, AY66), FALSE)))))))</f>
        <v>0</v>
      </c>
      <c r="W66" s="2" t="b">
        <f t="shared" ref="W66:W67" si="1111">AND(NOT(K66), NOT(J66))</f>
        <v>0</v>
      </c>
      <c r="X66" s="2" t="b">
        <f t="shared" ref="X66" si="1112">NOT(K65)</f>
        <v>0</v>
      </c>
      <c r="Y66" s="2" t="b">
        <f t="shared" ref="Y66" si="1113">AND(NOT(K66), NOT(J66))</f>
        <v>0</v>
      </c>
      <c r="Z66" s="2" t="b">
        <f t="shared" ref="Z66" si="1114">OR(I66, J66)</f>
        <v>0</v>
      </c>
      <c r="AC66" s="2" t="b">
        <f t="shared" ref="AC66" si="1115">AND(NOT(K66), NOT(J66))</f>
        <v>0</v>
      </c>
      <c r="AD66" s="2" t="b">
        <f t="shared" ref="AD66" si="1116">J66</f>
        <v>0</v>
      </c>
      <c r="AE66" s="2" t="b">
        <f t="shared" ref="AE66" si="1117">AND(NOT(K66), NOT(J66))</f>
        <v>0</v>
      </c>
      <c r="AF66" s="2" t="b">
        <f t="shared" ref="AF66" si="1118">J66</f>
        <v>0</v>
      </c>
      <c r="AI66" s="2" t="b">
        <f t="shared" ref="AI66" si="1119">AND(NOT(J66), NOT(K66))</f>
        <v>0</v>
      </c>
      <c r="AJ66" s="2" t="b">
        <f t="shared" ref="AJ66" si="1120">OR(I66, J66)</f>
        <v>0</v>
      </c>
      <c r="AK66" s="2" t="b">
        <f t="shared" ref="AK66" si="1121">OR(I66, J66)</f>
        <v>0</v>
      </c>
      <c r="AN66" s="2" t="b">
        <f t="shared" ref="AN66" si="1122">OR(I66, J66)</f>
        <v>0</v>
      </c>
      <c r="AO66" s="2" t="b">
        <f t="shared" ref="AO66" si="1123">J66</f>
        <v>0</v>
      </c>
      <c r="AR66" s="2" t="b">
        <f t="shared" si="1099"/>
        <v>0</v>
      </c>
      <c r="AS66" s="2" t="b">
        <f t="shared" ref="AS66" si="1124">OR(I66, J66)</f>
        <v>0</v>
      </c>
      <c r="AT66" s="2" t="b">
        <f t="shared" ref="AT66" si="1125">OR(I66, J66)</f>
        <v>0</v>
      </c>
      <c r="AW66" s="2" t="b">
        <f t="shared" ref="AW66" si="1126">J66</f>
        <v>0</v>
      </c>
      <c r="AX66" s="2" t="b">
        <f t="shared" ref="AX66" si="1127">J66</f>
        <v>0</v>
      </c>
      <c r="AY66" s="2" t="b">
        <f t="shared" ref="AY66" si="1128">J66</f>
        <v>0</v>
      </c>
    </row>
    <row r="67" spans="2:54" ht="18" hidden="1" customHeight="1" x14ac:dyDescent="0.3">
      <c r="B67" s="416"/>
      <c r="C67" s="332"/>
      <c r="D67" s="332"/>
      <c r="E67" s="2" t="s">
        <v>235</v>
      </c>
      <c r="F67" s="2" t="str">
        <f>IF('One-Off Entries'!O21 &lt;&gt; "", LEFT('One-Off Entries'!O21, 1), "")</f>
        <v/>
      </c>
      <c r="G67" s="2" t="b">
        <f t="shared" si="0"/>
        <v>0</v>
      </c>
      <c r="H67" s="2" t="b">
        <f t="shared" si="1105"/>
        <v>0</v>
      </c>
      <c r="I67" s="2" t="b">
        <f t="shared" si="1106"/>
        <v>0</v>
      </c>
      <c r="J67" s="2" t="b">
        <f t="shared" si="1107"/>
        <v>0</v>
      </c>
      <c r="K67" s="27" t="b">
        <f t="shared" si="1108"/>
        <v>1</v>
      </c>
      <c r="L67" s="416"/>
      <c r="O67" s="1" t="s">
        <v>387</v>
      </c>
      <c r="P67" s="1" t="b">
        <f t="shared" ref="P67" si="1129">OR(IF(D65 = 2, TRUE, FALSE), IF(D65 = 4, TRUE, FALSE))</f>
        <v>0</v>
      </c>
      <c r="Q67" s="1">
        <f t="shared" si="5"/>
        <v>0</v>
      </c>
      <c r="T67" s="2" t="b">
        <f t="shared" ref="T67" si="1130">IF(D65 = 0, FALSE, IF(C65 = 1, CHOOSE(D65, W67, X67, Y67, Z67), IF(C65 = 2, CHOOSE(D65, AC67, AD67, AE67, AF67), IF(C65 = 3, CHOOSE(D65, AI67, AJ67, AK67), IF(C65 = 4, CHOOSE(D65, AN67, AO67), IF(C65 = 5, CHOOSE(D65, AR67, AS67, AT67), IF(C65 = 7, CHOOSE(D65, AW67, AX67, AY67), FALSE)))))))</f>
        <v>0</v>
      </c>
      <c r="W67" s="2" t="b">
        <f t="shared" si="1111"/>
        <v>0</v>
      </c>
      <c r="X67" s="2" t="b">
        <f t="shared" ref="X67" si="1131">OR(I67, J67)</f>
        <v>0</v>
      </c>
      <c r="Y67" s="2" t="b">
        <f t="shared" ref="Y67" si="1132">AND(NOT(K66), NOT(J66))</f>
        <v>0</v>
      </c>
      <c r="Z67" s="2" t="b">
        <f t="shared" ref="Z67" si="1133">J67</f>
        <v>0</v>
      </c>
      <c r="AC67" s="2" t="b">
        <f t="shared" ref="AC67" si="1134">NOT(K67)</f>
        <v>0</v>
      </c>
      <c r="AD67" s="2" t="b">
        <f t="shared" ref="AD67" si="1135">OR(I67, J67)</f>
        <v>0</v>
      </c>
      <c r="AE67" s="2" t="b">
        <f t="shared" ref="AE67" si="1136">NOT(K67)</f>
        <v>0</v>
      </c>
      <c r="AF67" s="2" t="b">
        <f t="shared" ref="AF67" si="1137">OR(I67, J67)</f>
        <v>0</v>
      </c>
      <c r="AI67" s="2" t="b">
        <f t="shared" ref="AI67" si="1138">AND(OR(I67, J67), NOT(K67))</f>
        <v>0</v>
      </c>
      <c r="AJ67" s="2" t="b">
        <f t="shared" ref="AJ67" si="1139">J67</f>
        <v>0</v>
      </c>
      <c r="AK67" s="2" t="b">
        <f t="shared" ref="AK67" si="1140">J67</f>
        <v>0</v>
      </c>
      <c r="AN67" s="2" t="b">
        <f t="shared" ref="AN67:AN68" si="1141">K67</f>
        <v>1</v>
      </c>
      <c r="AO67" s="2" t="b">
        <f t="shared" ref="AO67:AO68" si="1142">K67</f>
        <v>1</v>
      </c>
      <c r="AR67" s="2" t="b">
        <f t="shared" si="1099"/>
        <v>0</v>
      </c>
      <c r="AS67" s="2" t="b">
        <f t="shared" ref="AS67" si="1143">J67</f>
        <v>0</v>
      </c>
      <c r="AT67" s="2" t="b">
        <f t="shared" ref="AT67" si="1144">J67</f>
        <v>0</v>
      </c>
      <c r="AW67" s="2" t="b">
        <f t="shared" ref="AW67:AW68" si="1145">K67</f>
        <v>1</v>
      </c>
      <c r="AX67" s="2" t="b">
        <f t="shared" ref="AX67:AX68" si="1146">K67</f>
        <v>1</v>
      </c>
      <c r="AY67" s="2" t="b">
        <f t="shared" ref="AY67:AY68" si="1147">K67</f>
        <v>1</v>
      </c>
    </row>
    <row r="68" spans="2:54" ht="18" customHeight="1" x14ac:dyDescent="0.3">
      <c r="B68" s="412"/>
      <c r="C68" s="332"/>
      <c r="D68" s="332"/>
      <c r="E68" s="2" t="s">
        <v>236</v>
      </c>
      <c r="F68" s="2" t="str">
        <f>IF('One-Off Entries'!P21 &lt;&gt; "", LEFT('One-Off Entries'!P21, 1), "")</f>
        <v/>
      </c>
      <c r="G68" s="2" t="b">
        <f t="shared" si="0"/>
        <v>0</v>
      </c>
      <c r="H68" s="2" t="b">
        <f t="shared" si="1105"/>
        <v>0</v>
      </c>
      <c r="I68" s="2" t="b">
        <f t="shared" si="1106"/>
        <v>0</v>
      </c>
      <c r="J68" s="2" t="b">
        <f t="shared" si="1107"/>
        <v>0</v>
      </c>
      <c r="K68" s="27" t="b">
        <f t="shared" si="1108"/>
        <v>1</v>
      </c>
      <c r="L68" s="412"/>
      <c r="O68" s="1" t="s">
        <v>388</v>
      </c>
      <c r="P68" s="1" t="b">
        <f t="shared" ref="P68" si="1148">IF(SUM(Q65:Q68) &gt; 1, TRUE, FALSE)</f>
        <v>0</v>
      </c>
      <c r="Q68" s="1">
        <f t="shared" si="5"/>
        <v>0</v>
      </c>
      <c r="T68" s="2" t="b">
        <f>IF(D65 = 0, FALSE, IF(C65 = 1, CHOOSE(D65, W68, X68, Y68, Z68), IF(C65 = 2, IF(B68 = "Rolex 24 at Daytona", CHOOSE(D65, AC68, AD68, AE68, AF68), K68), IF(C65 = 3, CHOOSE(D65, AI68, AJ68, AK68), IF(C65 = 4, CHOOSE(D65, AN68, AO68), IF(C65 = 5, CHOOSE(D65, AR68, AS68, AT68), IF(C65 = 7, CHOOSE(D65, AW68, AX68, AY68), FALSE)))))))</f>
        <v>0</v>
      </c>
      <c r="W68" s="2" t="b">
        <f t="shared" ref="W68" si="1149">K68</f>
        <v>1</v>
      </c>
      <c r="X68" s="2" t="b">
        <f t="shared" ref="X68" si="1150">K68</f>
        <v>1</v>
      </c>
      <c r="Y68" s="2" t="b">
        <f t="shared" ref="Y68" si="1151">K68</f>
        <v>1</v>
      </c>
      <c r="Z68" s="2" t="b">
        <f t="shared" ref="Z68" si="1152">K68</f>
        <v>1</v>
      </c>
      <c r="AC68" s="2" t="b">
        <v>1</v>
      </c>
      <c r="AD68" s="2" t="b">
        <f t="shared" ref="AD68" si="1153">NOT(K68)</f>
        <v>0</v>
      </c>
      <c r="AE68" s="2" t="b">
        <v>1</v>
      </c>
      <c r="AF68" s="2" t="b">
        <f t="shared" ref="AF68" si="1154">NOT(K68)</f>
        <v>0</v>
      </c>
      <c r="AI68" s="2" t="b">
        <f t="shared" ref="AI68" si="1155">K68</f>
        <v>1</v>
      </c>
      <c r="AJ68" s="2" t="b">
        <f t="shared" ref="AJ68" si="1156">K68</f>
        <v>1</v>
      </c>
      <c r="AK68" s="2" t="b">
        <f t="shared" ref="AK68" si="1157">K68</f>
        <v>1</v>
      </c>
      <c r="AN68" s="2" t="b">
        <f t="shared" si="1141"/>
        <v>1</v>
      </c>
      <c r="AO68" s="2" t="b">
        <f t="shared" si="1142"/>
        <v>1</v>
      </c>
      <c r="AR68" s="2" t="b">
        <f t="shared" ref="AR68" si="1158">K68</f>
        <v>1</v>
      </c>
      <c r="AS68" s="2" t="b">
        <f t="shared" ref="AS68" si="1159">K68</f>
        <v>1</v>
      </c>
      <c r="AT68" s="2" t="b">
        <f t="shared" ref="AT68" si="1160">K68</f>
        <v>1</v>
      </c>
      <c r="AW68" s="2" t="b">
        <f t="shared" si="1145"/>
        <v>1</v>
      </c>
      <c r="AX68" s="2" t="b">
        <f t="shared" si="1146"/>
        <v>1</v>
      </c>
      <c r="AY68" s="2" t="b">
        <f t="shared" si="1147"/>
        <v>1</v>
      </c>
      <c r="BB68" s="1">
        <f>'One-Off Entries'!C21</f>
        <v>0</v>
      </c>
    </row>
    <row r="69" spans="2:54" ht="18" hidden="1" customHeight="1" x14ac:dyDescent="0.3">
      <c r="B69" s="415">
        <v>17</v>
      </c>
      <c r="C69" s="332">
        <f>'One-Off Entries'!AI22</f>
        <v>0</v>
      </c>
      <c r="D69" s="332">
        <f>'One-Off Entries'!AJ22</f>
        <v>0</v>
      </c>
      <c r="E69" s="2" t="s">
        <v>233</v>
      </c>
      <c r="F69" s="2" t="str">
        <f>IF('One-Off Entries'!M22 &lt;&gt; "", LEFT('One-Off Entries'!M22, 1), "")</f>
        <v/>
      </c>
      <c r="G69" s="2" t="b">
        <f>IF(F69 = "P", TRUE, FALSE)</f>
        <v>0</v>
      </c>
      <c r="H69" s="2" t="b">
        <f>IF(F69 = "G", TRUE, FALSE)</f>
        <v>0</v>
      </c>
      <c r="I69" s="2" t="b">
        <f>IF(F69 = "S", TRUE, FALSE)</f>
        <v>0</v>
      </c>
      <c r="J69" s="2" t="b">
        <f>IF(F69 = "B", TRUE, FALSE)</f>
        <v>0</v>
      </c>
      <c r="K69" s="27" t="b">
        <f>IF(AND(IF(G69 = FALSE, TRUE, FALSE), IF(H69 = FALSE, TRUE, FALSE), IF(I69 = FALSE, TRUE, FALSE), IF(J69 = FALSE, TRUE, FALSE)) = TRUE, TRUE, FALSE)</f>
        <v>1</v>
      </c>
      <c r="L69" s="415" t="str">
        <f>IF(P69, "", IF(AND(P70, P71), AND(T69, T70, T71, T72), AND(NOT(P72), T69, T70, T71, T72)))</f>
        <v/>
      </c>
      <c r="O69" s="1" t="s">
        <v>232</v>
      </c>
      <c r="P69" s="1" t="b">
        <f t="shared" ref="P69" si="1161">AND(K69, K70, K71, K72)</f>
        <v>1</v>
      </c>
      <c r="Q69" s="1">
        <f t="shared" si="5"/>
        <v>0</v>
      </c>
      <c r="T69" s="2" t="b">
        <f t="shared" ref="T69" si="1162">IF(D69 = 0, FALSE, IF(C69 = 1, CHOOSE(D69, W69, X69, Y69, Z69), IF(C69 = 2, CHOOSE(D69, AC69, AD69, AE69, AF69), IF(C69 = 3, CHOOSE(D69, AI69, AJ69, AK69), IF(C69 = 4, CHOOSE(D69, AN69, AO69), IF(C69 = 5, CHOOSE(D69, AR69, AS69, AT69), IF(C69 = 7, CHOOSE(D69, AW69, AX69, AY69), FALSE)))))))</f>
        <v>0</v>
      </c>
      <c r="W69" s="2" t="b">
        <f t="shared" ref="W69" si="1163">AND(NOT(I69), NOT(K69), NOT(J69))</f>
        <v>0</v>
      </c>
      <c r="X69" s="2" t="b">
        <f t="shared" ref="X69" si="1164">AND(NOT(I69), NOT(K69), NOT(J69))</f>
        <v>0</v>
      </c>
      <c r="Y69" s="2" t="b">
        <f t="shared" ref="Y69" si="1165">AND(NOT(I69), NOT(K69), NOT(J69))</f>
        <v>0</v>
      </c>
      <c r="Z69" s="2" t="b">
        <f t="shared" ref="Z69" si="1166">AND(NOT(I69), NOT(K69), NOT(J69))</f>
        <v>0</v>
      </c>
      <c r="AC69" s="2" t="b">
        <f t="shared" ref="AC69" si="1167">AND(NOT(I69), NOT(K69), NOT(J69))</f>
        <v>0</v>
      </c>
      <c r="AD69" s="2" t="b">
        <f t="shared" ref="AD69" si="1168">AND(NOT(G69), NOT(K69), NOT(J69))</f>
        <v>0</v>
      </c>
      <c r="AE69" s="2" t="b">
        <f t="shared" ref="AE69" si="1169">AND(NOT(I69), NOT(K69), NOT(J69))</f>
        <v>0</v>
      </c>
      <c r="AF69" s="2" t="b">
        <f t="shared" ref="AF69" si="1170">AND(NOT(I69), NOT(K69), NOT(J69))</f>
        <v>0</v>
      </c>
      <c r="AI69" s="2" t="b">
        <f t="shared" ref="AI69" si="1171">AND(NOT(I69), NOT(K69), NOT(J69))</f>
        <v>0</v>
      </c>
      <c r="AJ69" s="2" t="b">
        <f t="shared" ref="AJ69" si="1172">AND(NOT(J69), NOT(K69))</f>
        <v>0</v>
      </c>
      <c r="AK69" s="2" t="b">
        <f t="shared" ref="AK69" si="1173">AND(NOT(I69), NOT(K69), NOT(J69))</f>
        <v>0</v>
      </c>
      <c r="AN69" s="2" t="b">
        <f t="shared" ref="AN69" si="1174">AND(NOT(I69), NOT(K69), NOT(J69))</f>
        <v>0</v>
      </c>
      <c r="AO69" s="2" t="b">
        <f t="shared" ref="AO69" si="1175">AND(NOT(G69), NOT(J69), NOT(K69))</f>
        <v>0</v>
      </c>
      <c r="AR69" s="2" t="b">
        <f t="shared" ref="AR69:AR71" si="1176">AND(NOT(J69), NOT(K69))</f>
        <v>0</v>
      </c>
      <c r="AS69" s="2" t="b">
        <f t="shared" ref="AS69" si="1177">AND(NOT(I69), NOT(K69), NOT(J69))</f>
        <v>0</v>
      </c>
      <c r="AT69" s="2" t="b">
        <f t="shared" ref="AT69" si="1178">AND(NOT(G69), NOT(J69), NOT(K69))</f>
        <v>0</v>
      </c>
      <c r="AW69" s="2" t="b">
        <f t="shared" ref="AW69" si="1179">AND(NOT(G69), NOT(J69), NOT(K69))</f>
        <v>0</v>
      </c>
      <c r="AX69" s="2" t="b">
        <f t="shared" ref="AX69" si="1180">AND(NOT(J69), NOT(K69))</f>
        <v>0</v>
      </c>
      <c r="AY69" s="2" t="b">
        <f t="shared" ref="AY69" si="1181">AND(NOT(G69), NOT(J69), NOT(K69))</f>
        <v>0</v>
      </c>
    </row>
    <row r="70" spans="2:54" ht="18" hidden="1" customHeight="1" x14ac:dyDescent="0.3">
      <c r="B70" s="416"/>
      <c r="C70" s="332"/>
      <c r="D70" s="332"/>
      <c r="E70" s="2" t="s">
        <v>234</v>
      </c>
      <c r="F70" s="2" t="str">
        <f>IF('One-Off Entries'!N22 &lt;&gt; "", LEFT('One-Off Entries'!N22, 1), "")</f>
        <v/>
      </c>
      <c r="G70" s="2" t="b">
        <f t="shared" si="0"/>
        <v>0</v>
      </c>
      <c r="H70" s="2" t="b">
        <f t="shared" ref="H70:H72" si="1182">IF(F70 = "G", TRUE, FALSE)</f>
        <v>0</v>
      </c>
      <c r="I70" s="2" t="b">
        <f t="shared" ref="I70:I72" si="1183">IF(F70 = "S", TRUE, FALSE)</f>
        <v>0</v>
      </c>
      <c r="J70" s="2" t="b">
        <f t="shared" ref="J70:J72" si="1184">IF(F70 = "B", TRUE, FALSE)</f>
        <v>0</v>
      </c>
      <c r="K70" s="27" t="b">
        <f t="shared" ref="K70:K72" si="1185">IF(AND(IF(G70 = FALSE, TRUE, FALSE), IF(H70 = FALSE, TRUE, FALSE), IF(I70 = FALSE, TRUE, FALSE), IF(J70 = FALSE, TRUE, FALSE)) = TRUE, TRUE, FALSE)</f>
        <v>1</v>
      </c>
      <c r="L70" s="416"/>
      <c r="O70" s="1" t="s">
        <v>386</v>
      </c>
      <c r="P70" s="1" t="b">
        <f t="shared" ref="P70" si="1186">OR(IF(C69 = 2, TRUE, FALSE), IF(C69 = 2.2, TRUE, FALSE))</f>
        <v>0</v>
      </c>
      <c r="Q70" s="1">
        <f t="shared" ref="Q70:Q133" si="1187">IF(J70, 1, 0)</f>
        <v>0</v>
      </c>
      <c r="T70" s="2" t="b">
        <f t="shared" ref="T70" si="1188">IF(D69 = 0, FALSE, IF(C69 = 1, CHOOSE(D69, W70, X70, Y70, Z70), IF(C69 = 2, CHOOSE(D69, AC70, AD70, AE70, AF70), IF(C69 = 3, CHOOSE(D69, AI70, AJ70, AK70), IF(C69 = 4, CHOOSE(D69, AN70, AO70), IF(C69 = 5, CHOOSE(D69, AR70, AS70, AT70), IF(C69 = 7, CHOOSE(D69, AW70, AX70, AY70), FALSE)))))))</f>
        <v>0</v>
      </c>
      <c r="W70" s="2" t="b">
        <f t="shared" ref="W70:W71" si="1189">AND(NOT(K70), NOT(J70))</f>
        <v>0</v>
      </c>
      <c r="X70" s="2" t="b">
        <f t="shared" ref="X70" si="1190">NOT(K69)</f>
        <v>0</v>
      </c>
      <c r="Y70" s="2" t="b">
        <f t="shared" ref="Y70" si="1191">AND(NOT(K70), NOT(J70))</f>
        <v>0</v>
      </c>
      <c r="Z70" s="2" t="b">
        <f t="shared" ref="Z70" si="1192">OR(I70, J70)</f>
        <v>0</v>
      </c>
      <c r="AC70" s="2" t="b">
        <f t="shared" ref="AC70" si="1193">AND(NOT(K70), NOT(J70))</f>
        <v>0</v>
      </c>
      <c r="AD70" s="2" t="b">
        <f t="shared" ref="AD70" si="1194">J70</f>
        <v>0</v>
      </c>
      <c r="AE70" s="2" t="b">
        <f t="shared" ref="AE70" si="1195">AND(NOT(K70), NOT(J70))</f>
        <v>0</v>
      </c>
      <c r="AF70" s="2" t="b">
        <f t="shared" ref="AF70" si="1196">J70</f>
        <v>0</v>
      </c>
      <c r="AI70" s="2" t="b">
        <f t="shared" ref="AI70" si="1197">AND(NOT(J70), NOT(K70))</f>
        <v>0</v>
      </c>
      <c r="AJ70" s="2" t="b">
        <f t="shared" ref="AJ70" si="1198">OR(I70, J70)</f>
        <v>0</v>
      </c>
      <c r="AK70" s="2" t="b">
        <f t="shared" ref="AK70" si="1199">OR(I70, J70)</f>
        <v>0</v>
      </c>
      <c r="AN70" s="2" t="b">
        <f t="shared" ref="AN70" si="1200">OR(I70, J70)</f>
        <v>0</v>
      </c>
      <c r="AO70" s="2" t="b">
        <f t="shared" ref="AO70" si="1201">J70</f>
        <v>0</v>
      </c>
      <c r="AR70" s="2" t="b">
        <f t="shared" si="1176"/>
        <v>0</v>
      </c>
      <c r="AS70" s="2" t="b">
        <f t="shared" ref="AS70" si="1202">OR(I70, J70)</f>
        <v>0</v>
      </c>
      <c r="AT70" s="2" t="b">
        <f t="shared" ref="AT70" si="1203">OR(I70, J70)</f>
        <v>0</v>
      </c>
      <c r="AW70" s="2" t="b">
        <f t="shared" ref="AW70" si="1204">J70</f>
        <v>0</v>
      </c>
      <c r="AX70" s="2" t="b">
        <f t="shared" ref="AX70" si="1205">J70</f>
        <v>0</v>
      </c>
      <c r="AY70" s="2" t="b">
        <f t="shared" ref="AY70" si="1206">J70</f>
        <v>0</v>
      </c>
    </row>
    <row r="71" spans="2:54" ht="18" hidden="1" customHeight="1" x14ac:dyDescent="0.3">
      <c r="B71" s="416"/>
      <c r="C71" s="332"/>
      <c r="D71" s="332"/>
      <c r="E71" s="2" t="s">
        <v>235</v>
      </c>
      <c r="F71" s="2" t="str">
        <f>IF('One-Off Entries'!O22 &lt;&gt; "", LEFT('One-Off Entries'!O22, 1), "")</f>
        <v/>
      </c>
      <c r="G71" s="2" t="b">
        <f t="shared" ref="G71:G72" si="1207">IF(F71 = "P", TRUE, FALSE)</f>
        <v>0</v>
      </c>
      <c r="H71" s="2" t="b">
        <f t="shared" si="1182"/>
        <v>0</v>
      </c>
      <c r="I71" s="2" t="b">
        <f t="shared" si="1183"/>
        <v>0</v>
      </c>
      <c r="J71" s="2" t="b">
        <f t="shared" si="1184"/>
        <v>0</v>
      </c>
      <c r="K71" s="27" t="b">
        <f t="shared" si="1185"/>
        <v>1</v>
      </c>
      <c r="L71" s="416"/>
      <c r="O71" s="1" t="s">
        <v>387</v>
      </c>
      <c r="P71" s="1" t="b">
        <f t="shared" ref="P71" si="1208">OR(IF(D69 = 2, TRUE, FALSE), IF(D69 = 4, TRUE, FALSE))</f>
        <v>0</v>
      </c>
      <c r="Q71" s="1">
        <f t="shared" si="1187"/>
        <v>0</v>
      </c>
      <c r="T71" s="2" t="b">
        <f t="shared" ref="T71" si="1209">IF(D69 = 0, FALSE, IF(C69 = 1, CHOOSE(D69, W71, X71, Y71, Z71), IF(C69 = 2, CHOOSE(D69, AC71, AD71, AE71, AF71), IF(C69 = 3, CHOOSE(D69, AI71, AJ71, AK71), IF(C69 = 4, CHOOSE(D69, AN71, AO71), IF(C69 = 5, CHOOSE(D69, AR71, AS71, AT71), IF(C69 = 7, CHOOSE(D69, AW71, AX71, AY71), FALSE)))))))</f>
        <v>0</v>
      </c>
      <c r="W71" s="2" t="b">
        <f t="shared" si="1189"/>
        <v>0</v>
      </c>
      <c r="X71" s="2" t="b">
        <f t="shared" ref="X71" si="1210">OR(I71, J71)</f>
        <v>0</v>
      </c>
      <c r="Y71" s="2" t="b">
        <f t="shared" ref="Y71" si="1211">AND(NOT(K70), NOT(J70))</f>
        <v>0</v>
      </c>
      <c r="Z71" s="2" t="b">
        <f t="shared" ref="Z71" si="1212">J71</f>
        <v>0</v>
      </c>
      <c r="AC71" s="2" t="b">
        <f t="shared" ref="AC71" si="1213">NOT(K71)</f>
        <v>0</v>
      </c>
      <c r="AD71" s="2" t="b">
        <f t="shared" ref="AD71" si="1214">OR(I71, J71)</f>
        <v>0</v>
      </c>
      <c r="AE71" s="2" t="b">
        <f t="shared" ref="AE71" si="1215">NOT(K71)</f>
        <v>0</v>
      </c>
      <c r="AF71" s="2" t="b">
        <f t="shared" ref="AF71" si="1216">OR(I71, J71)</f>
        <v>0</v>
      </c>
      <c r="AI71" s="2" t="b">
        <f t="shared" ref="AI71" si="1217">AND(OR(I71, J71), NOT(K71))</f>
        <v>0</v>
      </c>
      <c r="AJ71" s="2" t="b">
        <f t="shared" ref="AJ71" si="1218">J71</f>
        <v>0</v>
      </c>
      <c r="AK71" s="2" t="b">
        <f t="shared" ref="AK71" si="1219">J71</f>
        <v>0</v>
      </c>
      <c r="AN71" s="2" t="b">
        <f t="shared" ref="AN71:AN72" si="1220">K71</f>
        <v>1</v>
      </c>
      <c r="AO71" s="2" t="b">
        <f t="shared" ref="AO71:AO72" si="1221">K71</f>
        <v>1</v>
      </c>
      <c r="AR71" s="2" t="b">
        <f t="shared" si="1176"/>
        <v>0</v>
      </c>
      <c r="AS71" s="2" t="b">
        <f t="shared" ref="AS71" si="1222">J71</f>
        <v>0</v>
      </c>
      <c r="AT71" s="2" t="b">
        <f t="shared" ref="AT71" si="1223">J71</f>
        <v>0</v>
      </c>
      <c r="AW71" s="2" t="b">
        <f t="shared" ref="AW71:AW72" si="1224">K71</f>
        <v>1</v>
      </c>
      <c r="AX71" s="2" t="b">
        <f t="shared" ref="AX71:AX72" si="1225">K71</f>
        <v>1</v>
      </c>
      <c r="AY71" s="2" t="b">
        <f t="shared" ref="AY71:AY72" si="1226">K71</f>
        <v>1</v>
      </c>
    </row>
    <row r="72" spans="2:54" ht="18" customHeight="1" x14ac:dyDescent="0.3">
      <c r="B72" s="412"/>
      <c r="C72" s="332"/>
      <c r="D72" s="332"/>
      <c r="E72" s="2" t="s">
        <v>236</v>
      </c>
      <c r="F72" s="2" t="str">
        <f>IF('One-Off Entries'!P22 &lt;&gt; "", LEFT('One-Off Entries'!P22, 1), "")</f>
        <v/>
      </c>
      <c r="G72" s="2" t="b">
        <f t="shared" si="1207"/>
        <v>0</v>
      </c>
      <c r="H72" s="2" t="b">
        <f t="shared" si="1182"/>
        <v>0</v>
      </c>
      <c r="I72" s="2" t="b">
        <f t="shared" si="1183"/>
        <v>0</v>
      </c>
      <c r="J72" s="2" t="b">
        <f t="shared" si="1184"/>
        <v>0</v>
      </c>
      <c r="K72" s="27" t="b">
        <f t="shared" si="1185"/>
        <v>1</v>
      </c>
      <c r="L72" s="412"/>
      <c r="O72" s="1" t="s">
        <v>388</v>
      </c>
      <c r="P72" s="1" t="b">
        <f t="shared" ref="P72" si="1227">IF(SUM(Q69:Q72) &gt; 1, TRUE, FALSE)</f>
        <v>0</v>
      </c>
      <c r="Q72" s="1">
        <f t="shared" si="1187"/>
        <v>0</v>
      </c>
      <c r="T72" s="2" t="b">
        <f>IF(D69 = 0, FALSE, IF(C69 = 1, CHOOSE(D69, W72, X72, Y72, Z72), IF(C69 = 2, IF(BB72 = "Rolex 24 at Daytona", CHOOSE(D69, AC72, AD72, AE72, AF72), K72), IF(C69 = 3, CHOOSE(D69, AI72, AJ72, AK72), IF(C69 = 4, CHOOSE(D69, AN72, AO72), IF(C69 = 5, CHOOSE(D69, AR72, AS72, AT72), IF(C69 = 7, CHOOSE(D69, AW72, AX72, AY72), FALSE)))))))</f>
        <v>0</v>
      </c>
      <c r="W72" s="2" t="b">
        <f t="shared" ref="W72" si="1228">K72</f>
        <v>1</v>
      </c>
      <c r="X72" s="2" t="b">
        <f t="shared" ref="X72" si="1229">K72</f>
        <v>1</v>
      </c>
      <c r="Y72" s="2" t="b">
        <f t="shared" ref="Y72" si="1230">K72</f>
        <v>1</v>
      </c>
      <c r="Z72" s="2" t="b">
        <f t="shared" ref="Z72" si="1231">K72</f>
        <v>1</v>
      </c>
      <c r="AC72" s="2" t="b">
        <v>1</v>
      </c>
      <c r="AD72" s="2" t="b">
        <f t="shared" ref="AD72" si="1232">NOT(K72)</f>
        <v>0</v>
      </c>
      <c r="AE72" s="2" t="b">
        <v>1</v>
      </c>
      <c r="AF72" s="2" t="b">
        <f t="shared" ref="AF72" si="1233">NOT(K72)</f>
        <v>0</v>
      </c>
      <c r="AI72" s="2" t="b">
        <f t="shared" ref="AI72" si="1234">K72</f>
        <v>1</v>
      </c>
      <c r="AJ72" s="2" t="b">
        <f t="shared" ref="AJ72" si="1235">K72</f>
        <v>1</v>
      </c>
      <c r="AK72" s="2" t="b">
        <f t="shared" ref="AK72" si="1236">K72</f>
        <v>1</v>
      </c>
      <c r="AN72" s="2" t="b">
        <f t="shared" si="1220"/>
        <v>1</v>
      </c>
      <c r="AO72" s="2" t="b">
        <f t="shared" si="1221"/>
        <v>1</v>
      </c>
      <c r="AR72" s="2" t="b">
        <f t="shared" ref="AR72" si="1237">K72</f>
        <v>1</v>
      </c>
      <c r="AS72" s="2" t="b">
        <f t="shared" ref="AS72" si="1238">K72</f>
        <v>1</v>
      </c>
      <c r="AT72" s="2" t="b">
        <f t="shared" ref="AT72" si="1239">K72</f>
        <v>1</v>
      </c>
      <c r="AW72" s="2" t="b">
        <f t="shared" si="1224"/>
        <v>1</v>
      </c>
      <c r="AX72" s="2" t="b">
        <f t="shared" si="1225"/>
        <v>1</v>
      </c>
      <c r="AY72" s="2" t="b">
        <f t="shared" si="1226"/>
        <v>1</v>
      </c>
      <c r="BB72" s="1">
        <f>'One-Off Entries'!C22</f>
        <v>0</v>
      </c>
    </row>
    <row r="73" spans="2:54" ht="18" hidden="1" customHeight="1" x14ac:dyDescent="0.3">
      <c r="B73" s="415">
        <v>18</v>
      </c>
      <c r="C73" s="332">
        <f>'One-Off Entries'!AI23</f>
        <v>0</v>
      </c>
      <c r="D73" s="332">
        <f>'One-Off Entries'!AJ23</f>
        <v>0</v>
      </c>
      <c r="E73" s="2" t="s">
        <v>233</v>
      </c>
      <c r="F73" s="2" t="str">
        <f>IF('One-Off Entries'!M23 &lt;&gt; "", LEFT('One-Off Entries'!M23, 1), "")</f>
        <v/>
      </c>
      <c r="G73" s="2" t="b">
        <f>IF(F73 = "P", TRUE, FALSE)</f>
        <v>0</v>
      </c>
      <c r="H73" s="2" t="b">
        <f>IF(F73 = "G", TRUE, FALSE)</f>
        <v>0</v>
      </c>
      <c r="I73" s="2" t="b">
        <f>IF(F73 = "S", TRUE, FALSE)</f>
        <v>0</v>
      </c>
      <c r="J73" s="2" t="b">
        <f>IF(F73 = "B", TRUE, FALSE)</f>
        <v>0</v>
      </c>
      <c r="K73" s="27" t="b">
        <f>IF(AND(IF(G73 = FALSE, TRUE, FALSE), IF(H73 = FALSE, TRUE, FALSE), IF(I73 = FALSE, TRUE, FALSE), IF(J73 = FALSE, TRUE, FALSE)) = TRUE, TRUE, FALSE)</f>
        <v>1</v>
      </c>
      <c r="L73" s="415" t="str">
        <f>IF(P73, "", IF(AND(P74, P75), AND(T73, T74, T75, T76), AND(NOT(P76), T73, T74, T75, T76)))</f>
        <v/>
      </c>
      <c r="O73" s="1" t="s">
        <v>232</v>
      </c>
      <c r="P73" s="1" t="b">
        <f t="shared" ref="P73" si="1240">AND(K73, K74, K75, K76)</f>
        <v>1</v>
      </c>
      <c r="Q73" s="1">
        <f t="shared" si="1187"/>
        <v>0</v>
      </c>
      <c r="T73" s="2" t="b">
        <f t="shared" ref="T73" si="1241">IF(D73 = 0, FALSE, IF(C73 = 1, CHOOSE(D73, W73, X73, Y73, Z73), IF(C73 = 2, CHOOSE(D73, AC73, AD73, AE73, AF73), IF(C73 = 3, CHOOSE(D73, AI73, AJ73, AK73), IF(C73 = 4, CHOOSE(D73, AN73, AO73), IF(C73 = 5, CHOOSE(D73, AR73, AS73, AT73), IF(C73 = 7, CHOOSE(D73, AW73, AX73, AY73), FALSE)))))))</f>
        <v>0</v>
      </c>
      <c r="W73" s="2" t="b">
        <f t="shared" ref="W73" si="1242">AND(NOT(I73), NOT(K73), NOT(J73))</f>
        <v>0</v>
      </c>
      <c r="X73" s="2" t="b">
        <f t="shared" ref="X73" si="1243">AND(NOT(I73), NOT(K73), NOT(J73))</f>
        <v>0</v>
      </c>
      <c r="Y73" s="2" t="b">
        <f t="shared" ref="Y73" si="1244">AND(NOT(I73), NOT(K73), NOT(J73))</f>
        <v>0</v>
      </c>
      <c r="Z73" s="2" t="b">
        <f t="shared" ref="Z73" si="1245">AND(NOT(I73), NOT(K73), NOT(J73))</f>
        <v>0</v>
      </c>
      <c r="AC73" s="2" t="b">
        <f t="shared" ref="AC73" si="1246">AND(NOT(I73), NOT(K73), NOT(J73))</f>
        <v>0</v>
      </c>
      <c r="AD73" s="2" t="b">
        <f t="shared" ref="AD73" si="1247">AND(NOT(G73), NOT(K73), NOT(J73))</f>
        <v>0</v>
      </c>
      <c r="AE73" s="2" t="b">
        <f t="shared" ref="AE73" si="1248">AND(NOT(I73), NOT(K73), NOT(J73))</f>
        <v>0</v>
      </c>
      <c r="AF73" s="2" t="b">
        <f t="shared" ref="AF73" si="1249">AND(NOT(I73), NOT(K73), NOT(J73))</f>
        <v>0</v>
      </c>
      <c r="AI73" s="2" t="b">
        <f t="shared" ref="AI73" si="1250">AND(NOT(I73), NOT(K73), NOT(J73))</f>
        <v>0</v>
      </c>
      <c r="AJ73" s="2" t="b">
        <f t="shared" ref="AJ73" si="1251">AND(NOT(J73), NOT(K73))</f>
        <v>0</v>
      </c>
      <c r="AK73" s="2" t="b">
        <f t="shared" ref="AK73" si="1252">AND(NOT(I73), NOT(K73), NOT(J73))</f>
        <v>0</v>
      </c>
      <c r="AN73" s="2" t="b">
        <f t="shared" ref="AN73" si="1253">AND(NOT(I73), NOT(K73), NOT(J73))</f>
        <v>0</v>
      </c>
      <c r="AO73" s="2" t="b">
        <f t="shared" ref="AO73" si="1254">AND(NOT(G73), NOT(J73), NOT(K73))</f>
        <v>0</v>
      </c>
      <c r="AR73" s="2" t="b">
        <f t="shared" ref="AR73:AR75" si="1255">AND(NOT(J73), NOT(K73))</f>
        <v>0</v>
      </c>
      <c r="AS73" s="2" t="b">
        <f t="shared" ref="AS73" si="1256">AND(NOT(I73), NOT(K73), NOT(J73))</f>
        <v>0</v>
      </c>
      <c r="AT73" s="2" t="b">
        <f t="shared" ref="AT73" si="1257">AND(NOT(G73), NOT(J73), NOT(K73))</f>
        <v>0</v>
      </c>
      <c r="AW73" s="2" t="b">
        <f t="shared" ref="AW73" si="1258">AND(NOT(G73), NOT(J73), NOT(K73))</f>
        <v>0</v>
      </c>
      <c r="AX73" s="2" t="b">
        <f t="shared" ref="AX73" si="1259">AND(NOT(J73), NOT(K73))</f>
        <v>0</v>
      </c>
      <c r="AY73" s="2" t="b">
        <f t="shared" ref="AY73" si="1260">AND(NOT(G73), NOT(J73), NOT(K73))</f>
        <v>0</v>
      </c>
    </row>
    <row r="74" spans="2:54" ht="18" hidden="1" customHeight="1" x14ac:dyDescent="0.3">
      <c r="B74" s="416"/>
      <c r="C74" s="332"/>
      <c r="D74" s="332"/>
      <c r="E74" s="2" t="s">
        <v>234</v>
      </c>
      <c r="F74" s="2" t="str">
        <f>IF('One-Off Entries'!N23 &lt;&gt; "", LEFT('One-Off Entries'!N23, 1), "")</f>
        <v/>
      </c>
      <c r="G74" s="2" t="b">
        <f t="shared" ref="G74:G76" si="1261">IF(F74 = "P", TRUE, FALSE)</f>
        <v>0</v>
      </c>
      <c r="H74" s="2" t="b">
        <f t="shared" ref="H74:H76" si="1262">IF(F74 = "G", TRUE, FALSE)</f>
        <v>0</v>
      </c>
      <c r="I74" s="2" t="b">
        <f t="shared" ref="I74:I76" si="1263">IF(F74 = "S", TRUE, FALSE)</f>
        <v>0</v>
      </c>
      <c r="J74" s="2" t="b">
        <f t="shared" ref="J74:J76" si="1264">IF(F74 = "B", TRUE, FALSE)</f>
        <v>0</v>
      </c>
      <c r="K74" s="27" t="b">
        <f t="shared" ref="K74:K76" si="1265">IF(AND(IF(G74 = FALSE, TRUE, FALSE), IF(H74 = FALSE, TRUE, FALSE), IF(I74 = FALSE, TRUE, FALSE), IF(J74 = FALSE, TRUE, FALSE)) = TRUE, TRUE, FALSE)</f>
        <v>1</v>
      </c>
      <c r="L74" s="416"/>
      <c r="O74" s="1" t="s">
        <v>386</v>
      </c>
      <c r="P74" s="1" t="b">
        <f t="shared" ref="P74" si="1266">OR(IF(C73 = 2, TRUE, FALSE), IF(C73 = 2.2, TRUE, FALSE))</f>
        <v>0</v>
      </c>
      <c r="Q74" s="1">
        <f t="shared" si="1187"/>
        <v>0</v>
      </c>
      <c r="T74" s="2" t="b">
        <f t="shared" ref="T74" si="1267">IF(D73 = 0, FALSE, IF(C73 = 1, CHOOSE(D73, W74, X74, Y74, Z74), IF(C73 = 2, CHOOSE(D73, AC74, AD74, AE74, AF74), IF(C73 = 3, CHOOSE(D73, AI74, AJ74, AK74), IF(C73 = 4, CHOOSE(D73, AN74, AO74), IF(C73 = 5, CHOOSE(D73, AR74, AS74, AT74), IF(C73 = 7, CHOOSE(D73, AW74, AX74, AY74), FALSE)))))))</f>
        <v>0</v>
      </c>
      <c r="W74" s="2" t="b">
        <f t="shared" ref="W74:W75" si="1268">AND(NOT(K74), NOT(J74))</f>
        <v>0</v>
      </c>
      <c r="X74" s="2" t="b">
        <f t="shared" ref="X74" si="1269">NOT(K73)</f>
        <v>0</v>
      </c>
      <c r="Y74" s="2" t="b">
        <f t="shared" ref="Y74" si="1270">AND(NOT(K74), NOT(J74))</f>
        <v>0</v>
      </c>
      <c r="Z74" s="2" t="b">
        <f t="shared" ref="Z74" si="1271">OR(I74, J74)</f>
        <v>0</v>
      </c>
      <c r="AC74" s="2" t="b">
        <f t="shared" ref="AC74" si="1272">AND(NOT(K74), NOT(J74))</f>
        <v>0</v>
      </c>
      <c r="AD74" s="2" t="b">
        <f t="shared" ref="AD74" si="1273">J74</f>
        <v>0</v>
      </c>
      <c r="AE74" s="2" t="b">
        <f t="shared" ref="AE74" si="1274">AND(NOT(K74), NOT(J74))</f>
        <v>0</v>
      </c>
      <c r="AF74" s="2" t="b">
        <f t="shared" ref="AF74" si="1275">J74</f>
        <v>0</v>
      </c>
      <c r="AI74" s="2" t="b">
        <f t="shared" ref="AI74" si="1276">AND(NOT(J74), NOT(K74))</f>
        <v>0</v>
      </c>
      <c r="AJ74" s="2" t="b">
        <f t="shared" ref="AJ74" si="1277">OR(I74, J74)</f>
        <v>0</v>
      </c>
      <c r="AK74" s="2" t="b">
        <f t="shared" ref="AK74" si="1278">OR(I74, J74)</f>
        <v>0</v>
      </c>
      <c r="AN74" s="2" t="b">
        <f t="shared" ref="AN74" si="1279">OR(I74, J74)</f>
        <v>0</v>
      </c>
      <c r="AO74" s="2" t="b">
        <f t="shared" ref="AO74" si="1280">J74</f>
        <v>0</v>
      </c>
      <c r="AR74" s="2" t="b">
        <f t="shared" si="1255"/>
        <v>0</v>
      </c>
      <c r="AS74" s="2" t="b">
        <f t="shared" ref="AS74" si="1281">OR(I74, J74)</f>
        <v>0</v>
      </c>
      <c r="AT74" s="2" t="b">
        <f t="shared" ref="AT74" si="1282">OR(I74, J74)</f>
        <v>0</v>
      </c>
      <c r="AW74" s="2" t="b">
        <f t="shared" ref="AW74" si="1283">J74</f>
        <v>0</v>
      </c>
      <c r="AX74" s="2" t="b">
        <f t="shared" ref="AX74" si="1284">J74</f>
        <v>0</v>
      </c>
      <c r="AY74" s="2" t="b">
        <f t="shared" ref="AY74" si="1285">J74</f>
        <v>0</v>
      </c>
    </row>
    <row r="75" spans="2:54" ht="18" hidden="1" customHeight="1" x14ac:dyDescent="0.3">
      <c r="B75" s="416"/>
      <c r="C75" s="332"/>
      <c r="D75" s="332"/>
      <c r="E75" s="2" t="s">
        <v>235</v>
      </c>
      <c r="F75" s="2" t="str">
        <f>IF('One-Off Entries'!O23 &lt;&gt; "", LEFT('One-Off Entries'!O23, 1), "")</f>
        <v/>
      </c>
      <c r="G75" s="2" t="b">
        <f t="shared" si="1261"/>
        <v>0</v>
      </c>
      <c r="H75" s="2" t="b">
        <f t="shared" si="1262"/>
        <v>0</v>
      </c>
      <c r="I75" s="2" t="b">
        <f t="shared" si="1263"/>
        <v>0</v>
      </c>
      <c r="J75" s="2" t="b">
        <f t="shared" si="1264"/>
        <v>0</v>
      </c>
      <c r="K75" s="27" t="b">
        <f t="shared" si="1265"/>
        <v>1</v>
      </c>
      <c r="L75" s="416"/>
      <c r="O75" s="1" t="s">
        <v>387</v>
      </c>
      <c r="P75" s="1" t="b">
        <f t="shared" ref="P75" si="1286">OR(IF(D73 = 2, TRUE, FALSE), IF(D73 = 4, TRUE, FALSE))</f>
        <v>0</v>
      </c>
      <c r="Q75" s="1">
        <f t="shared" si="1187"/>
        <v>0</v>
      </c>
      <c r="T75" s="2" t="b">
        <f t="shared" ref="T75" si="1287">IF(D73 = 0, FALSE, IF(C73 = 1, CHOOSE(D73, W75, X75, Y75, Z75), IF(C73 = 2, CHOOSE(D73, AC75, AD75, AE75, AF75), IF(C73 = 3, CHOOSE(D73, AI75, AJ75, AK75), IF(C73 = 4, CHOOSE(D73, AN75, AO75), IF(C73 = 5, CHOOSE(D73, AR75, AS75, AT75), IF(C73 = 7, CHOOSE(D73, AW75, AX75, AY75), FALSE)))))))</f>
        <v>0</v>
      </c>
      <c r="W75" s="2" t="b">
        <f t="shared" si="1268"/>
        <v>0</v>
      </c>
      <c r="X75" s="2" t="b">
        <f t="shared" ref="X75" si="1288">OR(I75, J75)</f>
        <v>0</v>
      </c>
      <c r="Y75" s="2" t="b">
        <f t="shared" ref="Y75" si="1289">AND(NOT(K74), NOT(J74))</f>
        <v>0</v>
      </c>
      <c r="Z75" s="2" t="b">
        <f t="shared" ref="Z75" si="1290">J75</f>
        <v>0</v>
      </c>
      <c r="AC75" s="2" t="b">
        <f t="shared" ref="AC75" si="1291">NOT(K75)</f>
        <v>0</v>
      </c>
      <c r="AD75" s="2" t="b">
        <f t="shared" ref="AD75" si="1292">OR(I75, J75)</f>
        <v>0</v>
      </c>
      <c r="AE75" s="2" t="b">
        <f t="shared" ref="AE75" si="1293">NOT(K75)</f>
        <v>0</v>
      </c>
      <c r="AF75" s="2" t="b">
        <f t="shared" ref="AF75" si="1294">OR(I75, J75)</f>
        <v>0</v>
      </c>
      <c r="AI75" s="2" t="b">
        <f t="shared" ref="AI75" si="1295">AND(OR(I75, J75), NOT(K75))</f>
        <v>0</v>
      </c>
      <c r="AJ75" s="2" t="b">
        <f t="shared" ref="AJ75" si="1296">J75</f>
        <v>0</v>
      </c>
      <c r="AK75" s="2" t="b">
        <f t="shared" ref="AK75" si="1297">J75</f>
        <v>0</v>
      </c>
      <c r="AN75" s="2" t="b">
        <f t="shared" ref="AN75:AN76" si="1298">K75</f>
        <v>1</v>
      </c>
      <c r="AO75" s="2" t="b">
        <f t="shared" ref="AO75:AO76" si="1299">K75</f>
        <v>1</v>
      </c>
      <c r="AR75" s="2" t="b">
        <f t="shared" si="1255"/>
        <v>0</v>
      </c>
      <c r="AS75" s="2" t="b">
        <f t="shared" ref="AS75" si="1300">J75</f>
        <v>0</v>
      </c>
      <c r="AT75" s="2" t="b">
        <f t="shared" ref="AT75" si="1301">J75</f>
        <v>0</v>
      </c>
      <c r="AW75" s="2" t="b">
        <f t="shared" ref="AW75:AW76" si="1302">K75</f>
        <v>1</v>
      </c>
      <c r="AX75" s="2" t="b">
        <f t="shared" ref="AX75:AX76" si="1303">K75</f>
        <v>1</v>
      </c>
      <c r="AY75" s="2" t="b">
        <f t="shared" ref="AY75:AY76" si="1304">K75</f>
        <v>1</v>
      </c>
    </row>
    <row r="76" spans="2:54" ht="18" customHeight="1" x14ac:dyDescent="0.3">
      <c r="B76" s="412"/>
      <c r="C76" s="332"/>
      <c r="D76" s="332"/>
      <c r="E76" s="2" t="s">
        <v>236</v>
      </c>
      <c r="F76" s="2" t="str">
        <f>IF('One-Off Entries'!P23 &lt;&gt; "", LEFT('One-Off Entries'!P23, 1), "")</f>
        <v/>
      </c>
      <c r="G76" s="2" t="b">
        <f t="shared" si="1261"/>
        <v>0</v>
      </c>
      <c r="H76" s="2" t="b">
        <f t="shared" si="1262"/>
        <v>0</v>
      </c>
      <c r="I76" s="2" t="b">
        <f t="shared" si="1263"/>
        <v>0</v>
      </c>
      <c r="J76" s="2" t="b">
        <f t="shared" si="1264"/>
        <v>0</v>
      </c>
      <c r="K76" s="27" t="b">
        <f t="shared" si="1265"/>
        <v>1</v>
      </c>
      <c r="L76" s="412"/>
      <c r="O76" s="1" t="s">
        <v>388</v>
      </c>
      <c r="P76" s="1" t="b">
        <f t="shared" ref="P76" si="1305">IF(SUM(Q73:Q76) &gt; 1, TRUE, FALSE)</f>
        <v>0</v>
      </c>
      <c r="Q76" s="1">
        <f t="shared" si="1187"/>
        <v>0</v>
      </c>
      <c r="T76" s="2" t="b">
        <f>IF(D73 = 0, FALSE, IF(C73 = 1, CHOOSE(D73, W76, X76, Y76, Z76), IF(C73 = 2, IF(BB76 = "Rolex 24 at Daytona", CHOOSE(D73, AC76, AD76, AE76, AF76), K76), IF(C73 = 3, CHOOSE(D73, AI76, AJ76, AK76), IF(C73 = 4, CHOOSE(D73, AN76, AO76), IF(C73 = 5, CHOOSE(D73, AR76, AS76, AT76), IF(C73 = 7, CHOOSE(D73, AW76, AX76, AY76), FALSE)))))))</f>
        <v>0</v>
      </c>
      <c r="W76" s="2" t="b">
        <f t="shared" ref="W76" si="1306">K76</f>
        <v>1</v>
      </c>
      <c r="X76" s="2" t="b">
        <f t="shared" ref="X76" si="1307">K76</f>
        <v>1</v>
      </c>
      <c r="Y76" s="2" t="b">
        <f t="shared" ref="Y76" si="1308">K76</f>
        <v>1</v>
      </c>
      <c r="Z76" s="2" t="b">
        <f t="shared" ref="Z76" si="1309">K76</f>
        <v>1</v>
      </c>
      <c r="AC76" s="2" t="b">
        <v>1</v>
      </c>
      <c r="AD76" s="2" t="b">
        <f t="shared" ref="AD76" si="1310">NOT(K76)</f>
        <v>0</v>
      </c>
      <c r="AE76" s="2" t="b">
        <v>1</v>
      </c>
      <c r="AF76" s="2" t="b">
        <f t="shared" ref="AF76" si="1311">NOT(K76)</f>
        <v>0</v>
      </c>
      <c r="AI76" s="2" t="b">
        <f t="shared" ref="AI76" si="1312">K76</f>
        <v>1</v>
      </c>
      <c r="AJ76" s="2" t="b">
        <f t="shared" ref="AJ76" si="1313">K76</f>
        <v>1</v>
      </c>
      <c r="AK76" s="2" t="b">
        <f t="shared" ref="AK76" si="1314">K76</f>
        <v>1</v>
      </c>
      <c r="AN76" s="2" t="b">
        <f t="shared" si="1298"/>
        <v>1</v>
      </c>
      <c r="AO76" s="2" t="b">
        <f t="shared" si="1299"/>
        <v>1</v>
      </c>
      <c r="AR76" s="2" t="b">
        <f t="shared" ref="AR76" si="1315">K76</f>
        <v>1</v>
      </c>
      <c r="AS76" s="2" t="b">
        <f t="shared" ref="AS76" si="1316">K76</f>
        <v>1</v>
      </c>
      <c r="AT76" s="2" t="b">
        <f t="shared" ref="AT76" si="1317">K76</f>
        <v>1</v>
      </c>
      <c r="AW76" s="2" t="b">
        <f t="shared" si="1302"/>
        <v>1</v>
      </c>
      <c r="AX76" s="2" t="b">
        <f t="shared" si="1303"/>
        <v>1</v>
      </c>
      <c r="AY76" s="2" t="b">
        <f t="shared" si="1304"/>
        <v>1</v>
      </c>
      <c r="BB76" s="1">
        <f>'One-Off Entries'!C23</f>
        <v>0</v>
      </c>
    </row>
    <row r="77" spans="2:54" ht="18" hidden="1" customHeight="1" x14ac:dyDescent="0.3">
      <c r="B77" s="415">
        <v>19</v>
      </c>
      <c r="C77" s="332">
        <f>'One-Off Entries'!AI24</f>
        <v>0</v>
      </c>
      <c r="D77" s="332">
        <f>'One-Off Entries'!AJ24</f>
        <v>0</v>
      </c>
      <c r="E77" s="2" t="s">
        <v>233</v>
      </c>
      <c r="F77" s="2" t="str">
        <f>IF('One-Off Entries'!M24 &lt;&gt; "", LEFT('One-Off Entries'!M24, 1), "")</f>
        <v/>
      </c>
      <c r="G77" s="2" t="b">
        <f>IF(F77 = "P", TRUE, FALSE)</f>
        <v>0</v>
      </c>
      <c r="H77" s="2" t="b">
        <f>IF(F77 = "G", TRUE, FALSE)</f>
        <v>0</v>
      </c>
      <c r="I77" s="2" t="b">
        <f>IF(F77 = "S", TRUE, FALSE)</f>
        <v>0</v>
      </c>
      <c r="J77" s="2" t="b">
        <f>IF(F77 = "B", TRUE, FALSE)</f>
        <v>0</v>
      </c>
      <c r="K77" s="27" t="b">
        <f>IF(AND(IF(G77 = FALSE, TRUE, FALSE), IF(H77 = FALSE, TRUE, FALSE), IF(I77 = FALSE, TRUE, FALSE), IF(J77 = FALSE, TRUE, FALSE)) = TRUE, TRUE, FALSE)</f>
        <v>1</v>
      </c>
      <c r="L77" s="415" t="str">
        <f>IF(P77, "", IF(AND(P78, P79), AND(T77, T78, T79, T80), AND(NOT(P80), T77, T78, T79, T80)))</f>
        <v/>
      </c>
      <c r="O77" s="1" t="s">
        <v>232</v>
      </c>
      <c r="P77" s="1" t="b">
        <f t="shared" ref="P77" si="1318">AND(K77, K78, K79, K80)</f>
        <v>1</v>
      </c>
      <c r="Q77" s="1">
        <f t="shared" si="1187"/>
        <v>0</v>
      </c>
      <c r="T77" s="2" t="b">
        <f t="shared" ref="T77" si="1319">IF(D77 = 0, FALSE, IF(C77 = 1, CHOOSE(D77, W77, X77, Y77, Z77), IF(C77 = 2, CHOOSE(D77, AC77, AD77, AE77, AF77), IF(C77 = 3, CHOOSE(D77, AI77, AJ77, AK77), IF(C77 = 4, CHOOSE(D77, AN77, AO77), IF(C77 = 5, CHOOSE(D77, AR77, AS77, AT77), IF(C77 = 7, CHOOSE(D77, AW77, AX77, AY77), FALSE)))))))</f>
        <v>0</v>
      </c>
      <c r="W77" s="2" t="b">
        <f t="shared" ref="W77" si="1320">AND(NOT(I77), NOT(K77), NOT(J77))</f>
        <v>0</v>
      </c>
      <c r="X77" s="2" t="b">
        <f t="shared" ref="X77" si="1321">AND(NOT(I77), NOT(K77), NOT(J77))</f>
        <v>0</v>
      </c>
      <c r="Y77" s="2" t="b">
        <f t="shared" ref="Y77" si="1322">AND(NOT(I77), NOT(K77), NOT(J77))</f>
        <v>0</v>
      </c>
      <c r="Z77" s="2" t="b">
        <f t="shared" ref="Z77" si="1323">AND(NOT(I77), NOT(K77), NOT(J77))</f>
        <v>0</v>
      </c>
      <c r="AC77" s="2" t="b">
        <f t="shared" ref="AC77" si="1324">AND(NOT(I77), NOT(K77), NOT(J77))</f>
        <v>0</v>
      </c>
      <c r="AD77" s="2" t="b">
        <f t="shared" ref="AD77" si="1325">AND(NOT(G77), NOT(K77), NOT(J77))</f>
        <v>0</v>
      </c>
      <c r="AE77" s="2" t="b">
        <f t="shared" ref="AE77" si="1326">AND(NOT(I77), NOT(K77), NOT(J77))</f>
        <v>0</v>
      </c>
      <c r="AF77" s="2" t="b">
        <f t="shared" ref="AF77" si="1327">AND(NOT(I77), NOT(K77), NOT(J77))</f>
        <v>0</v>
      </c>
      <c r="AI77" s="2" t="b">
        <f t="shared" ref="AI77" si="1328">AND(NOT(I77), NOT(K77), NOT(J77))</f>
        <v>0</v>
      </c>
      <c r="AJ77" s="2" t="b">
        <f t="shared" ref="AJ77" si="1329">AND(NOT(J77), NOT(K77))</f>
        <v>0</v>
      </c>
      <c r="AK77" s="2" t="b">
        <f t="shared" ref="AK77" si="1330">AND(NOT(I77), NOT(K77), NOT(J77))</f>
        <v>0</v>
      </c>
      <c r="AN77" s="2" t="b">
        <f t="shared" ref="AN77" si="1331">AND(NOT(I77), NOT(K77), NOT(J77))</f>
        <v>0</v>
      </c>
      <c r="AO77" s="2" t="b">
        <f t="shared" ref="AO77" si="1332">AND(NOT(G77), NOT(J77), NOT(K77))</f>
        <v>0</v>
      </c>
      <c r="AR77" s="2" t="b">
        <f t="shared" ref="AR77:AR79" si="1333">AND(NOT(J77), NOT(K77))</f>
        <v>0</v>
      </c>
      <c r="AS77" s="2" t="b">
        <f t="shared" ref="AS77" si="1334">AND(NOT(I77), NOT(K77), NOT(J77))</f>
        <v>0</v>
      </c>
      <c r="AT77" s="2" t="b">
        <f t="shared" ref="AT77" si="1335">AND(NOT(G77), NOT(J77), NOT(K77))</f>
        <v>0</v>
      </c>
      <c r="AW77" s="2" t="b">
        <f t="shared" ref="AW77" si="1336">AND(NOT(G77), NOT(J77), NOT(K77))</f>
        <v>0</v>
      </c>
      <c r="AX77" s="2" t="b">
        <f t="shared" ref="AX77" si="1337">AND(NOT(J77), NOT(K77))</f>
        <v>0</v>
      </c>
      <c r="AY77" s="2" t="b">
        <f t="shared" ref="AY77" si="1338">AND(NOT(G77), NOT(J77), NOT(K77))</f>
        <v>0</v>
      </c>
    </row>
    <row r="78" spans="2:54" ht="18" hidden="1" customHeight="1" x14ac:dyDescent="0.3">
      <c r="B78" s="416"/>
      <c r="C78" s="332"/>
      <c r="D78" s="332"/>
      <c r="E78" s="2" t="s">
        <v>234</v>
      </c>
      <c r="F78" s="2" t="str">
        <f>IF('One-Off Entries'!N24 &lt;&gt; "", LEFT('One-Off Entries'!N24, 1), "")</f>
        <v/>
      </c>
      <c r="G78" s="2" t="b">
        <f t="shared" ref="G78:G80" si="1339">IF(F78 = "P", TRUE, FALSE)</f>
        <v>0</v>
      </c>
      <c r="H78" s="2" t="b">
        <f t="shared" ref="H78:H80" si="1340">IF(F78 = "G", TRUE, FALSE)</f>
        <v>0</v>
      </c>
      <c r="I78" s="2" t="b">
        <f t="shared" ref="I78:I80" si="1341">IF(F78 = "S", TRUE, FALSE)</f>
        <v>0</v>
      </c>
      <c r="J78" s="2" t="b">
        <f t="shared" ref="J78:J80" si="1342">IF(F78 = "B", TRUE, FALSE)</f>
        <v>0</v>
      </c>
      <c r="K78" s="27" t="b">
        <f t="shared" ref="K78:K80" si="1343">IF(AND(IF(G78 = FALSE, TRUE, FALSE), IF(H78 = FALSE, TRUE, FALSE), IF(I78 = FALSE, TRUE, FALSE), IF(J78 = FALSE, TRUE, FALSE)) = TRUE, TRUE, FALSE)</f>
        <v>1</v>
      </c>
      <c r="L78" s="416"/>
      <c r="O78" s="1" t="s">
        <v>386</v>
      </c>
      <c r="P78" s="1" t="b">
        <f t="shared" ref="P78" si="1344">OR(IF(C77 = 2, TRUE, FALSE), IF(C77 = 2.2, TRUE, FALSE))</f>
        <v>0</v>
      </c>
      <c r="Q78" s="1">
        <f t="shared" si="1187"/>
        <v>0</v>
      </c>
      <c r="T78" s="2" t="b">
        <f t="shared" ref="T78" si="1345">IF(D77 = 0, FALSE, IF(C77 = 1, CHOOSE(D77, W78, X78, Y78, Z78), IF(C77 = 2, CHOOSE(D77, AC78, AD78, AE78, AF78), IF(C77 = 3, CHOOSE(D77, AI78, AJ78, AK78), IF(C77 = 4, CHOOSE(D77, AN78, AO78), IF(C77 = 5, CHOOSE(D77, AR78, AS78, AT78), IF(C77 = 7, CHOOSE(D77, AW78, AX78, AY78), FALSE)))))))</f>
        <v>0</v>
      </c>
      <c r="W78" s="2" t="b">
        <f t="shared" ref="W78:W79" si="1346">AND(NOT(K78), NOT(J78))</f>
        <v>0</v>
      </c>
      <c r="X78" s="2" t="b">
        <f t="shared" ref="X78" si="1347">NOT(K77)</f>
        <v>0</v>
      </c>
      <c r="Y78" s="2" t="b">
        <f t="shared" ref="Y78" si="1348">AND(NOT(K78), NOT(J78))</f>
        <v>0</v>
      </c>
      <c r="Z78" s="2" t="b">
        <f t="shared" ref="Z78" si="1349">OR(I78, J78)</f>
        <v>0</v>
      </c>
      <c r="AC78" s="2" t="b">
        <f t="shared" ref="AC78" si="1350">AND(NOT(K78), NOT(J78))</f>
        <v>0</v>
      </c>
      <c r="AD78" s="2" t="b">
        <f t="shared" ref="AD78" si="1351">J78</f>
        <v>0</v>
      </c>
      <c r="AE78" s="2" t="b">
        <f t="shared" ref="AE78" si="1352">AND(NOT(K78), NOT(J78))</f>
        <v>0</v>
      </c>
      <c r="AF78" s="2" t="b">
        <f t="shared" ref="AF78" si="1353">J78</f>
        <v>0</v>
      </c>
      <c r="AI78" s="2" t="b">
        <f t="shared" ref="AI78" si="1354">AND(NOT(J78), NOT(K78))</f>
        <v>0</v>
      </c>
      <c r="AJ78" s="2" t="b">
        <f t="shared" ref="AJ78" si="1355">OR(I78, J78)</f>
        <v>0</v>
      </c>
      <c r="AK78" s="2" t="b">
        <f t="shared" ref="AK78" si="1356">OR(I78, J78)</f>
        <v>0</v>
      </c>
      <c r="AN78" s="2" t="b">
        <f t="shared" ref="AN78" si="1357">OR(I78, J78)</f>
        <v>0</v>
      </c>
      <c r="AO78" s="2" t="b">
        <f t="shared" ref="AO78" si="1358">J78</f>
        <v>0</v>
      </c>
      <c r="AR78" s="2" t="b">
        <f t="shared" si="1333"/>
        <v>0</v>
      </c>
      <c r="AS78" s="2" t="b">
        <f t="shared" ref="AS78" si="1359">OR(I78, J78)</f>
        <v>0</v>
      </c>
      <c r="AT78" s="2" t="b">
        <f t="shared" ref="AT78" si="1360">OR(I78, J78)</f>
        <v>0</v>
      </c>
      <c r="AW78" s="2" t="b">
        <f t="shared" ref="AW78" si="1361">J78</f>
        <v>0</v>
      </c>
      <c r="AX78" s="2" t="b">
        <f t="shared" ref="AX78" si="1362">J78</f>
        <v>0</v>
      </c>
      <c r="AY78" s="2" t="b">
        <f t="shared" ref="AY78" si="1363">J78</f>
        <v>0</v>
      </c>
    </row>
    <row r="79" spans="2:54" ht="18" hidden="1" customHeight="1" x14ac:dyDescent="0.3">
      <c r="B79" s="416"/>
      <c r="C79" s="332"/>
      <c r="D79" s="332"/>
      <c r="E79" s="2" t="s">
        <v>235</v>
      </c>
      <c r="F79" s="2" t="str">
        <f>IF('One-Off Entries'!O24 &lt;&gt; "", LEFT('One-Off Entries'!O24, 1), "")</f>
        <v/>
      </c>
      <c r="G79" s="2" t="b">
        <f t="shared" si="1339"/>
        <v>0</v>
      </c>
      <c r="H79" s="2" t="b">
        <f t="shared" si="1340"/>
        <v>0</v>
      </c>
      <c r="I79" s="2" t="b">
        <f t="shared" si="1341"/>
        <v>0</v>
      </c>
      <c r="J79" s="2" t="b">
        <f t="shared" si="1342"/>
        <v>0</v>
      </c>
      <c r="K79" s="27" t="b">
        <f t="shared" si="1343"/>
        <v>1</v>
      </c>
      <c r="L79" s="416"/>
      <c r="O79" s="1" t="s">
        <v>387</v>
      </c>
      <c r="P79" s="1" t="b">
        <f t="shared" ref="P79" si="1364">OR(IF(D77 = 2, TRUE, FALSE), IF(D77 = 4, TRUE, FALSE))</f>
        <v>0</v>
      </c>
      <c r="Q79" s="1">
        <f t="shared" si="1187"/>
        <v>0</v>
      </c>
      <c r="T79" s="2" t="b">
        <f t="shared" ref="T79" si="1365">IF(D77 = 0, FALSE, IF(C77 = 1, CHOOSE(D77, W79, X79, Y79, Z79), IF(C77 = 2, CHOOSE(D77, AC79, AD79, AE79, AF79), IF(C77 = 3, CHOOSE(D77, AI79, AJ79, AK79), IF(C77 = 4, CHOOSE(D77, AN79, AO79), IF(C77 = 5, CHOOSE(D77, AR79, AS79, AT79), IF(C77 = 7, CHOOSE(D77, AW79, AX79, AY79), FALSE)))))))</f>
        <v>0</v>
      </c>
      <c r="W79" s="2" t="b">
        <f t="shared" si="1346"/>
        <v>0</v>
      </c>
      <c r="X79" s="2" t="b">
        <f t="shared" ref="X79" si="1366">OR(I79, J79)</f>
        <v>0</v>
      </c>
      <c r="Y79" s="2" t="b">
        <f t="shared" ref="Y79" si="1367">AND(NOT(K78), NOT(J78))</f>
        <v>0</v>
      </c>
      <c r="Z79" s="2" t="b">
        <f t="shared" ref="Z79" si="1368">J79</f>
        <v>0</v>
      </c>
      <c r="AC79" s="2" t="b">
        <f t="shared" ref="AC79" si="1369">NOT(K79)</f>
        <v>0</v>
      </c>
      <c r="AD79" s="2" t="b">
        <f t="shared" ref="AD79" si="1370">OR(I79, J79)</f>
        <v>0</v>
      </c>
      <c r="AE79" s="2" t="b">
        <f t="shared" ref="AE79" si="1371">NOT(K79)</f>
        <v>0</v>
      </c>
      <c r="AF79" s="2" t="b">
        <f t="shared" ref="AF79" si="1372">OR(I79, J79)</f>
        <v>0</v>
      </c>
      <c r="AI79" s="2" t="b">
        <f t="shared" ref="AI79" si="1373">AND(OR(I79, J79), NOT(K79))</f>
        <v>0</v>
      </c>
      <c r="AJ79" s="2" t="b">
        <f t="shared" ref="AJ79" si="1374">J79</f>
        <v>0</v>
      </c>
      <c r="AK79" s="2" t="b">
        <f t="shared" ref="AK79" si="1375">J79</f>
        <v>0</v>
      </c>
      <c r="AN79" s="2" t="b">
        <f t="shared" ref="AN79:AN80" si="1376">K79</f>
        <v>1</v>
      </c>
      <c r="AO79" s="2" t="b">
        <f t="shared" ref="AO79:AO80" si="1377">K79</f>
        <v>1</v>
      </c>
      <c r="AR79" s="2" t="b">
        <f t="shared" si="1333"/>
        <v>0</v>
      </c>
      <c r="AS79" s="2" t="b">
        <f t="shared" ref="AS79" si="1378">J79</f>
        <v>0</v>
      </c>
      <c r="AT79" s="2" t="b">
        <f t="shared" ref="AT79" si="1379">J79</f>
        <v>0</v>
      </c>
      <c r="AW79" s="2" t="b">
        <f t="shared" ref="AW79:AW80" si="1380">K79</f>
        <v>1</v>
      </c>
      <c r="AX79" s="2" t="b">
        <f t="shared" ref="AX79:AX80" si="1381">K79</f>
        <v>1</v>
      </c>
      <c r="AY79" s="2" t="b">
        <f t="shared" ref="AY79:AY80" si="1382">K79</f>
        <v>1</v>
      </c>
    </row>
    <row r="80" spans="2:54" ht="18" customHeight="1" x14ac:dyDescent="0.3">
      <c r="B80" s="412"/>
      <c r="C80" s="332"/>
      <c r="D80" s="332"/>
      <c r="E80" s="2" t="s">
        <v>236</v>
      </c>
      <c r="F80" s="2" t="str">
        <f>IF('One-Off Entries'!P24 &lt;&gt; "", LEFT('One-Off Entries'!P24, 1), "")</f>
        <v/>
      </c>
      <c r="G80" s="2" t="b">
        <f t="shared" si="1339"/>
        <v>0</v>
      </c>
      <c r="H80" s="2" t="b">
        <f t="shared" si="1340"/>
        <v>0</v>
      </c>
      <c r="I80" s="2" t="b">
        <f t="shared" si="1341"/>
        <v>0</v>
      </c>
      <c r="J80" s="2" t="b">
        <f t="shared" si="1342"/>
        <v>0</v>
      </c>
      <c r="K80" s="27" t="b">
        <f t="shared" si="1343"/>
        <v>1</v>
      </c>
      <c r="L80" s="412"/>
      <c r="O80" s="1" t="s">
        <v>388</v>
      </c>
      <c r="P80" s="1" t="b">
        <f t="shared" ref="P80" si="1383">IF(SUM(Q77:Q80) &gt; 1, TRUE, FALSE)</f>
        <v>0</v>
      </c>
      <c r="Q80" s="1">
        <f t="shared" si="1187"/>
        <v>0</v>
      </c>
      <c r="T80" s="2" t="b">
        <f>IF(D77 = 0, FALSE, IF(C77 = 1, CHOOSE(D77, W80, X80, Y80, Z80), IF(C77 = 2, IF(BB80 = "Rolex 24 at Daytona", CHOOSE(D77, AC80, AD80, AE80, AF80), K80), IF(C77 = 3, CHOOSE(D77, AI80, AJ80, AK80), IF(C77 = 4, CHOOSE(D77, AN80, AO80), IF(C77 = 5, CHOOSE(D77, AR80, AS80, AT80), IF(C77 = 7, CHOOSE(D77, AW80, AX80, AY80), FALSE)))))))</f>
        <v>0</v>
      </c>
      <c r="W80" s="2" t="b">
        <f t="shared" ref="W80" si="1384">K80</f>
        <v>1</v>
      </c>
      <c r="X80" s="2" t="b">
        <f t="shared" ref="X80" si="1385">K80</f>
        <v>1</v>
      </c>
      <c r="Y80" s="2" t="b">
        <f t="shared" ref="Y80" si="1386">K80</f>
        <v>1</v>
      </c>
      <c r="Z80" s="2" t="b">
        <f t="shared" ref="Z80" si="1387">K80</f>
        <v>1</v>
      </c>
      <c r="AC80" s="2" t="b">
        <v>1</v>
      </c>
      <c r="AD80" s="2" t="b">
        <f t="shared" ref="AD80" si="1388">NOT(K80)</f>
        <v>0</v>
      </c>
      <c r="AE80" s="2" t="b">
        <v>1</v>
      </c>
      <c r="AF80" s="2" t="b">
        <f t="shared" ref="AF80" si="1389">NOT(K80)</f>
        <v>0</v>
      </c>
      <c r="AI80" s="2" t="b">
        <f t="shared" ref="AI80" si="1390">K80</f>
        <v>1</v>
      </c>
      <c r="AJ80" s="2" t="b">
        <f t="shared" ref="AJ80" si="1391">K80</f>
        <v>1</v>
      </c>
      <c r="AK80" s="2" t="b">
        <f t="shared" ref="AK80" si="1392">K80</f>
        <v>1</v>
      </c>
      <c r="AN80" s="2" t="b">
        <f t="shared" si="1376"/>
        <v>1</v>
      </c>
      <c r="AO80" s="2" t="b">
        <f t="shared" si="1377"/>
        <v>1</v>
      </c>
      <c r="AR80" s="2" t="b">
        <f t="shared" ref="AR80" si="1393">K80</f>
        <v>1</v>
      </c>
      <c r="AS80" s="2" t="b">
        <f t="shared" ref="AS80" si="1394">K80</f>
        <v>1</v>
      </c>
      <c r="AT80" s="2" t="b">
        <f t="shared" ref="AT80" si="1395">K80</f>
        <v>1</v>
      </c>
      <c r="AW80" s="2" t="b">
        <f t="shared" si="1380"/>
        <v>1</v>
      </c>
      <c r="AX80" s="2" t="b">
        <f t="shared" si="1381"/>
        <v>1</v>
      </c>
      <c r="AY80" s="2" t="b">
        <f t="shared" si="1382"/>
        <v>1</v>
      </c>
      <c r="BB80" s="1">
        <f>'One-Off Entries'!C24</f>
        <v>0</v>
      </c>
    </row>
    <row r="81" spans="2:54" ht="18" hidden="1" customHeight="1" x14ac:dyDescent="0.3">
      <c r="B81" s="415">
        <v>20</v>
      </c>
      <c r="C81" s="332">
        <f>'One-Off Entries'!AI25</f>
        <v>0</v>
      </c>
      <c r="D81" s="332">
        <f>'One-Off Entries'!AJ25</f>
        <v>0</v>
      </c>
      <c r="E81" s="2" t="s">
        <v>233</v>
      </c>
      <c r="F81" s="2" t="str">
        <f>IF('One-Off Entries'!M25 &lt;&gt; "", LEFT('One-Off Entries'!M25, 1), "")</f>
        <v/>
      </c>
      <c r="G81" s="2" t="b">
        <f>IF(F81 = "P", TRUE, FALSE)</f>
        <v>0</v>
      </c>
      <c r="H81" s="2" t="b">
        <f>IF(F81 = "G", TRUE, FALSE)</f>
        <v>0</v>
      </c>
      <c r="I81" s="2" t="b">
        <f>IF(F81 = "S", TRUE, FALSE)</f>
        <v>0</v>
      </c>
      <c r="J81" s="2" t="b">
        <f>IF(F81 = "B", TRUE, FALSE)</f>
        <v>0</v>
      </c>
      <c r="K81" s="27" t="b">
        <f>IF(AND(IF(G81 = FALSE, TRUE, FALSE), IF(H81 = FALSE, TRUE, FALSE), IF(I81 = FALSE, TRUE, FALSE), IF(J81 = FALSE, TRUE, FALSE)) = TRUE, TRUE, FALSE)</f>
        <v>1</v>
      </c>
      <c r="L81" s="415" t="str">
        <f>IF(P81, "", IF(AND(P82, P83), AND(T81, T82, T83, T84), AND(NOT(P84), T81, T82, T83, T84)))</f>
        <v/>
      </c>
      <c r="O81" s="1" t="s">
        <v>232</v>
      </c>
      <c r="P81" s="1" t="b">
        <f t="shared" ref="P81" si="1396">AND(K81, K82, K83, K84)</f>
        <v>1</v>
      </c>
      <c r="Q81" s="1">
        <f t="shared" si="1187"/>
        <v>0</v>
      </c>
      <c r="T81" s="2" t="b">
        <f t="shared" ref="T81" si="1397">IF(D81 = 0, FALSE, IF(C81 = 1, CHOOSE(D81, W81, X81, Y81, Z81), IF(C81 = 2, CHOOSE(D81, AC81, AD81, AE81, AF81), IF(C81 = 3, CHOOSE(D81, AI81, AJ81, AK81), IF(C81 = 4, CHOOSE(D81, AN81, AO81), IF(C81 = 5, CHOOSE(D81, AR81, AS81, AT81), IF(C81 = 7, CHOOSE(D81, AW81, AX81, AY81), FALSE)))))))</f>
        <v>0</v>
      </c>
      <c r="W81" s="2" t="b">
        <f t="shared" ref="W81" si="1398">AND(NOT(I81), NOT(K81), NOT(J81))</f>
        <v>0</v>
      </c>
      <c r="X81" s="2" t="b">
        <f t="shared" ref="X81" si="1399">AND(NOT(I81), NOT(K81), NOT(J81))</f>
        <v>0</v>
      </c>
      <c r="Y81" s="2" t="b">
        <f t="shared" ref="Y81" si="1400">AND(NOT(I81), NOT(K81), NOT(J81))</f>
        <v>0</v>
      </c>
      <c r="Z81" s="2" t="b">
        <f t="shared" ref="Z81" si="1401">AND(NOT(I81), NOT(K81), NOT(J81))</f>
        <v>0</v>
      </c>
      <c r="AC81" s="2" t="b">
        <f t="shared" ref="AC81" si="1402">AND(NOT(I81), NOT(K81), NOT(J81))</f>
        <v>0</v>
      </c>
      <c r="AD81" s="2" t="b">
        <f t="shared" ref="AD81" si="1403">AND(NOT(G81), NOT(K81), NOT(J81))</f>
        <v>0</v>
      </c>
      <c r="AE81" s="2" t="b">
        <f t="shared" ref="AE81" si="1404">AND(NOT(I81), NOT(K81), NOT(J81))</f>
        <v>0</v>
      </c>
      <c r="AF81" s="2" t="b">
        <f t="shared" ref="AF81" si="1405">AND(NOT(I81), NOT(K81), NOT(J81))</f>
        <v>0</v>
      </c>
      <c r="AI81" s="2" t="b">
        <f t="shared" ref="AI81" si="1406">AND(NOT(I81), NOT(K81), NOT(J81))</f>
        <v>0</v>
      </c>
      <c r="AJ81" s="2" t="b">
        <f t="shared" ref="AJ81" si="1407">AND(NOT(J81), NOT(K81))</f>
        <v>0</v>
      </c>
      <c r="AK81" s="2" t="b">
        <f t="shared" ref="AK81" si="1408">AND(NOT(I81), NOT(K81), NOT(J81))</f>
        <v>0</v>
      </c>
      <c r="AN81" s="2" t="b">
        <f t="shared" ref="AN81" si="1409">AND(NOT(I81), NOT(K81), NOT(J81))</f>
        <v>0</v>
      </c>
      <c r="AO81" s="2" t="b">
        <f t="shared" ref="AO81" si="1410">AND(NOT(G81), NOT(J81), NOT(K81))</f>
        <v>0</v>
      </c>
      <c r="AR81" s="2" t="b">
        <f t="shared" ref="AR81:AR83" si="1411">AND(NOT(J81), NOT(K81))</f>
        <v>0</v>
      </c>
      <c r="AS81" s="2" t="b">
        <f t="shared" ref="AS81" si="1412">AND(NOT(I81), NOT(K81), NOT(J81))</f>
        <v>0</v>
      </c>
      <c r="AT81" s="2" t="b">
        <f t="shared" ref="AT81" si="1413">AND(NOT(G81), NOT(J81), NOT(K81))</f>
        <v>0</v>
      </c>
      <c r="AW81" s="2" t="b">
        <f t="shared" ref="AW81" si="1414">AND(NOT(G81), NOT(J81), NOT(K81))</f>
        <v>0</v>
      </c>
      <c r="AX81" s="2" t="b">
        <f t="shared" ref="AX81" si="1415">AND(NOT(J81), NOT(K81))</f>
        <v>0</v>
      </c>
      <c r="AY81" s="2" t="b">
        <f t="shared" ref="AY81" si="1416">AND(NOT(G81), NOT(J81), NOT(K81))</f>
        <v>0</v>
      </c>
    </row>
    <row r="82" spans="2:54" ht="18" hidden="1" customHeight="1" x14ac:dyDescent="0.3">
      <c r="B82" s="416"/>
      <c r="C82" s="332"/>
      <c r="D82" s="332"/>
      <c r="E82" s="2" t="s">
        <v>234</v>
      </c>
      <c r="F82" s="2" t="str">
        <f>IF('One-Off Entries'!N25 &lt;&gt; "", LEFT('One-Off Entries'!N25, 1), "")</f>
        <v/>
      </c>
      <c r="G82" s="2" t="b">
        <f t="shared" ref="G82:G84" si="1417">IF(F82 = "P", TRUE, FALSE)</f>
        <v>0</v>
      </c>
      <c r="H82" s="2" t="b">
        <f t="shared" ref="H82:H84" si="1418">IF(F82 = "G", TRUE, FALSE)</f>
        <v>0</v>
      </c>
      <c r="I82" s="2" t="b">
        <f t="shared" ref="I82:I84" si="1419">IF(F82 = "S", TRUE, FALSE)</f>
        <v>0</v>
      </c>
      <c r="J82" s="2" t="b">
        <f t="shared" ref="J82:J84" si="1420">IF(F82 = "B", TRUE, FALSE)</f>
        <v>0</v>
      </c>
      <c r="K82" s="27" t="b">
        <f t="shared" ref="K82:K84" si="1421">IF(AND(IF(G82 = FALSE, TRUE, FALSE), IF(H82 = FALSE, TRUE, FALSE), IF(I82 = FALSE, TRUE, FALSE), IF(J82 = FALSE, TRUE, FALSE)) = TRUE, TRUE, FALSE)</f>
        <v>1</v>
      </c>
      <c r="L82" s="416"/>
      <c r="O82" s="1" t="s">
        <v>386</v>
      </c>
      <c r="P82" s="1" t="b">
        <f t="shared" ref="P82" si="1422">OR(IF(C81 = 2, TRUE, FALSE), IF(C81 = 2.2, TRUE, FALSE))</f>
        <v>0</v>
      </c>
      <c r="Q82" s="1">
        <f t="shared" si="1187"/>
        <v>0</v>
      </c>
      <c r="T82" s="2" t="b">
        <f t="shared" ref="T82" si="1423">IF(D81 = 0, FALSE, IF(C81 = 1, CHOOSE(D81, W82, X82, Y82, Z82), IF(C81 = 2, CHOOSE(D81, AC82, AD82, AE82, AF82), IF(C81 = 3, CHOOSE(D81, AI82, AJ82, AK82), IF(C81 = 4, CHOOSE(D81, AN82, AO82), IF(C81 = 5, CHOOSE(D81, AR82, AS82, AT82), IF(C81 = 7, CHOOSE(D81, AW82, AX82, AY82), FALSE)))))))</f>
        <v>0</v>
      </c>
      <c r="W82" s="2" t="b">
        <f t="shared" ref="W82:W83" si="1424">AND(NOT(K82), NOT(J82))</f>
        <v>0</v>
      </c>
      <c r="X82" s="2" t="b">
        <f t="shared" ref="X82" si="1425">NOT(K81)</f>
        <v>0</v>
      </c>
      <c r="Y82" s="2" t="b">
        <f t="shared" ref="Y82" si="1426">AND(NOT(K82), NOT(J82))</f>
        <v>0</v>
      </c>
      <c r="Z82" s="2" t="b">
        <f t="shared" ref="Z82" si="1427">OR(I82, J82)</f>
        <v>0</v>
      </c>
      <c r="AC82" s="2" t="b">
        <f t="shared" ref="AC82" si="1428">AND(NOT(K82), NOT(J82))</f>
        <v>0</v>
      </c>
      <c r="AD82" s="2" t="b">
        <f t="shared" ref="AD82" si="1429">J82</f>
        <v>0</v>
      </c>
      <c r="AE82" s="2" t="b">
        <f t="shared" ref="AE82" si="1430">AND(NOT(K82), NOT(J82))</f>
        <v>0</v>
      </c>
      <c r="AF82" s="2" t="b">
        <f t="shared" ref="AF82" si="1431">J82</f>
        <v>0</v>
      </c>
      <c r="AI82" s="2" t="b">
        <f t="shared" ref="AI82" si="1432">AND(NOT(J82), NOT(K82))</f>
        <v>0</v>
      </c>
      <c r="AJ82" s="2" t="b">
        <f t="shared" ref="AJ82" si="1433">OR(I82, J82)</f>
        <v>0</v>
      </c>
      <c r="AK82" s="2" t="b">
        <f t="shared" ref="AK82" si="1434">OR(I82, J82)</f>
        <v>0</v>
      </c>
      <c r="AN82" s="2" t="b">
        <f t="shared" ref="AN82" si="1435">OR(I82, J82)</f>
        <v>0</v>
      </c>
      <c r="AO82" s="2" t="b">
        <f t="shared" ref="AO82" si="1436">J82</f>
        <v>0</v>
      </c>
      <c r="AR82" s="2" t="b">
        <f t="shared" si="1411"/>
        <v>0</v>
      </c>
      <c r="AS82" s="2" t="b">
        <f t="shared" ref="AS82" si="1437">OR(I82, J82)</f>
        <v>0</v>
      </c>
      <c r="AT82" s="2" t="b">
        <f t="shared" ref="AT82" si="1438">OR(I82, J82)</f>
        <v>0</v>
      </c>
      <c r="AW82" s="2" t="b">
        <f t="shared" ref="AW82" si="1439">J82</f>
        <v>0</v>
      </c>
      <c r="AX82" s="2" t="b">
        <f t="shared" ref="AX82" si="1440">J82</f>
        <v>0</v>
      </c>
      <c r="AY82" s="2" t="b">
        <f t="shared" ref="AY82" si="1441">J82</f>
        <v>0</v>
      </c>
    </row>
    <row r="83" spans="2:54" ht="18" hidden="1" customHeight="1" x14ac:dyDescent="0.3">
      <c r="B83" s="416"/>
      <c r="C83" s="332"/>
      <c r="D83" s="332"/>
      <c r="E83" s="2" t="s">
        <v>235</v>
      </c>
      <c r="F83" s="2" t="str">
        <f>IF('One-Off Entries'!O25 &lt;&gt; "", LEFT('One-Off Entries'!O25, 1), "")</f>
        <v/>
      </c>
      <c r="G83" s="2" t="b">
        <f t="shared" si="1417"/>
        <v>0</v>
      </c>
      <c r="H83" s="2" t="b">
        <f t="shared" si="1418"/>
        <v>0</v>
      </c>
      <c r="I83" s="2" t="b">
        <f t="shared" si="1419"/>
        <v>0</v>
      </c>
      <c r="J83" s="2" t="b">
        <f t="shared" si="1420"/>
        <v>0</v>
      </c>
      <c r="K83" s="27" t="b">
        <f t="shared" si="1421"/>
        <v>1</v>
      </c>
      <c r="L83" s="416"/>
      <c r="O83" s="1" t="s">
        <v>387</v>
      </c>
      <c r="P83" s="1" t="b">
        <f t="shared" ref="P83" si="1442">OR(IF(D81 = 2, TRUE, FALSE), IF(D81 = 4, TRUE, FALSE))</f>
        <v>0</v>
      </c>
      <c r="Q83" s="1">
        <f t="shared" si="1187"/>
        <v>0</v>
      </c>
      <c r="T83" s="2" t="b">
        <f t="shared" ref="T83" si="1443">IF(D81 = 0, FALSE, IF(C81 = 1, CHOOSE(D81, W83, X83, Y83, Z83), IF(C81 = 2, CHOOSE(D81, AC83, AD83, AE83, AF83), IF(C81 = 3, CHOOSE(D81, AI83, AJ83, AK83), IF(C81 = 4, CHOOSE(D81, AN83, AO83), IF(C81 = 5, CHOOSE(D81, AR83, AS83, AT83), IF(C81 = 7, CHOOSE(D81, AW83, AX83, AY83), FALSE)))))))</f>
        <v>0</v>
      </c>
      <c r="W83" s="2" t="b">
        <f t="shared" si="1424"/>
        <v>0</v>
      </c>
      <c r="X83" s="2" t="b">
        <f t="shared" ref="X83" si="1444">OR(I83, J83)</f>
        <v>0</v>
      </c>
      <c r="Y83" s="2" t="b">
        <f t="shared" ref="Y83" si="1445">AND(NOT(K82), NOT(J82))</f>
        <v>0</v>
      </c>
      <c r="Z83" s="2" t="b">
        <f t="shared" ref="Z83" si="1446">J83</f>
        <v>0</v>
      </c>
      <c r="AC83" s="2" t="b">
        <f t="shared" ref="AC83" si="1447">NOT(K83)</f>
        <v>0</v>
      </c>
      <c r="AD83" s="2" t="b">
        <f t="shared" ref="AD83" si="1448">OR(I83, J83)</f>
        <v>0</v>
      </c>
      <c r="AE83" s="2" t="b">
        <f t="shared" ref="AE83" si="1449">NOT(K83)</f>
        <v>0</v>
      </c>
      <c r="AF83" s="2" t="b">
        <f t="shared" ref="AF83" si="1450">OR(I83, J83)</f>
        <v>0</v>
      </c>
      <c r="AI83" s="2" t="b">
        <f t="shared" ref="AI83" si="1451">AND(OR(I83, J83), NOT(K83))</f>
        <v>0</v>
      </c>
      <c r="AJ83" s="2" t="b">
        <f t="shared" ref="AJ83" si="1452">J83</f>
        <v>0</v>
      </c>
      <c r="AK83" s="2" t="b">
        <f t="shared" ref="AK83" si="1453">J83</f>
        <v>0</v>
      </c>
      <c r="AN83" s="2" t="b">
        <f t="shared" ref="AN83:AN84" si="1454">K83</f>
        <v>1</v>
      </c>
      <c r="AO83" s="2" t="b">
        <f t="shared" ref="AO83:AO84" si="1455">K83</f>
        <v>1</v>
      </c>
      <c r="AR83" s="2" t="b">
        <f t="shared" si="1411"/>
        <v>0</v>
      </c>
      <c r="AS83" s="2" t="b">
        <f t="shared" ref="AS83" si="1456">J83</f>
        <v>0</v>
      </c>
      <c r="AT83" s="2" t="b">
        <f t="shared" ref="AT83" si="1457">J83</f>
        <v>0</v>
      </c>
      <c r="AW83" s="2" t="b">
        <f t="shared" ref="AW83:AW84" si="1458">K83</f>
        <v>1</v>
      </c>
      <c r="AX83" s="2" t="b">
        <f t="shared" ref="AX83:AX84" si="1459">K83</f>
        <v>1</v>
      </c>
      <c r="AY83" s="2" t="b">
        <f t="shared" ref="AY83:AY84" si="1460">K83</f>
        <v>1</v>
      </c>
    </row>
    <row r="84" spans="2:54" ht="18" customHeight="1" x14ac:dyDescent="0.3">
      <c r="B84" s="412"/>
      <c r="C84" s="332"/>
      <c r="D84" s="332"/>
      <c r="E84" s="2" t="s">
        <v>236</v>
      </c>
      <c r="F84" s="2" t="str">
        <f>IF('One-Off Entries'!P25 &lt;&gt; "", LEFT('One-Off Entries'!P25, 1), "")</f>
        <v/>
      </c>
      <c r="G84" s="2" t="b">
        <f t="shared" si="1417"/>
        <v>0</v>
      </c>
      <c r="H84" s="2" t="b">
        <f t="shared" si="1418"/>
        <v>0</v>
      </c>
      <c r="I84" s="2" t="b">
        <f t="shared" si="1419"/>
        <v>0</v>
      </c>
      <c r="J84" s="2" t="b">
        <f t="shared" si="1420"/>
        <v>0</v>
      </c>
      <c r="K84" s="27" t="b">
        <f t="shared" si="1421"/>
        <v>1</v>
      </c>
      <c r="L84" s="412"/>
      <c r="O84" s="1" t="s">
        <v>388</v>
      </c>
      <c r="P84" s="1" t="b">
        <f t="shared" ref="P84" si="1461">IF(SUM(Q81:Q84) &gt; 1, TRUE, FALSE)</f>
        <v>0</v>
      </c>
      <c r="Q84" s="1">
        <f t="shared" si="1187"/>
        <v>0</v>
      </c>
      <c r="T84" s="2" t="b">
        <f>IF(D81 = 0, FALSE, IF(C81 = 1, CHOOSE(D81, W84, X84, Y84, Z84), IF(C81 = 2, IF(BB84 = "Rolex 24 at Daytona", CHOOSE(D81, AC84, AD84, AE84, AF84), K84), IF(C81 = 3, CHOOSE(D81, AI84, AJ84, AK84), IF(C81 = 4, CHOOSE(D81, AN84, AO84), IF(C81 = 5, CHOOSE(D81, AR84, AS84, AT84), IF(C81 = 7, CHOOSE(D81, AW84, AX84, AY84), FALSE)))))))</f>
        <v>0</v>
      </c>
      <c r="W84" s="2" t="b">
        <f t="shared" ref="W84" si="1462">K84</f>
        <v>1</v>
      </c>
      <c r="X84" s="2" t="b">
        <f t="shared" ref="X84" si="1463">K84</f>
        <v>1</v>
      </c>
      <c r="Y84" s="2" t="b">
        <f t="shared" ref="Y84" si="1464">K84</f>
        <v>1</v>
      </c>
      <c r="Z84" s="2" t="b">
        <f t="shared" ref="Z84" si="1465">K84</f>
        <v>1</v>
      </c>
      <c r="AC84" s="2" t="b">
        <v>1</v>
      </c>
      <c r="AD84" s="2" t="b">
        <f t="shared" ref="AD84" si="1466">NOT(K84)</f>
        <v>0</v>
      </c>
      <c r="AE84" s="2" t="b">
        <v>1</v>
      </c>
      <c r="AF84" s="2" t="b">
        <f t="shared" ref="AF84" si="1467">NOT(K84)</f>
        <v>0</v>
      </c>
      <c r="AI84" s="2" t="b">
        <f t="shared" ref="AI84" si="1468">K84</f>
        <v>1</v>
      </c>
      <c r="AJ84" s="2" t="b">
        <f t="shared" ref="AJ84" si="1469">K84</f>
        <v>1</v>
      </c>
      <c r="AK84" s="2" t="b">
        <f t="shared" ref="AK84" si="1470">K84</f>
        <v>1</v>
      </c>
      <c r="AN84" s="2" t="b">
        <f t="shared" si="1454"/>
        <v>1</v>
      </c>
      <c r="AO84" s="2" t="b">
        <f t="shared" si="1455"/>
        <v>1</v>
      </c>
      <c r="AR84" s="2" t="b">
        <f t="shared" ref="AR84" si="1471">K84</f>
        <v>1</v>
      </c>
      <c r="AS84" s="2" t="b">
        <f t="shared" ref="AS84" si="1472">K84</f>
        <v>1</v>
      </c>
      <c r="AT84" s="2" t="b">
        <f t="shared" ref="AT84" si="1473">K84</f>
        <v>1</v>
      </c>
      <c r="AW84" s="2" t="b">
        <f t="shared" si="1458"/>
        <v>1</v>
      </c>
      <c r="AX84" s="2" t="b">
        <f t="shared" si="1459"/>
        <v>1</v>
      </c>
      <c r="AY84" s="2" t="b">
        <f t="shared" si="1460"/>
        <v>1</v>
      </c>
      <c r="BB84" s="1">
        <f>'One-Off Entries'!C25</f>
        <v>0</v>
      </c>
    </row>
    <row r="85" spans="2:54" ht="18" hidden="1" customHeight="1" x14ac:dyDescent="0.3">
      <c r="B85" s="415">
        <v>21</v>
      </c>
      <c r="C85" s="332">
        <f>'One-Off Entries'!AI26</f>
        <v>0</v>
      </c>
      <c r="D85" s="332">
        <f>'One-Off Entries'!AJ26</f>
        <v>0</v>
      </c>
      <c r="E85" s="2" t="s">
        <v>233</v>
      </c>
      <c r="F85" s="2" t="str">
        <f>IF('One-Off Entries'!M26 &lt;&gt; "", LEFT('One-Off Entries'!M26, 1), "")</f>
        <v/>
      </c>
      <c r="G85" s="2" t="b">
        <f>IF(F85 = "P", TRUE, FALSE)</f>
        <v>0</v>
      </c>
      <c r="H85" s="2" t="b">
        <f>IF(F85 = "G", TRUE, FALSE)</f>
        <v>0</v>
      </c>
      <c r="I85" s="2" t="b">
        <f>IF(F85 = "S", TRUE, FALSE)</f>
        <v>0</v>
      </c>
      <c r="J85" s="2" t="b">
        <f>IF(F85 = "B", TRUE, FALSE)</f>
        <v>0</v>
      </c>
      <c r="K85" s="27" t="b">
        <f>IF(AND(IF(G85 = FALSE, TRUE, FALSE), IF(H85 = FALSE, TRUE, FALSE), IF(I85 = FALSE, TRUE, FALSE), IF(J85 = FALSE, TRUE, FALSE)) = TRUE, TRUE, FALSE)</f>
        <v>1</v>
      </c>
      <c r="L85" s="415" t="str">
        <f>IF(P85, "", IF(AND(P86, P87), AND(T85, T86, T87, T88), AND(NOT(P88), T85, T86, T87, T88)))</f>
        <v/>
      </c>
      <c r="O85" s="1" t="s">
        <v>232</v>
      </c>
      <c r="P85" s="1" t="b">
        <f t="shared" ref="P85" si="1474">AND(K85, K86, K87, K88)</f>
        <v>1</v>
      </c>
      <c r="Q85" s="1">
        <f t="shared" si="1187"/>
        <v>0</v>
      </c>
      <c r="T85" s="2" t="b">
        <f t="shared" ref="T85" si="1475">IF(D85 = 0, FALSE, IF(C85 = 1, CHOOSE(D85, W85, X85, Y85, Z85), IF(C85 = 2, CHOOSE(D85, AC85, AD85, AE85, AF85), IF(C85 = 3, CHOOSE(D85, AI85, AJ85, AK85), IF(C85 = 4, CHOOSE(D85, AN85, AO85), IF(C85 = 5, CHOOSE(D85, AR85, AS85, AT85), IF(C85 = 7, CHOOSE(D85, AW85, AX85, AY85), FALSE)))))))</f>
        <v>0</v>
      </c>
      <c r="W85" s="2" t="b">
        <f t="shared" ref="W85" si="1476">AND(NOT(I85), NOT(K85), NOT(J85))</f>
        <v>0</v>
      </c>
      <c r="X85" s="2" t="b">
        <f t="shared" ref="X85" si="1477">AND(NOT(I85), NOT(K85), NOT(J85))</f>
        <v>0</v>
      </c>
      <c r="Y85" s="2" t="b">
        <f t="shared" ref="Y85" si="1478">AND(NOT(I85), NOT(K85), NOT(J85))</f>
        <v>0</v>
      </c>
      <c r="Z85" s="2" t="b">
        <f t="shared" ref="Z85" si="1479">AND(NOT(I85), NOT(K85), NOT(J85))</f>
        <v>0</v>
      </c>
      <c r="AC85" s="2" t="b">
        <f t="shared" ref="AC85" si="1480">AND(NOT(I85), NOT(K85), NOT(J85))</f>
        <v>0</v>
      </c>
      <c r="AD85" s="2" t="b">
        <f t="shared" ref="AD85" si="1481">AND(NOT(G85), NOT(K85), NOT(J85))</f>
        <v>0</v>
      </c>
      <c r="AE85" s="2" t="b">
        <f t="shared" ref="AE85" si="1482">AND(NOT(I85), NOT(K85), NOT(J85))</f>
        <v>0</v>
      </c>
      <c r="AF85" s="2" t="b">
        <f t="shared" ref="AF85" si="1483">AND(NOT(I85), NOT(K85), NOT(J85))</f>
        <v>0</v>
      </c>
      <c r="AI85" s="2" t="b">
        <f t="shared" ref="AI85" si="1484">AND(NOT(I85), NOT(K85), NOT(J85))</f>
        <v>0</v>
      </c>
      <c r="AJ85" s="2" t="b">
        <f t="shared" ref="AJ85" si="1485">AND(NOT(J85), NOT(K85))</f>
        <v>0</v>
      </c>
      <c r="AK85" s="2" t="b">
        <f t="shared" ref="AK85" si="1486">AND(NOT(I85), NOT(K85), NOT(J85))</f>
        <v>0</v>
      </c>
      <c r="AN85" s="2" t="b">
        <f t="shared" ref="AN85" si="1487">AND(NOT(I85), NOT(K85), NOT(J85))</f>
        <v>0</v>
      </c>
      <c r="AO85" s="2" t="b">
        <f t="shared" ref="AO85" si="1488">AND(NOT(G85), NOT(J85), NOT(K85))</f>
        <v>0</v>
      </c>
      <c r="AR85" s="2" t="b">
        <f t="shared" ref="AR85:AR87" si="1489">AND(NOT(J85), NOT(K85))</f>
        <v>0</v>
      </c>
      <c r="AS85" s="2" t="b">
        <f t="shared" ref="AS85" si="1490">AND(NOT(I85), NOT(K85), NOT(J85))</f>
        <v>0</v>
      </c>
      <c r="AT85" s="2" t="b">
        <f t="shared" ref="AT85" si="1491">AND(NOT(G85), NOT(J85), NOT(K85))</f>
        <v>0</v>
      </c>
      <c r="AW85" s="2" t="b">
        <f t="shared" ref="AW85" si="1492">AND(NOT(G85), NOT(J85), NOT(K85))</f>
        <v>0</v>
      </c>
      <c r="AX85" s="2" t="b">
        <f t="shared" ref="AX85" si="1493">AND(NOT(J85), NOT(K85))</f>
        <v>0</v>
      </c>
      <c r="AY85" s="2" t="b">
        <f t="shared" ref="AY85" si="1494">AND(NOT(G85), NOT(J85), NOT(K85))</f>
        <v>0</v>
      </c>
    </row>
    <row r="86" spans="2:54" ht="18" hidden="1" customHeight="1" x14ac:dyDescent="0.3">
      <c r="B86" s="416"/>
      <c r="C86" s="332"/>
      <c r="D86" s="332"/>
      <c r="E86" s="2" t="s">
        <v>234</v>
      </c>
      <c r="F86" s="2" t="str">
        <f>IF('One-Off Entries'!N26 &lt;&gt; "", LEFT('One-Off Entries'!N26, 1), "")</f>
        <v/>
      </c>
      <c r="G86" s="2" t="b">
        <f t="shared" ref="G86:G88" si="1495">IF(F86 = "P", TRUE, FALSE)</f>
        <v>0</v>
      </c>
      <c r="H86" s="2" t="b">
        <f t="shared" ref="H86:H88" si="1496">IF(F86 = "G", TRUE, FALSE)</f>
        <v>0</v>
      </c>
      <c r="I86" s="2" t="b">
        <f t="shared" ref="I86:I88" si="1497">IF(F86 = "S", TRUE, FALSE)</f>
        <v>0</v>
      </c>
      <c r="J86" s="2" t="b">
        <f t="shared" ref="J86:J88" si="1498">IF(F86 = "B", TRUE, FALSE)</f>
        <v>0</v>
      </c>
      <c r="K86" s="27" t="b">
        <f t="shared" ref="K86:K88" si="1499">IF(AND(IF(G86 = FALSE, TRUE, FALSE), IF(H86 = FALSE, TRUE, FALSE), IF(I86 = FALSE, TRUE, FALSE), IF(J86 = FALSE, TRUE, FALSE)) = TRUE, TRUE, FALSE)</f>
        <v>1</v>
      </c>
      <c r="L86" s="416"/>
      <c r="O86" s="1" t="s">
        <v>386</v>
      </c>
      <c r="P86" s="1" t="b">
        <f t="shared" ref="P86" si="1500">OR(IF(C85 = 2, TRUE, FALSE), IF(C85 = 2.2, TRUE, FALSE))</f>
        <v>0</v>
      </c>
      <c r="Q86" s="1">
        <f t="shared" si="1187"/>
        <v>0</v>
      </c>
      <c r="T86" s="2" t="b">
        <f t="shared" ref="T86" si="1501">IF(D85 = 0, FALSE, IF(C85 = 1, CHOOSE(D85, W86, X86, Y86, Z86), IF(C85 = 2, CHOOSE(D85, AC86, AD86, AE86, AF86), IF(C85 = 3, CHOOSE(D85, AI86, AJ86, AK86), IF(C85 = 4, CHOOSE(D85, AN86, AO86), IF(C85 = 5, CHOOSE(D85, AR86, AS86, AT86), IF(C85 = 7, CHOOSE(D85, AW86, AX86, AY86), FALSE)))))))</f>
        <v>0</v>
      </c>
      <c r="W86" s="2" t="b">
        <f t="shared" ref="W86:W87" si="1502">AND(NOT(K86), NOT(J86))</f>
        <v>0</v>
      </c>
      <c r="X86" s="2" t="b">
        <f t="shared" ref="X86" si="1503">NOT(K85)</f>
        <v>0</v>
      </c>
      <c r="Y86" s="2" t="b">
        <f t="shared" ref="Y86" si="1504">AND(NOT(K86), NOT(J86))</f>
        <v>0</v>
      </c>
      <c r="Z86" s="2" t="b">
        <f t="shared" ref="Z86" si="1505">OR(I86, J86)</f>
        <v>0</v>
      </c>
      <c r="AC86" s="2" t="b">
        <f t="shared" ref="AC86" si="1506">AND(NOT(K86), NOT(J86))</f>
        <v>0</v>
      </c>
      <c r="AD86" s="2" t="b">
        <f t="shared" ref="AD86" si="1507">J86</f>
        <v>0</v>
      </c>
      <c r="AE86" s="2" t="b">
        <f t="shared" ref="AE86" si="1508">AND(NOT(K86), NOT(J86))</f>
        <v>0</v>
      </c>
      <c r="AF86" s="2" t="b">
        <f t="shared" ref="AF86" si="1509">J86</f>
        <v>0</v>
      </c>
      <c r="AI86" s="2" t="b">
        <f t="shared" ref="AI86" si="1510">AND(NOT(J86), NOT(K86))</f>
        <v>0</v>
      </c>
      <c r="AJ86" s="2" t="b">
        <f t="shared" ref="AJ86" si="1511">OR(I86, J86)</f>
        <v>0</v>
      </c>
      <c r="AK86" s="2" t="b">
        <f t="shared" ref="AK86" si="1512">OR(I86, J86)</f>
        <v>0</v>
      </c>
      <c r="AN86" s="2" t="b">
        <f t="shared" ref="AN86" si="1513">OR(I86, J86)</f>
        <v>0</v>
      </c>
      <c r="AO86" s="2" t="b">
        <f t="shared" ref="AO86" si="1514">J86</f>
        <v>0</v>
      </c>
      <c r="AR86" s="2" t="b">
        <f t="shared" si="1489"/>
        <v>0</v>
      </c>
      <c r="AS86" s="2" t="b">
        <f t="shared" ref="AS86" si="1515">OR(I86, J86)</f>
        <v>0</v>
      </c>
      <c r="AT86" s="2" t="b">
        <f t="shared" ref="AT86" si="1516">OR(I86, J86)</f>
        <v>0</v>
      </c>
      <c r="AW86" s="2" t="b">
        <f t="shared" ref="AW86" si="1517">J86</f>
        <v>0</v>
      </c>
      <c r="AX86" s="2" t="b">
        <f t="shared" ref="AX86" si="1518">J86</f>
        <v>0</v>
      </c>
      <c r="AY86" s="2" t="b">
        <f t="shared" ref="AY86" si="1519">J86</f>
        <v>0</v>
      </c>
    </row>
    <row r="87" spans="2:54" ht="18" hidden="1" customHeight="1" x14ac:dyDescent="0.3">
      <c r="B87" s="416"/>
      <c r="C87" s="332"/>
      <c r="D87" s="332"/>
      <c r="E87" s="2" t="s">
        <v>235</v>
      </c>
      <c r="F87" s="2" t="str">
        <f>IF('One-Off Entries'!O26 &lt;&gt; "", LEFT('One-Off Entries'!O26, 1), "")</f>
        <v/>
      </c>
      <c r="G87" s="2" t="b">
        <f t="shared" si="1495"/>
        <v>0</v>
      </c>
      <c r="H87" s="2" t="b">
        <f t="shared" si="1496"/>
        <v>0</v>
      </c>
      <c r="I87" s="2" t="b">
        <f t="shared" si="1497"/>
        <v>0</v>
      </c>
      <c r="J87" s="2" t="b">
        <f t="shared" si="1498"/>
        <v>0</v>
      </c>
      <c r="K87" s="27" t="b">
        <f t="shared" si="1499"/>
        <v>1</v>
      </c>
      <c r="L87" s="416"/>
      <c r="O87" s="1" t="s">
        <v>387</v>
      </c>
      <c r="P87" s="1" t="b">
        <f t="shared" ref="P87" si="1520">OR(IF(D85 = 2, TRUE, FALSE), IF(D85 = 4, TRUE, FALSE))</f>
        <v>0</v>
      </c>
      <c r="Q87" s="1">
        <f t="shared" si="1187"/>
        <v>0</v>
      </c>
      <c r="T87" s="2" t="b">
        <f t="shared" ref="T87" si="1521">IF(D85 = 0, FALSE, IF(C85 = 1, CHOOSE(D85, W87, X87, Y87, Z87), IF(C85 = 2, CHOOSE(D85, AC87, AD87, AE87, AF87), IF(C85 = 3, CHOOSE(D85, AI87, AJ87, AK87), IF(C85 = 4, CHOOSE(D85, AN87, AO87), IF(C85 = 5, CHOOSE(D85, AR87, AS87, AT87), IF(C85 = 7, CHOOSE(D85, AW87, AX87, AY87), FALSE)))))))</f>
        <v>0</v>
      </c>
      <c r="W87" s="2" t="b">
        <f t="shared" si="1502"/>
        <v>0</v>
      </c>
      <c r="X87" s="2" t="b">
        <f t="shared" ref="X87" si="1522">OR(I87, J87)</f>
        <v>0</v>
      </c>
      <c r="Y87" s="2" t="b">
        <f t="shared" ref="Y87" si="1523">AND(NOT(K86), NOT(J86))</f>
        <v>0</v>
      </c>
      <c r="Z87" s="2" t="b">
        <f t="shared" ref="Z87" si="1524">J87</f>
        <v>0</v>
      </c>
      <c r="AC87" s="2" t="b">
        <f t="shared" ref="AC87" si="1525">NOT(K87)</f>
        <v>0</v>
      </c>
      <c r="AD87" s="2" t="b">
        <f t="shared" ref="AD87" si="1526">OR(I87, J87)</f>
        <v>0</v>
      </c>
      <c r="AE87" s="2" t="b">
        <f t="shared" ref="AE87" si="1527">NOT(K87)</f>
        <v>0</v>
      </c>
      <c r="AF87" s="2" t="b">
        <f t="shared" ref="AF87" si="1528">OR(I87, J87)</f>
        <v>0</v>
      </c>
      <c r="AI87" s="2" t="b">
        <f t="shared" ref="AI87" si="1529">AND(OR(I87, J87), NOT(K87))</f>
        <v>0</v>
      </c>
      <c r="AJ87" s="2" t="b">
        <f t="shared" ref="AJ87" si="1530">J87</f>
        <v>0</v>
      </c>
      <c r="AK87" s="2" t="b">
        <f t="shared" ref="AK87" si="1531">J87</f>
        <v>0</v>
      </c>
      <c r="AN87" s="2" t="b">
        <f t="shared" ref="AN87:AN88" si="1532">K87</f>
        <v>1</v>
      </c>
      <c r="AO87" s="2" t="b">
        <f t="shared" ref="AO87:AO88" si="1533">K87</f>
        <v>1</v>
      </c>
      <c r="AR87" s="2" t="b">
        <f t="shared" si="1489"/>
        <v>0</v>
      </c>
      <c r="AS87" s="2" t="b">
        <f t="shared" ref="AS87" si="1534">J87</f>
        <v>0</v>
      </c>
      <c r="AT87" s="2" t="b">
        <f t="shared" ref="AT87" si="1535">J87</f>
        <v>0</v>
      </c>
      <c r="AW87" s="2" t="b">
        <f t="shared" ref="AW87:AW88" si="1536">K87</f>
        <v>1</v>
      </c>
      <c r="AX87" s="2" t="b">
        <f t="shared" ref="AX87:AX88" si="1537">K87</f>
        <v>1</v>
      </c>
      <c r="AY87" s="2" t="b">
        <f t="shared" ref="AY87:AY88" si="1538">K87</f>
        <v>1</v>
      </c>
    </row>
    <row r="88" spans="2:54" ht="18" customHeight="1" x14ac:dyDescent="0.3">
      <c r="B88" s="412"/>
      <c r="C88" s="332"/>
      <c r="D88" s="332"/>
      <c r="E88" s="2" t="s">
        <v>236</v>
      </c>
      <c r="F88" s="2" t="str">
        <f>IF('One-Off Entries'!P26 &lt;&gt; "", LEFT('One-Off Entries'!P26, 1), "")</f>
        <v/>
      </c>
      <c r="G88" s="2" t="b">
        <f t="shared" si="1495"/>
        <v>0</v>
      </c>
      <c r="H88" s="2" t="b">
        <f t="shared" si="1496"/>
        <v>0</v>
      </c>
      <c r="I88" s="2" t="b">
        <f t="shared" si="1497"/>
        <v>0</v>
      </c>
      <c r="J88" s="2" t="b">
        <f t="shared" si="1498"/>
        <v>0</v>
      </c>
      <c r="K88" s="27" t="b">
        <f t="shared" si="1499"/>
        <v>1</v>
      </c>
      <c r="L88" s="412"/>
      <c r="O88" s="1" t="s">
        <v>388</v>
      </c>
      <c r="P88" s="1" t="b">
        <f t="shared" ref="P88" si="1539">IF(SUM(Q85:Q88) &gt; 1, TRUE, FALSE)</f>
        <v>0</v>
      </c>
      <c r="Q88" s="1">
        <f t="shared" si="1187"/>
        <v>0</v>
      </c>
      <c r="T88" s="2" t="b">
        <f>IF(D85 = 0, FALSE, IF(C85 = 1, CHOOSE(D85, W88, X88, Y88, Z88), IF(C85 = 2, IF(BB88 = "Rolex 24 at Daytona", CHOOSE(D85, AC88, AD88, AE88, AF88), K88), IF(C85 = 3, CHOOSE(D85, AI88, AJ88, AK88), IF(C85 = 4, CHOOSE(D85, AN88, AO88), IF(C85 = 5, CHOOSE(D85, AR88, AS88, AT88), IF(C85 = 7, CHOOSE(D85, AW88, AX88, AY88), FALSE)))))))</f>
        <v>0</v>
      </c>
      <c r="W88" s="2" t="b">
        <f t="shared" ref="W88" si="1540">K88</f>
        <v>1</v>
      </c>
      <c r="X88" s="2" t="b">
        <f t="shared" ref="X88" si="1541">K88</f>
        <v>1</v>
      </c>
      <c r="Y88" s="2" t="b">
        <f t="shared" ref="Y88" si="1542">K88</f>
        <v>1</v>
      </c>
      <c r="Z88" s="2" t="b">
        <f t="shared" ref="Z88" si="1543">K88</f>
        <v>1</v>
      </c>
      <c r="AC88" s="2" t="b">
        <v>1</v>
      </c>
      <c r="AD88" s="2" t="b">
        <f t="shared" ref="AD88" si="1544">NOT(K88)</f>
        <v>0</v>
      </c>
      <c r="AE88" s="2" t="b">
        <v>1</v>
      </c>
      <c r="AF88" s="2" t="b">
        <f t="shared" ref="AF88" si="1545">NOT(K88)</f>
        <v>0</v>
      </c>
      <c r="AI88" s="2" t="b">
        <f t="shared" ref="AI88" si="1546">K88</f>
        <v>1</v>
      </c>
      <c r="AJ88" s="2" t="b">
        <f t="shared" ref="AJ88" si="1547">K88</f>
        <v>1</v>
      </c>
      <c r="AK88" s="2" t="b">
        <f t="shared" ref="AK88" si="1548">K88</f>
        <v>1</v>
      </c>
      <c r="AN88" s="2" t="b">
        <f t="shared" si="1532"/>
        <v>1</v>
      </c>
      <c r="AO88" s="2" t="b">
        <f t="shared" si="1533"/>
        <v>1</v>
      </c>
      <c r="AR88" s="2" t="b">
        <f t="shared" ref="AR88" si="1549">K88</f>
        <v>1</v>
      </c>
      <c r="AS88" s="2" t="b">
        <f t="shared" ref="AS88" si="1550">K88</f>
        <v>1</v>
      </c>
      <c r="AT88" s="2" t="b">
        <f t="shared" ref="AT88" si="1551">K88</f>
        <v>1</v>
      </c>
      <c r="AW88" s="2" t="b">
        <f t="shared" si="1536"/>
        <v>1</v>
      </c>
      <c r="AX88" s="2" t="b">
        <f t="shared" si="1537"/>
        <v>1</v>
      </c>
      <c r="AY88" s="2" t="b">
        <f t="shared" si="1538"/>
        <v>1</v>
      </c>
      <c r="BB88" s="1">
        <f>'One-Off Entries'!C26</f>
        <v>0</v>
      </c>
    </row>
    <row r="89" spans="2:54" ht="18" hidden="1" customHeight="1" x14ac:dyDescent="0.3">
      <c r="B89" s="415">
        <v>22</v>
      </c>
      <c r="C89" s="332">
        <f>'One-Off Entries'!AI27</f>
        <v>0</v>
      </c>
      <c r="D89" s="332">
        <f>'One-Off Entries'!AJ27</f>
        <v>0</v>
      </c>
      <c r="E89" s="2" t="s">
        <v>233</v>
      </c>
      <c r="F89" s="2" t="str">
        <f>IF('One-Off Entries'!M27 &lt;&gt; "", LEFT('One-Off Entries'!M27, 1), "")</f>
        <v/>
      </c>
      <c r="G89" s="2" t="b">
        <f>IF(F89 = "P", TRUE, FALSE)</f>
        <v>0</v>
      </c>
      <c r="H89" s="2" t="b">
        <f>IF(F89 = "G", TRUE, FALSE)</f>
        <v>0</v>
      </c>
      <c r="I89" s="2" t="b">
        <f>IF(F89 = "S", TRUE, FALSE)</f>
        <v>0</v>
      </c>
      <c r="J89" s="2" t="b">
        <f>IF(F89 = "B", TRUE, FALSE)</f>
        <v>0</v>
      </c>
      <c r="K89" s="27" t="b">
        <f>IF(AND(IF(G89 = FALSE, TRUE, FALSE), IF(H89 = FALSE, TRUE, FALSE), IF(I89 = FALSE, TRUE, FALSE), IF(J89 = FALSE, TRUE, FALSE)) = TRUE, TRUE, FALSE)</f>
        <v>1</v>
      </c>
      <c r="L89" s="415" t="str">
        <f>IF(P89, "", IF(AND(P90, P91), AND(T89, T90, T91, T92), AND(NOT(P92), T89, T90, T91, T92)))</f>
        <v/>
      </c>
      <c r="O89" s="1" t="s">
        <v>232</v>
      </c>
      <c r="P89" s="1" t="b">
        <f t="shared" ref="P89" si="1552">AND(K89, K90, K91, K92)</f>
        <v>1</v>
      </c>
      <c r="Q89" s="1">
        <f t="shared" si="1187"/>
        <v>0</v>
      </c>
      <c r="T89" s="2" t="b">
        <f t="shared" ref="T89" si="1553">IF(D89 = 0, FALSE, IF(C89 = 1, CHOOSE(D89, W89, X89, Y89, Z89), IF(C89 = 2, CHOOSE(D89, AC89, AD89, AE89, AF89), IF(C89 = 3, CHOOSE(D89, AI89, AJ89, AK89), IF(C89 = 4, CHOOSE(D89, AN89, AO89), IF(C89 = 5, CHOOSE(D89, AR89, AS89, AT89), IF(C89 = 7, CHOOSE(D89, AW89, AX89, AY89), FALSE)))))))</f>
        <v>0</v>
      </c>
      <c r="W89" s="2" t="b">
        <f t="shared" ref="W89" si="1554">AND(NOT(I89), NOT(K89), NOT(J89))</f>
        <v>0</v>
      </c>
      <c r="X89" s="2" t="b">
        <f t="shared" ref="X89" si="1555">AND(NOT(I89), NOT(K89), NOT(J89))</f>
        <v>0</v>
      </c>
      <c r="Y89" s="2" t="b">
        <f t="shared" ref="Y89" si="1556">AND(NOT(I89), NOT(K89), NOT(J89))</f>
        <v>0</v>
      </c>
      <c r="Z89" s="2" t="b">
        <f t="shared" ref="Z89" si="1557">AND(NOT(I89), NOT(K89), NOT(J89))</f>
        <v>0</v>
      </c>
      <c r="AC89" s="2" t="b">
        <f t="shared" ref="AC89" si="1558">AND(NOT(I89), NOT(K89), NOT(J89))</f>
        <v>0</v>
      </c>
      <c r="AD89" s="2" t="b">
        <f t="shared" ref="AD89" si="1559">AND(NOT(G89), NOT(K89), NOT(J89))</f>
        <v>0</v>
      </c>
      <c r="AE89" s="2" t="b">
        <f t="shared" ref="AE89" si="1560">AND(NOT(I89), NOT(K89), NOT(J89))</f>
        <v>0</v>
      </c>
      <c r="AF89" s="2" t="b">
        <f t="shared" ref="AF89" si="1561">AND(NOT(I89), NOT(K89), NOT(J89))</f>
        <v>0</v>
      </c>
      <c r="AI89" s="2" t="b">
        <f t="shared" ref="AI89" si="1562">AND(NOT(I89), NOT(K89), NOT(J89))</f>
        <v>0</v>
      </c>
      <c r="AJ89" s="2" t="b">
        <f t="shared" ref="AJ89" si="1563">AND(NOT(J89), NOT(K89))</f>
        <v>0</v>
      </c>
      <c r="AK89" s="2" t="b">
        <f t="shared" ref="AK89" si="1564">AND(NOT(I89), NOT(K89), NOT(J89))</f>
        <v>0</v>
      </c>
      <c r="AN89" s="2" t="b">
        <f t="shared" ref="AN89" si="1565">AND(NOT(I89), NOT(K89), NOT(J89))</f>
        <v>0</v>
      </c>
      <c r="AO89" s="2" t="b">
        <f t="shared" ref="AO89" si="1566">AND(NOT(G89), NOT(J89), NOT(K89))</f>
        <v>0</v>
      </c>
      <c r="AR89" s="2" t="b">
        <f t="shared" ref="AR89:AR91" si="1567">AND(NOT(J89), NOT(K89))</f>
        <v>0</v>
      </c>
      <c r="AS89" s="2" t="b">
        <f t="shared" ref="AS89" si="1568">AND(NOT(I89), NOT(K89), NOT(J89))</f>
        <v>0</v>
      </c>
      <c r="AT89" s="2" t="b">
        <f t="shared" ref="AT89" si="1569">AND(NOT(G89), NOT(J89), NOT(K89))</f>
        <v>0</v>
      </c>
      <c r="AW89" s="2" t="b">
        <f t="shared" ref="AW89" si="1570">AND(NOT(G89), NOT(J89), NOT(K89))</f>
        <v>0</v>
      </c>
      <c r="AX89" s="2" t="b">
        <f t="shared" ref="AX89" si="1571">AND(NOT(J89), NOT(K89))</f>
        <v>0</v>
      </c>
      <c r="AY89" s="2" t="b">
        <f t="shared" ref="AY89" si="1572">AND(NOT(G89), NOT(J89), NOT(K89))</f>
        <v>0</v>
      </c>
    </row>
    <row r="90" spans="2:54" ht="18" hidden="1" customHeight="1" x14ac:dyDescent="0.3">
      <c r="B90" s="416"/>
      <c r="C90" s="332"/>
      <c r="D90" s="332"/>
      <c r="E90" s="2" t="s">
        <v>234</v>
      </c>
      <c r="F90" s="2" t="str">
        <f>IF('One-Off Entries'!N27 &lt;&gt; "", LEFT('One-Off Entries'!N27, 1), "")</f>
        <v/>
      </c>
      <c r="G90" s="2" t="b">
        <f t="shared" ref="G90:G92" si="1573">IF(F90 = "P", TRUE, FALSE)</f>
        <v>0</v>
      </c>
      <c r="H90" s="2" t="b">
        <f t="shared" ref="H90:H92" si="1574">IF(F90 = "G", TRUE, FALSE)</f>
        <v>0</v>
      </c>
      <c r="I90" s="2" t="b">
        <f t="shared" ref="I90:I92" si="1575">IF(F90 = "S", TRUE, FALSE)</f>
        <v>0</v>
      </c>
      <c r="J90" s="2" t="b">
        <f t="shared" ref="J90:J92" si="1576">IF(F90 = "B", TRUE, FALSE)</f>
        <v>0</v>
      </c>
      <c r="K90" s="27" t="b">
        <f t="shared" ref="K90:K92" si="1577">IF(AND(IF(G90 = FALSE, TRUE, FALSE), IF(H90 = FALSE, TRUE, FALSE), IF(I90 = FALSE, TRUE, FALSE), IF(J90 = FALSE, TRUE, FALSE)) = TRUE, TRUE, FALSE)</f>
        <v>1</v>
      </c>
      <c r="L90" s="416"/>
      <c r="O90" s="1" t="s">
        <v>386</v>
      </c>
      <c r="P90" s="1" t="b">
        <f t="shared" ref="P90" si="1578">OR(IF(C89 = 2, TRUE, FALSE), IF(C89 = 2.2, TRUE, FALSE))</f>
        <v>0</v>
      </c>
      <c r="Q90" s="1">
        <f t="shared" si="1187"/>
        <v>0</v>
      </c>
      <c r="T90" s="2" t="b">
        <f t="shared" ref="T90" si="1579">IF(D89 = 0, FALSE, IF(C89 = 1, CHOOSE(D89, W90, X90, Y90, Z90), IF(C89 = 2, CHOOSE(D89, AC90, AD90, AE90, AF90), IF(C89 = 3, CHOOSE(D89, AI90, AJ90, AK90), IF(C89 = 4, CHOOSE(D89, AN90, AO90), IF(C89 = 5, CHOOSE(D89, AR90, AS90, AT90), IF(C89 = 7, CHOOSE(D89, AW90, AX90, AY90), FALSE)))))))</f>
        <v>0</v>
      </c>
      <c r="W90" s="2" t="b">
        <f t="shared" ref="W90:W91" si="1580">AND(NOT(K90), NOT(J90))</f>
        <v>0</v>
      </c>
      <c r="X90" s="2" t="b">
        <f t="shared" ref="X90" si="1581">NOT(K89)</f>
        <v>0</v>
      </c>
      <c r="Y90" s="2" t="b">
        <f t="shared" ref="Y90" si="1582">AND(NOT(K90), NOT(J90))</f>
        <v>0</v>
      </c>
      <c r="Z90" s="2" t="b">
        <f t="shared" ref="Z90" si="1583">OR(I90, J90)</f>
        <v>0</v>
      </c>
      <c r="AC90" s="2" t="b">
        <f t="shared" ref="AC90" si="1584">AND(NOT(K90), NOT(J90))</f>
        <v>0</v>
      </c>
      <c r="AD90" s="2" t="b">
        <f t="shared" ref="AD90" si="1585">J90</f>
        <v>0</v>
      </c>
      <c r="AE90" s="2" t="b">
        <f t="shared" ref="AE90" si="1586">AND(NOT(K90), NOT(J90))</f>
        <v>0</v>
      </c>
      <c r="AF90" s="2" t="b">
        <f t="shared" ref="AF90" si="1587">J90</f>
        <v>0</v>
      </c>
      <c r="AI90" s="2" t="b">
        <f t="shared" ref="AI90" si="1588">AND(NOT(J90), NOT(K90))</f>
        <v>0</v>
      </c>
      <c r="AJ90" s="2" t="b">
        <f t="shared" ref="AJ90" si="1589">OR(I90, J90)</f>
        <v>0</v>
      </c>
      <c r="AK90" s="2" t="b">
        <f t="shared" ref="AK90" si="1590">OR(I90, J90)</f>
        <v>0</v>
      </c>
      <c r="AN90" s="2" t="b">
        <f t="shared" ref="AN90" si="1591">OR(I90, J90)</f>
        <v>0</v>
      </c>
      <c r="AO90" s="2" t="b">
        <f t="shared" ref="AO90" si="1592">J90</f>
        <v>0</v>
      </c>
      <c r="AR90" s="2" t="b">
        <f t="shared" si="1567"/>
        <v>0</v>
      </c>
      <c r="AS90" s="2" t="b">
        <f t="shared" ref="AS90" si="1593">OR(I90, J90)</f>
        <v>0</v>
      </c>
      <c r="AT90" s="2" t="b">
        <f t="shared" ref="AT90" si="1594">OR(I90, J90)</f>
        <v>0</v>
      </c>
      <c r="AW90" s="2" t="b">
        <f t="shared" ref="AW90" si="1595">J90</f>
        <v>0</v>
      </c>
      <c r="AX90" s="2" t="b">
        <f t="shared" ref="AX90" si="1596">J90</f>
        <v>0</v>
      </c>
      <c r="AY90" s="2" t="b">
        <f t="shared" ref="AY90" si="1597">J90</f>
        <v>0</v>
      </c>
    </row>
    <row r="91" spans="2:54" ht="18" hidden="1" customHeight="1" x14ac:dyDescent="0.3">
      <c r="B91" s="416"/>
      <c r="C91" s="332"/>
      <c r="D91" s="332"/>
      <c r="E91" s="2" t="s">
        <v>235</v>
      </c>
      <c r="F91" s="2" t="str">
        <f>IF('One-Off Entries'!O27 &lt;&gt; "", LEFT('One-Off Entries'!O27, 1), "")</f>
        <v/>
      </c>
      <c r="G91" s="2" t="b">
        <f t="shared" si="1573"/>
        <v>0</v>
      </c>
      <c r="H91" s="2" t="b">
        <f t="shared" si="1574"/>
        <v>0</v>
      </c>
      <c r="I91" s="2" t="b">
        <f t="shared" si="1575"/>
        <v>0</v>
      </c>
      <c r="J91" s="2" t="b">
        <f t="shared" si="1576"/>
        <v>0</v>
      </c>
      <c r="K91" s="27" t="b">
        <f t="shared" si="1577"/>
        <v>1</v>
      </c>
      <c r="L91" s="416"/>
      <c r="O91" s="1" t="s">
        <v>387</v>
      </c>
      <c r="P91" s="1" t="b">
        <f t="shared" ref="P91" si="1598">OR(IF(D89 = 2, TRUE, FALSE), IF(D89 = 4, TRUE, FALSE))</f>
        <v>0</v>
      </c>
      <c r="Q91" s="1">
        <f t="shared" si="1187"/>
        <v>0</v>
      </c>
      <c r="T91" s="2" t="b">
        <f t="shared" ref="T91" si="1599">IF(D89 = 0, FALSE, IF(C89 = 1, CHOOSE(D89, W91, X91, Y91, Z91), IF(C89 = 2, CHOOSE(D89, AC91, AD91, AE91, AF91), IF(C89 = 3, CHOOSE(D89, AI91, AJ91, AK91), IF(C89 = 4, CHOOSE(D89, AN91, AO91), IF(C89 = 5, CHOOSE(D89, AR91, AS91, AT91), IF(C89 = 7, CHOOSE(D89, AW91, AX91, AY91), FALSE)))))))</f>
        <v>0</v>
      </c>
      <c r="W91" s="2" t="b">
        <f t="shared" si="1580"/>
        <v>0</v>
      </c>
      <c r="X91" s="2" t="b">
        <f t="shared" ref="X91" si="1600">OR(I91, J91)</f>
        <v>0</v>
      </c>
      <c r="Y91" s="2" t="b">
        <f t="shared" ref="Y91" si="1601">AND(NOT(K90), NOT(J90))</f>
        <v>0</v>
      </c>
      <c r="Z91" s="2" t="b">
        <f t="shared" ref="Z91" si="1602">J91</f>
        <v>0</v>
      </c>
      <c r="AC91" s="2" t="b">
        <f t="shared" ref="AC91" si="1603">NOT(K91)</f>
        <v>0</v>
      </c>
      <c r="AD91" s="2" t="b">
        <f t="shared" ref="AD91" si="1604">OR(I91, J91)</f>
        <v>0</v>
      </c>
      <c r="AE91" s="2" t="b">
        <f t="shared" ref="AE91" si="1605">NOT(K91)</f>
        <v>0</v>
      </c>
      <c r="AF91" s="2" t="b">
        <f t="shared" ref="AF91" si="1606">OR(I91, J91)</f>
        <v>0</v>
      </c>
      <c r="AI91" s="2" t="b">
        <f t="shared" ref="AI91" si="1607">AND(OR(I91, J91), NOT(K91))</f>
        <v>0</v>
      </c>
      <c r="AJ91" s="2" t="b">
        <f t="shared" ref="AJ91" si="1608">J91</f>
        <v>0</v>
      </c>
      <c r="AK91" s="2" t="b">
        <f t="shared" ref="AK91" si="1609">J91</f>
        <v>0</v>
      </c>
      <c r="AN91" s="2" t="b">
        <f t="shared" ref="AN91:AN92" si="1610">K91</f>
        <v>1</v>
      </c>
      <c r="AO91" s="2" t="b">
        <f t="shared" ref="AO91:AO92" si="1611">K91</f>
        <v>1</v>
      </c>
      <c r="AR91" s="2" t="b">
        <f t="shared" si="1567"/>
        <v>0</v>
      </c>
      <c r="AS91" s="2" t="b">
        <f t="shared" ref="AS91" si="1612">J91</f>
        <v>0</v>
      </c>
      <c r="AT91" s="2" t="b">
        <f t="shared" ref="AT91" si="1613">J91</f>
        <v>0</v>
      </c>
      <c r="AW91" s="2" t="b">
        <f t="shared" ref="AW91:AW92" si="1614">K91</f>
        <v>1</v>
      </c>
      <c r="AX91" s="2" t="b">
        <f t="shared" ref="AX91:AX92" si="1615">K91</f>
        <v>1</v>
      </c>
      <c r="AY91" s="2" t="b">
        <f t="shared" ref="AY91:AY92" si="1616">K91</f>
        <v>1</v>
      </c>
    </row>
    <row r="92" spans="2:54" ht="18" customHeight="1" x14ac:dyDescent="0.3">
      <c r="B92" s="412"/>
      <c r="C92" s="332"/>
      <c r="D92" s="332"/>
      <c r="E92" s="2" t="s">
        <v>236</v>
      </c>
      <c r="F92" s="2" t="str">
        <f>IF('One-Off Entries'!P27 &lt;&gt; "", LEFT('One-Off Entries'!P27, 1), "")</f>
        <v/>
      </c>
      <c r="G92" s="2" t="b">
        <f t="shared" si="1573"/>
        <v>0</v>
      </c>
      <c r="H92" s="2" t="b">
        <f t="shared" si="1574"/>
        <v>0</v>
      </c>
      <c r="I92" s="2" t="b">
        <f t="shared" si="1575"/>
        <v>0</v>
      </c>
      <c r="J92" s="2" t="b">
        <f t="shared" si="1576"/>
        <v>0</v>
      </c>
      <c r="K92" s="27" t="b">
        <f t="shared" si="1577"/>
        <v>1</v>
      </c>
      <c r="L92" s="412"/>
      <c r="O92" s="1" t="s">
        <v>388</v>
      </c>
      <c r="P92" s="1" t="b">
        <f t="shared" ref="P92" si="1617">IF(SUM(Q89:Q92) &gt; 1, TRUE, FALSE)</f>
        <v>0</v>
      </c>
      <c r="Q92" s="1">
        <f t="shared" si="1187"/>
        <v>0</v>
      </c>
      <c r="T92" s="2" t="b">
        <f>IF(D89 = 0, FALSE, IF(C89 = 1, CHOOSE(D89, W92, X92, Y92, Z92), IF(C89 = 2, IF(BB92 = "Rolex 24 at Daytona", CHOOSE(D89, AC92, AD92, AE92, AF92), K92), IF(C89 = 3, CHOOSE(D89, AI92, AJ92, AK92), IF(C89 = 4, CHOOSE(D89, AN92, AO92), IF(C89 = 5, CHOOSE(D89, AR92, AS92, AT92), IF(C89 = 7, CHOOSE(D89, AW92, AX92, AY92), FALSE)))))))</f>
        <v>0</v>
      </c>
      <c r="W92" s="2" t="b">
        <f t="shared" ref="W92" si="1618">K92</f>
        <v>1</v>
      </c>
      <c r="X92" s="2" t="b">
        <f t="shared" ref="X92" si="1619">K92</f>
        <v>1</v>
      </c>
      <c r="Y92" s="2" t="b">
        <f t="shared" ref="Y92" si="1620">K92</f>
        <v>1</v>
      </c>
      <c r="Z92" s="2" t="b">
        <f t="shared" ref="Z92" si="1621">K92</f>
        <v>1</v>
      </c>
      <c r="AC92" s="2" t="b">
        <v>1</v>
      </c>
      <c r="AD92" s="2" t="b">
        <f t="shared" ref="AD92" si="1622">NOT(K92)</f>
        <v>0</v>
      </c>
      <c r="AE92" s="2" t="b">
        <v>1</v>
      </c>
      <c r="AF92" s="2" t="b">
        <f t="shared" ref="AF92" si="1623">NOT(K92)</f>
        <v>0</v>
      </c>
      <c r="AI92" s="2" t="b">
        <f t="shared" ref="AI92" si="1624">K92</f>
        <v>1</v>
      </c>
      <c r="AJ92" s="2" t="b">
        <f t="shared" ref="AJ92" si="1625">K92</f>
        <v>1</v>
      </c>
      <c r="AK92" s="2" t="b">
        <f t="shared" ref="AK92" si="1626">K92</f>
        <v>1</v>
      </c>
      <c r="AN92" s="2" t="b">
        <f t="shared" si="1610"/>
        <v>1</v>
      </c>
      <c r="AO92" s="2" t="b">
        <f t="shared" si="1611"/>
        <v>1</v>
      </c>
      <c r="AR92" s="2" t="b">
        <f t="shared" ref="AR92" si="1627">K92</f>
        <v>1</v>
      </c>
      <c r="AS92" s="2" t="b">
        <f t="shared" ref="AS92" si="1628">K92</f>
        <v>1</v>
      </c>
      <c r="AT92" s="2" t="b">
        <f t="shared" ref="AT92" si="1629">K92</f>
        <v>1</v>
      </c>
      <c r="AW92" s="2" t="b">
        <f t="shared" si="1614"/>
        <v>1</v>
      </c>
      <c r="AX92" s="2" t="b">
        <f t="shared" si="1615"/>
        <v>1</v>
      </c>
      <c r="AY92" s="2" t="b">
        <f t="shared" si="1616"/>
        <v>1</v>
      </c>
      <c r="BB92" s="1">
        <f>'One-Off Entries'!C27</f>
        <v>0</v>
      </c>
    </row>
    <row r="93" spans="2:54" ht="18" hidden="1" customHeight="1" x14ac:dyDescent="0.3">
      <c r="B93" s="415">
        <v>23</v>
      </c>
      <c r="C93" s="332">
        <f>'One-Off Entries'!AI28</f>
        <v>0</v>
      </c>
      <c r="D93" s="332">
        <f>'One-Off Entries'!AJ28</f>
        <v>0</v>
      </c>
      <c r="E93" s="2" t="s">
        <v>233</v>
      </c>
      <c r="F93" s="2" t="str">
        <f>IF('One-Off Entries'!M28 &lt;&gt; "", LEFT('One-Off Entries'!M28, 1), "")</f>
        <v/>
      </c>
      <c r="G93" s="2" t="b">
        <f>IF(F93 = "P", TRUE, FALSE)</f>
        <v>0</v>
      </c>
      <c r="H93" s="2" t="b">
        <f>IF(F93 = "G", TRUE, FALSE)</f>
        <v>0</v>
      </c>
      <c r="I93" s="2" t="b">
        <f>IF(F93 = "S", TRUE, FALSE)</f>
        <v>0</v>
      </c>
      <c r="J93" s="2" t="b">
        <f>IF(F93 = "B", TRUE, FALSE)</f>
        <v>0</v>
      </c>
      <c r="K93" s="27" t="b">
        <f>IF(AND(IF(G93 = FALSE, TRUE, FALSE), IF(H93 = FALSE, TRUE, FALSE), IF(I93 = FALSE, TRUE, FALSE), IF(J93 = FALSE, TRUE, FALSE)) = TRUE, TRUE, FALSE)</f>
        <v>1</v>
      </c>
      <c r="L93" s="415" t="str">
        <f>IF(P93, "", IF(AND(P94, P95), AND(T93, T94, T95, T96), AND(NOT(P96), T93, T94, T95, T96)))</f>
        <v/>
      </c>
      <c r="O93" s="1" t="s">
        <v>232</v>
      </c>
      <c r="P93" s="1" t="b">
        <f t="shared" ref="P93" si="1630">AND(K93, K94, K95, K96)</f>
        <v>1</v>
      </c>
      <c r="Q93" s="1">
        <f t="shared" si="1187"/>
        <v>0</v>
      </c>
      <c r="T93" s="2" t="b">
        <f t="shared" ref="T93" si="1631">IF(D93 = 0, FALSE, IF(C93 = 1, CHOOSE(D93, W93, X93, Y93, Z93), IF(C93 = 2, CHOOSE(D93, AC93, AD93, AE93, AF93), IF(C93 = 3, CHOOSE(D93, AI93, AJ93, AK93), IF(C93 = 4, CHOOSE(D93, AN93, AO93), IF(C93 = 5, CHOOSE(D93, AR93, AS93, AT93), IF(C93 = 7, CHOOSE(D93, AW93, AX93, AY93), FALSE)))))))</f>
        <v>0</v>
      </c>
      <c r="W93" s="2" t="b">
        <f t="shared" ref="W93" si="1632">AND(NOT(I93), NOT(K93), NOT(J93))</f>
        <v>0</v>
      </c>
      <c r="X93" s="2" t="b">
        <f t="shared" ref="X93" si="1633">AND(NOT(I93), NOT(K93), NOT(J93))</f>
        <v>0</v>
      </c>
      <c r="Y93" s="2" t="b">
        <f t="shared" ref="Y93" si="1634">AND(NOT(I93), NOT(K93), NOT(J93))</f>
        <v>0</v>
      </c>
      <c r="Z93" s="2" t="b">
        <f t="shared" ref="Z93" si="1635">AND(NOT(I93), NOT(K93), NOT(J93))</f>
        <v>0</v>
      </c>
      <c r="AC93" s="2" t="b">
        <f t="shared" ref="AC93" si="1636">AND(NOT(I93), NOT(K93), NOT(J93))</f>
        <v>0</v>
      </c>
      <c r="AD93" s="2" t="b">
        <f t="shared" ref="AD93" si="1637">AND(NOT(G93), NOT(K93), NOT(J93))</f>
        <v>0</v>
      </c>
      <c r="AE93" s="2" t="b">
        <f t="shared" ref="AE93" si="1638">AND(NOT(I93), NOT(K93), NOT(J93))</f>
        <v>0</v>
      </c>
      <c r="AF93" s="2" t="b">
        <f t="shared" ref="AF93" si="1639">AND(NOT(I93), NOT(K93), NOT(J93))</f>
        <v>0</v>
      </c>
      <c r="AI93" s="2" t="b">
        <f t="shared" ref="AI93" si="1640">AND(NOT(I93), NOT(K93), NOT(J93))</f>
        <v>0</v>
      </c>
      <c r="AJ93" s="2" t="b">
        <f t="shared" ref="AJ93" si="1641">AND(NOT(J93), NOT(K93))</f>
        <v>0</v>
      </c>
      <c r="AK93" s="2" t="b">
        <f t="shared" ref="AK93" si="1642">AND(NOT(I93), NOT(K93), NOT(J93))</f>
        <v>0</v>
      </c>
      <c r="AN93" s="2" t="b">
        <f t="shared" ref="AN93" si="1643">AND(NOT(I93), NOT(K93), NOT(J93))</f>
        <v>0</v>
      </c>
      <c r="AO93" s="2" t="b">
        <f t="shared" ref="AO93" si="1644">AND(NOT(G93), NOT(J93), NOT(K93))</f>
        <v>0</v>
      </c>
      <c r="AR93" s="2" t="b">
        <f t="shared" ref="AR93:AR95" si="1645">AND(NOT(J93), NOT(K93))</f>
        <v>0</v>
      </c>
      <c r="AS93" s="2" t="b">
        <f t="shared" ref="AS93" si="1646">AND(NOT(I93), NOT(K93), NOT(J93))</f>
        <v>0</v>
      </c>
      <c r="AT93" s="2" t="b">
        <f t="shared" ref="AT93" si="1647">AND(NOT(G93), NOT(J93), NOT(K93))</f>
        <v>0</v>
      </c>
      <c r="AW93" s="2" t="b">
        <f t="shared" ref="AW93" si="1648">AND(NOT(G93), NOT(J93), NOT(K93))</f>
        <v>0</v>
      </c>
      <c r="AX93" s="2" t="b">
        <f t="shared" ref="AX93" si="1649">AND(NOT(J93), NOT(K93))</f>
        <v>0</v>
      </c>
      <c r="AY93" s="2" t="b">
        <f t="shared" ref="AY93" si="1650">AND(NOT(G93), NOT(J93), NOT(K93))</f>
        <v>0</v>
      </c>
    </row>
    <row r="94" spans="2:54" ht="18" hidden="1" customHeight="1" x14ac:dyDescent="0.3">
      <c r="B94" s="416"/>
      <c r="C94" s="332"/>
      <c r="D94" s="332"/>
      <c r="E94" s="2" t="s">
        <v>234</v>
      </c>
      <c r="F94" s="2" t="str">
        <f>IF('One-Off Entries'!N28 &lt;&gt; "", LEFT('One-Off Entries'!N28, 1), "")</f>
        <v/>
      </c>
      <c r="G94" s="2" t="b">
        <f t="shared" ref="G94:G96" si="1651">IF(F94 = "P", TRUE, FALSE)</f>
        <v>0</v>
      </c>
      <c r="H94" s="2" t="b">
        <f t="shared" ref="H94:H96" si="1652">IF(F94 = "G", TRUE, FALSE)</f>
        <v>0</v>
      </c>
      <c r="I94" s="2" t="b">
        <f t="shared" ref="I94:I96" si="1653">IF(F94 = "S", TRUE, FALSE)</f>
        <v>0</v>
      </c>
      <c r="J94" s="2" t="b">
        <f t="shared" ref="J94:J96" si="1654">IF(F94 = "B", TRUE, FALSE)</f>
        <v>0</v>
      </c>
      <c r="K94" s="27" t="b">
        <f t="shared" ref="K94:K96" si="1655">IF(AND(IF(G94 = FALSE, TRUE, FALSE), IF(H94 = FALSE, TRUE, FALSE), IF(I94 = FALSE, TRUE, FALSE), IF(J94 = FALSE, TRUE, FALSE)) = TRUE, TRUE, FALSE)</f>
        <v>1</v>
      </c>
      <c r="L94" s="416"/>
      <c r="O94" s="1" t="s">
        <v>386</v>
      </c>
      <c r="P94" s="1" t="b">
        <f t="shared" ref="P94" si="1656">OR(IF(C93 = 2, TRUE, FALSE), IF(C93 = 2.2, TRUE, FALSE))</f>
        <v>0</v>
      </c>
      <c r="Q94" s="1">
        <f t="shared" si="1187"/>
        <v>0</v>
      </c>
      <c r="T94" s="2" t="b">
        <f t="shared" ref="T94" si="1657">IF(D93 = 0, FALSE, IF(C93 = 1, CHOOSE(D93, W94, X94, Y94, Z94), IF(C93 = 2, CHOOSE(D93, AC94, AD94, AE94, AF94), IF(C93 = 3, CHOOSE(D93, AI94, AJ94, AK94), IF(C93 = 4, CHOOSE(D93, AN94, AO94), IF(C93 = 5, CHOOSE(D93, AR94, AS94, AT94), IF(C93 = 7, CHOOSE(D93, AW94, AX94, AY94), FALSE)))))))</f>
        <v>0</v>
      </c>
      <c r="W94" s="2" t="b">
        <f t="shared" ref="W94:W95" si="1658">AND(NOT(K94), NOT(J94))</f>
        <v>0</v>
      </c>
      <c r="X94" s="2" t="b">
        <f t="shared" ref="X94" si="1659">NOT(K93)</f>
        <v>0</v>
      </c>
      <c r="Y94" s="2" t="b">
        <f t="shared" ref="Y94" si="1660">AND(NOT(K94), NOT(J94))</f>
        <v>0</v>
      </c>
      <c r="Z94" s="2" t="b">
        <f t="shared" ref="Z94" si="1661">OR(I94, J94)</f>
        <v>0</v>
      </c>
      <c r="AC94" s="2" t="b">
        <f t="shared" ref="AC94" si="1662">AND(NOT(K94), NOT(J94))</f>
        <v>0</v>
      </c>
      <c r="AD94" s="2" t="b">
        <f t="shared" ref="AD94" si="1663">J94</f>
        <v>0</v>
      </c>
      <c r="AE94" s="2" t="b">
        <f t="shared" ref="AE94" si="1664">AND(NOT(K94), NOT(J94))</f>
        <v>0</v>
      </c>
      <c r="AF94" s="2" t="b">
        <f t="shared" ref="AF94" si="1665">J94</f>
        <v>0</v>
      </c>
      <c r="AI94" s="2" t="b">
        <f t="shared" ref="AI94" si="1666">AND(NOT(J94), NOT(K94))</f>
        <v>0</v>
      </c>
      <c r="AJ94" s="2" t="b">
        <f t="shared" ref="AJ94" si="1667">OR(I94, J94)</f>
        <v>0</v>
      </c>
      <c r="AK94" s="2" t="b">
        <f t="shared" ref="AK94" si="1668">OR(I94, J94)</f>
        <v>0</v>
      </c>
      <c r="AN94" s="2" t="b">
        <f t="shared" ref="AN94" si="1669">OR(I94, J94)</f>
        <v>0</v>
      </c>
      <c r="AO94" s="2" t="b">
        <f t="shared" ref="AO94" si="1670">J94</f>
        <v>0</v>
      </c>
      <c r="AR94" s="2" t="b">
        <f t="shared" si="1645"/>
        <v>0</v>
      </c>
      <c r="AS94" s="2" t="b">
        <f t="shared" ref="AS94" si="1671">OR(I94, J94)</f>
        <v>0</v>
      </c>
      <c r="AT94" s="2" t="b">
        <f t="shared" ref="AT94" si="1672">OR(I94, J94)</f>
        <v>0</v>
      </c>
      <c r="AW94" s="2" t="b">
        <f t="shared" ref="AW94" si="1673">J94</f>
        <v>0</v>
      </c>
      <c r="AX94" s="2" t="b">
        <f t="shared" ref="AX94" si="1674">J94</f>
        <v>0</v>
      </c>
      <c r="AY94" s="2" t="b">
        <f t="shared" ref="AY94" si="1675">J94</f>
        <v>0</v>
      </c>
    </row>
    <row r="95" spans="2:54" ht="18" hidden="1" customHeight="1" x14ac:dyDescent="0.3">
      <c r="B95" s="416"/>
      <c r="C95" s="332"/>
      <c r="D95" s="332"/>
      <c r="E95" s="2" t="s">
        <v>235</v>
      </c>
      <c r="F95" s="2" t="str">
        <f>IF('One-Off Entries'!O28 &lt;&gt; "", LEFT('One-Off Entries'!O28, 1), "")</f>
        <v/>
      </c>
      <c r="G95" s="2" t="b">
        <f t="shared" si="1651"/>
        <v>0</v>
      </c>
      <c r="H95" s="2" t="b">
        <f t="shared" si="1652"/>
        <v>0</v>
      </c>
      <c r="I95" s="2" t="b">
        <f t="shared" si="1653"/>
        <v>0</v>
      </c>
      <c r="J95" s="2" t="b">
        <f t="shared" si="1654"/>
        <v>0</v>
      </c>
      <c r="K95" s="27" t="b">
        <f t="shared" si="1655"/>
        <v>1</v>
      </c>
      <c r="L95" s="416"/>
      <c r="O95" s="1" t="s">
        <v>387</v>
      </c>
      <c r="P95" s="1" t="b">
        <f t="shared" ref="P95" si="1676">OR(IF(D93 = 2, TRUE, FALSE), IF(D93 = 4, TRUE, FALSE))</f>
        <v>0</v>
      </c>
      <c r="Q95" s="1">
        <f t="shared" si="1187"/>
        <v>0</v>
      </c>
      <c r="T95" s="2" t="b">
        <f t="shared" ref="T95" si="1677">IF(D93 = 0, FALSE, IF(C93 = 1, CHOOSE(D93, W95, X95, Y95, Z95), IF(C93 = 2, CHOOSE(D93, AC95, AD95, AE95, AF95), IF(C93 = 3, CHOOSE(D93, AI95, AJ95, AK95), IF(C93 = 4, CHOOSE(D93, AN95, AO95), IF(C93 = 5, CHOOSE(D93, AR95, AS95, AT95), IF(C93 = 7, CHOOSE(D93, AW95, AX95, AY95), FALSE)))))))</f>
        <v>0</v>
      </c>
      <c r="W95" s="2" t="b">
        <f t="shared" si="1658"/>
        <v>0</v>
      </c>
      <c r="X95" s="2" t="b">
        <f t="shared" ref="X95" si="1678">OR(I95, J95)</f>
        <v>0</v>
      </c>
      <c r="Y95" s="2" t="b">
        <f t="shared" ref="Y95" si="1679">AND(NOT(K94), NOT(J94))</f>
        <v>0</v>
      </c>
      <c r="Z95" s="2" t="b">
        <f t="shared" ref="Z95" si="1680">J95</f>
        <v>0</v>
      </c>
      <c r="AC95" s="2" t="b">
        <f t="shared" ref="AC95" si="1681">NOT(K95)</f>
        <v>0</v>
      </c>
      <c r="AD95" s="2" t="b">
        <f t="shared" ref="AD95" si="1682">OR(I95, J95)</f>
        <v>0</v>
      </c>
      <c r="AE95" s="2" t="b">
        <f t="shared" ref="AE95" si="1683">NOT(K95)</f>
        <v>0</v>
      </c>
      <c r="AF95" s="2" t="b">
        <f t="shared" ref="AF95" si="1684">OR(I95, J95)</f>
        <v>0</v>
      </c>
      <c r="AI95" s="2" t="b">
        <f t="shared" ref="AI95" si="1685">AND(OR(I95, J95), NOT(K95))</f>
        <v>0</v>
      </c>
      <c r="AJ95" s="2" t="b">
        <f t="shared" ref="AJ95" si="1686">J95</f>
        <v>0</v>
      </c>
      <c r="AK95" s="2" t="b">
        <f t="shared" ref="AK95" si="1687">J95</f>
        <v>0</v>
      </c>
      <c r="AN95" s="2" t="b">
        <f t="shared" ref="AN95:AN96" si="1688">K95</f>
        <v>1</v>
      </c>
      <c r="AO95" s="2" t="b">
        <f t="shared" ref="AO95:AO96" si="1689">K95</f>
        <v>1</v>
      </c>
      <c r="AR95" s="2" t="b">
        <f t="shared" si="1645"/>
        <v>0</v>
      </c>
      <c r="AS95" s="2" t="b">
        <f t="shared" ref="AS95" si="1690">J95</f>
        <v>0</v>
      </c>
      <c r="AT95" s="2" t="b">
        <f t="shared" ref="AT95" si="1691">J95</f>
        <v>0</v>
      </c>
      <c r="AW95" s="2" t="b">
        <f t="shared" ref="AW95:AW96" si="1692">K95</f>
        <v>1</v>
      </c>
      <c r="AX95" s="2" t="b">
        <f t="shared" ref="AX95:AX96" si="1693">K95</f>
        <v>1</v>
      </c>
      <c r="AY95" s="2" t="b">
        <f t="shared" ref="AY95:AY96" si="1694">K95</f>
        <v>1</v>
      </c>
    </row>
    <row r="96" spans="2:54" ht="18" customHeight="1" x14ac:dyDescent="0.3">
      <c r="B96" s="412"/>
      <c r="C96" s="332"/>
      <c r="D96" s="332"/>
      <c r="E96" s="2" t="s">
        <v>236</v>
      </c>
      <c r="F96" s="2" t="str">
        <f>IF('One-Off Entries'!P28 &lt;&gt; "", LEFT('One-Off Entries'!P28, 1), "")</f>
        <v/>
      </c>
      <c r="G96" s="2" t="b">
        <f t="shared" si="1651"/>
        <v>0</v>
      </c>
      <c r="H96" s="2" t="b">
        <f t="shared" si="1652"/>
        <v>0</v>
      </c>
      <c r="I96" s="2" t="b">
        <f t="shared" si="1653"/>
        <v>0</v>
      </c>
      <c r="J96" s="2" t="b">
        <f t="shared" si="1654"/>
        <v>0</v>
      </c>
      <c r="K96" s="27" t="b">
        <f t="shared" si="1655"/>
        <v>1</v>
      </c>
      <c r="L96" s="412"/>
      <c r="O96" s="1" t="s">
        <v>388</v>
      </c>
      <c r="P96" s="1" t="b">
        <f t="shared" ref="P96" si="1695">IF(SUM(Q93:Q96) &gt; 1, TRUE, FALSE)</f>
        <v>0</v>
      </c>
      <c r="Q96" s="1">
        <f t="shared" si="1187"/>
        <v>0</v>
      </c>
      <c r="T96" s="2" t="b">
        <f>IF(D93 = 0, FALSE, IF(C93 = 1, CHOOSE(D93, W96, X96, Y96, Z96), IF(C93 = 2, IF(BB96 = "Rolex 24 at Daytona", CHOOSE(D93, AC96, AD96, AE96, AF96), K96), IF(C93 = 3, CHOOSE(D93, AI96, AJ96, AK96), IF(C93 = 4, CHOOSE(D93, AN96, AO96), IF(C93 = 5, CHOOSE(D93, AR96, AS96, AT96), IF(C93 = 7, CHOOSE(D93, AW96, AX96, AY96), FALSE)))))))</f>
        <v>0</v>
      </c>
      <c r="W96" s="2" t="b">
        <f t="shared" ref="W96" si="1696">K96</f>
        <v>1</v>
      </c>
      <c r="X96" s="2" t="b">
        <f t="shared" ref="X96" si="1697">K96</f>
        <v>1</v>
      </c>
      <c r="Y96" s="2" t="b">
        <f t="shared" ref="Y96" si="1698">K96</f>
        <v>1</v>
      </c>
      <c r="Z96" s="2" t="b">
        <f t="shared" ref="Z96" si="1699">K96</f>
        <v>1</v>
      </c>
      <c r="AC96" s="2" t="b">
        <v>1</v>
      </c>
      <c r="AD96" s="2" t="b">
        <f t="shared" ref="AD96" si="1700">NOT(K96)</f>
        <v>0</v>
      </c>
      <c r="AE96" s="2" t="b">
        <v>1</v>
      </c>
      <c r="AF96" s="2" t="b">
        <f t="shared" ref="AF96" si="1701">NOT(K96)</f>
        <v>0</v>
      </c>
      <c r="AI96" s="2" t="b">
        <f t="shared" ref="AI96" si="1702">K96</f>
        <v>1</v>
      </c>
      <c r="AJ96" s="2" t="b">
        <f t="shared" ref="AJ96" si="1703">K96</f>
        <v>1</v>
      </c>
      <c r="AK96" s="2" t="b">
        <f t="shared" ref="AK96" si="1704">K96</f>
        <v>1</v>
      </c>
      <c r="AN96" s="2" t="b">
        <f t="shared" si="1688"/>
        <v>1</v>
      </c>
      <c r="AO96" s="2" t="b">
        <f t="shared" si="1689"/>
        <v>1</v>
      </c>
      <c r="AR96" s="2" t="b">
        <f t="shared" ref="AR96" si="1705">K96</f>
        <v>1</v>
      </c>
      <c r="AS96" s="2" t="b">
        <f t="shared" ref="AS96" si="1706">K96</f>
        <v>1</v>
      </c>
      <c r="AT96" s="2" t="b">
        <f t="shared" ref="AT96" si="1707">K96</f>
        <v>1</v>
      </c>
      <c r="AW96" s="2" t="b">
        <f t="shared" si="1692"/>
        <v>1</v>
      </c>
      <c r="AX96" s="2" t="b">
        <f t="shared" si="1693"/>
        <v>1</v>
      </c>
      <c r="AY96" s="2" t="b">
        <f t="shared" si="1694"/>
        <v>1</v>
      </c>
      <c r="BB96" s="1">
        <f>'One-Off Entries'!C28</f>
        <v>0</v>
      </c>
    </row>
    <row r="97" spans="2:54" ht="18" hidden="1" customHeight="1" x14ac:dyDescent="0.3">
      <c r="B97" s="415">
        <v>24</v>
      </c>
      <c r="C97" s="332">
        <f>'One-Off Entries'!AI29</f>
        <v>0</v>
      </c>
      <c r="D97" s="332">
        <f>'One-Off Entries'!AJ29</f>
        <v>0</v>
      </c>
      <c r="E97" s="2" t="s">
        <v>233</v>
      </c>
      <c r="F97" s="2" t="str">
        <f>IF('One-Off Entries'!M29 &lt;&gt; "", LEFT('One-Off Entries'!M29, 1), "")</f>
        <v/>
      </c>
      <c r="G97" s="2" t="b">
        <f>IF(F97 = "P", TRUE, FALSE)</f>
        <v>0</v>
      </c>
      <c r="H97" s="2" t="b">
        <f>IF(F97 = "G", TRUE, FALSE)</f>
        <v>0</v>
      </c>
      <c r="I97" s="2" t="b">
        <f>IF(F97 = "S", TRUE, FALSE)</f>
        <v>0</v>
      </c>
      <c r="J97" s="2" t="b">
        <f>IF(F97 = "B", TRUE, FALSE)</f>
        <v>0</v>
      </c>
      <c r="K97" s="27" t="b">
        <f>IF(AND(IF(G97 = FALSE, TRUE, FALSE), IF(H97 = FALSE, TRUE, FALSE), IF(I97 = FALSE, TRUE, FALSE), IF(J97 = FALSE, TRUE, FALSE)) = TRUE, TRUE, FALSE)</f>
        <v>1</v>
      </c>
      <c r="L97" s="415" t="str">
        <f>IF(P97, "", IF(AND(P98, P99), AND(T97, T98, T99, T100), AND(NOT(P100), T97, T98, T99, T100)))</f>
        <v/>
      </c>
      <c r="O97" s="1" t="s">
        <v>232</v>
      </c>
      <c r="P97" s="1" t="b">
        <f t="shared" ref="P97" si="1708">AND(K97, K98, K99, K100)</f>
        <v>1</v>
      </c>
      <c r="Q97" s="1">
        <f t="shared" si="1187"/>
        <v>0</v>
      </c>
      <c r="T97" s="2" t="b">
        <f t="shared" ref="T97" si="1709">IF(D97 = 0, FALSE, IF(C97 = 1, CHOOSE(D97, W97, X97, Y97, Z97), IF(C97 = 2, CHOOSE(D97, AC97, AD97, AE97, AF97), IF(C97 = 3, CHOOSE(D97, AI97, AJ97, AK97), IF(C97 = 4, CHOOSE(D97, AN97, AO97), IF(C97 = 5, CHOOSE(D97, AR97, AS97, AT97), IF(C97 = 7, CHOOSE(D97, AW97, AX97, AY97), FALSE)))))))</f>
        <v>0</v>
      </c>
      <c r="W97" s="2" t="b">
        <f t="shared" ref="W97" si="1710">AND(NOT(I97), NOT(K97), NOT(J97))</f>
        <v>0</v>
      </c>
      <c r="X97" s="2" t="b">
        <f t="shared" ref="X97" si="1711">AND(NOT(I97), NOT(K97), NOT(J97))</f>
        <v>0</v>
      </c>
      <c r="Y97" s="2" t="b">
        <f t="shared" ref="Y97" si="1712">AND(NOT(I97), NOT(K97), NOT(J97))</f>
        <v>0</v>
      </c>
      <c r="Z97" s="2" t="b">
        <f t="shared" ref="Z97" si="1713">AND(NOT(I97), NOT(K97), NOT(J97))</f>
        <v>0</v>
      </c>
      <c r="AC97" s="2" t="b">
        <f t="shared" ref="AC97" si="1714">AND(NOT(I97), NOT(K97), NOT(J97))</f>
        <v>0</v>
      </c>
      <c r="AD97" s="2" t="b">
        <f t="shared" ref="AD97" si="1715">AND(NOT(G97), NOT(K97), NOT(J97))</f>
        <v>0</v>
      </c>
      <c r="AE97" s="2" t="b">
        <f t="shared" ref="AE97" si="1716">AND(NOT(I97), NOT(K97), NOT(J97))</f>
        <v>0</v>
      </c>
      <c r="AF97" s="2" t="b">
        <f t="shared" ref="AF97" si="1717">AND(NOT(I97), NOT(K97), NOT(J97))</f>
        <v>0</v>
      </c>
      <c r="AI97" s="2" t="b">
        <f t="shared" ref="AI97" si="1718">AND(NOT(I97), NOT(K97), NOT(J97))</f>
        <v>0</v>
      </c>
      <c r="AJ97" s="2" t="b">
        <f t="shared" ref="AJ97" si="1719">AND(NOT(J97), NOT(K97))</f>
        <v>0</v>
      </c>
      <c r="AK97" s="2" t="b">
        <f t="shared" ref="AK97" si="1720">AND(NOT(I97), NOT(K97), NOT(J97))</f>
        <v>0</v>
      </c>
      <c r="AN97" s="2" t="b">
        <f t="shared" ref="AN97" si="1721">AND(NOT(I97), NOT(K97), NOT(J97))</f>
        <v>0</v>
      </c>
      <c r="AO97" s="2" t="b">
        <f t="shared" ref="AO97" si="1722">AND(NOT(G97), NOT(J97), NOT(K97))</f>
        <v>0</v>
      </c>
      <c r="AR97" s="2" t="b">
        <f t="shared" ref="AR97:AR99" si="1723">AND(NOT(J97), NOT(K97))</f>
        <v>0</v>
      </c>
      <c r="AS97" s="2" t="b">
        <f t="shared" ref="AS97" si="1724">AND(NOT(I97), NOT(K97), NOT(J97))</f>
        <v>0</v>
      </c>
      <c r="AT97" s="2" t="b">
        <f t="shared" ref="AT97" si="1725">AND(NOT(G97), NOT(J97), NOT(K97))</f>
        <v>0</v>
      </c>
      <c r="AW97" s="2" t="b">
        <f t="shared" ref="AW97" si="1726">AND(NOT(G97), NOT(J97), NOT(K97))</f>
        <v>0</v>
      </c>
      <c r="AX97" s="2" t="b">
        <f t="shared" ref="AX97" si="1727">AND(NOT(J97), NOT(K97))</f>
        <v>0</v>
      </c>
      <c r="AY97" s="2" t="b">
        <f t="shared" ref="AY97" si="1728">AND(NOT(G97), NOT(J97), NOT(K97))</f>
        <v>0</v>
      </c>
    </row>
    <row r="98" spans="2:54" ht="18" hidden="1" customHeight="1" x14ac:dyDescent="0.3">
      <c r="B98" s="416"/>
      <c r="C98" s="332"/>
      <c r="D98" s="332"/>
      <c r="E98" s="2" t="s">
        <v>234</v>
      </c>
      <c r="F98" s="2" t="str">
        <f>IF('One-Off Entries'!N29 &lt;&gt; "", LEFT('One-Off Entries'!N29, 1), "")</f>
        <v/>
      </c>
      <c r="G98" s="2" t="b">
        <f t="shared" ref="G98:G100" si="1729">IF(F98 = "P", TRUE, FALSE)</f>
        <v>0</v>
      </c>
      <c r="H98" s="2" t="b">
        <f t="shared" ref="H98:H100" si="1730">IF(F98 = "G", TRUE, FALSE)</f>
        <v>0</v>
      </c>
      <c r="I98" s="2" t="b">
        <f t="shared" ref="I98:I100" si="1731">IF(F98 = "S", TRUE, FALSE)</f>
        <v>0</v>
      </c>
      <c r="J98" s="2" t="b">
        <f t="shared" ref="J98:J100" si="1732">IF(F98 = "B", TRUE, FALSE)</f>
        <v>0</v>
      </c>
      <c r="K98" s="27" t="b">
        <f t="shared" ref="K98:K100" si="1733">IF(AND(IF(G98 = FALSE, TRUE, FALSE), IF(H98 = FALSE, TRUE, FALSE), IF(I98 = FALSE, TRUE, FALSE), IF(J98 = FALSE, TRUE, FALSE)) = TRUE, TRUE, FALSE)</f>
        <v>1</v>
      </c>
      <c r="L98" s="416"/>
      <c r="O98" s="1" t="s">
        <v>386</v>
      </c>
      <c r="P98" s="1" t="b">
        <f t="shared" ref="P98" si="1734">OR(IF(C97 = 2, TRUE, FALSE), IF(C97 = 2.2, TRUE, FALSE))</f>
        <v>0</v>
      </c>
      <c r="Q98" s="1">
        <f t="shared" si="1187"/>
        <v>0</v>
      </c>
      <c r="T98" s="2" t="b">
        <f t="shared" ref="T98" si="1735">IF(D97 = 0, FALSE, IF(C97 = 1, CHOOSE(D97, W98, X98, Y98, Z98), IF(C97 = 2, CHOOSE(D97, AC98, AD98, AE98, AF98), IF(C97 = 3, CHOOSE(D97, AI98, AJ98, AK98), IF(C97 = 4, CHOOSE(D97, AN98, AO98), IF(C97 = 5, CHOOSE(D97, AR98, AS98, AT98), IF(C97 = 7, CHOOSE(D97, AW98, AX98, AY98), FALSE)))))))</f>
        <v>0</v>
      </c>
      <c r="W98" s="2" t="b">
        <f t="shared" ref="W98:W99" si="1736">AND(NOT(K98), NOT(J98))</f>
        <v>0</v>
      </c>
      <c r="X98" s="2" t="b">
        <f t="shared" ref="X98" si="1737">NOT(K97)</f>
        <v>0</v>
      </c>
      <c r="Y98" s="2" t="b">
        <f t="shared" ref="Y98" si="1738">AND(NOT(K98), NOT(J98))</f>
        <v>0</v>
      </c>
      <c r="Z98" s="2" t="b">
        <f t="shared" ref="Z98" si="1739">OR(I98, J98)</f>
        <v>0</v>
      </c>
      <c r="AC98" s="2" t="b">
        <f t="shared" ref="AC98" si="1740">AND(NOT(K98), NOT(J98))</f>
        <v>0</v>
      </c>
      <c r="AD98" s="2" t="b">
        <f t="shared" ref="AD98" si="1741">J98</f>
        <v>0</v>
      </c>
      <c r="AE98" s="2" t="b">
        <f t="shared" ref="AE98" si="1742">AND(NOT(K98), NOT(J98))</f>
        <v>0</v>
      </c>
      <c r="AF98" s="2" t="b">
        <f t="shared" ref="AF98" si="1743">J98</f>
        <v>0</v>
      </c>
      <c r="AI98" s="2" t="b">
        <f t="shared" ref="AI98" si="1744">AND(NOT(J98), NOT(K98))</f>
        <v>0</v>
      </c>
      <c r="AJ98" s="2" t="b">
        <f t="shared" ref="AJ98" si="1745">OR(I98, J98)</f>
        <v>0</v>
      </c>
      <c r="AK98" s="2" t="b">
        <f t="shared" ref="AK98" si="1746">OR(I98, J98)</f>
        <v>0</v>
      </c>
      <c r="AN98" s="2" t="b">
        <f t="shared" ref="AN98" si="1747">OR(I98, J98)</f>
        <v>0</v>
      </c>
      <c r="AO98" s="2" t="b">
        <f t="shared" ref="AO98" si="1748">J98</f>
        <v>0</v>
      </c>
      <c r="AR98" s="2" t="b">
        <f t="shared" si="1723"/>
        <v>0</v>
      </c>
      <c r="AS98" s="2" t="b">
        <f t="shared" ref="AS98" si="1749">OR(I98, J98)</f>
        <v>0</v>
      </c>
      <c r="AT98" s="2" t="b">
        <f t="shared" ref="AT98" si="1750">OR(I98, J98)</f>
        <v>0</v>
      </c>
      <c r="AW98" s="2" t="b">
        <f t="shared" ref="AW98" si="1751">J98</f>
        <v>0</v>
      </c>
      <c r="AX98" s="2" t="b">
        <f t="shared" ref="AX98" si="1752">J98</f>
        <v>0</v>
      </c>
      <c r="AY98" s="2" t="b">
        <f t="shared" ref="AY98" si="1753">J98</f>
        <v>0</v>
      </c>
    </row>
    <row r="99" spans="2:54" ht="18" hidden="1" customHeight="1" x14ac:dyDescent="0.3">
      <c r="B99" s="416"/>
      <c r="C99" s="332"/>
      <c r="D99" s="332"/>
      <c r="E99" s="2" t="s">
        <v>235</v>
      </c>
      <c r="F99" s="2" t="str">
        <f>IF('One-Off Entries'!O29 &lt;&gt; "", LEFT('One-Off Entries'!O29, 1), "")</f>
        <v/>
      </c>
      <c r="G99" s="2" t="b">
        <f t="shared" si="1729"/>
        <v>0</v>
      </c>
      <c r="H99" s="2" t="b">
        <f t="shared" si="1730"/>
        <v>0</v>
      </c>
      <c r="I99" s="2" t="b">
        <f t="shared" si="1731"/>
        <v>0</v>
      </c>
      <c r="J99" s="2" t="b">
        <f t="shared" si="1732"/>
        <v>0</v>
      </c>
      <c r="K99" s="27" t="b">
        <f t="shared" si="1733"/>
        <v>1</v>
      </c>
      <c r="L99" s="416"/>
      <c r="O99" s="1" t="s">
        <v>387</v>
      </c>
      <c r="P99" s="1" t="b">
        <f t="shared" ref="P99" si="1754">OR(IF(D97 = 2, TRUE, FALSE), IF(D97 = 4, TRUE, FALSE))</f>
        <v>0</v>
      </c>
      <c r="Q99" s="1">
        <f t="shared" si="1187"/>
        <v>0</v>
      </c>
      <c r="T99" s="2" t="b">
        <f t="shared" ref="T99" si="1755">IF(D97 = 0, FALSE, IF(C97 = 1, CHOOSE(D97, W99, X99, Y99, Z99), IF(C97 = 2, CHOOSE(D97, AC99, AD99, AE99, AF99), IF(C97 = 3, CHOOSE(D97, AI99, AJ99, AK99), IF(C97 = 4, CHOOSE(D97, AN99, AO99), IF(C97 = 5, CHOOSE(D97, AR99, AS99, AT99), IF(C97 = 7, CHOOSE(D97, AW99, AX99, AY99), FALSE)))))))</f>
        <v>0</v>
      </c>
      <c r="W99" s="2" t="b">
        <f t="shared" si="1736"/>
        <v>0</v>
      </c>
      <c r="X99" s="2" t="b">
        <f t="shared" ref="X99" si="1756">OR(I99, J99)</f>
        <v>0</v>
      </c>
      <c r="Y99" s="2" t="b">
        <f t="shared" ref="Y99" si="1757">AND(NOT(K98), NOT(J98))</f>
        <v>0</v>
      </c>
      <c r="Z99" s="2" t="b">
        <f t="shared" ref="Z99" si="1758">J99</f>
        <v>0</v>
      </c>
      <c r="AC99" s="2" t="b">
        <f t="shared" ref="AC99" si="1759">NOT(K99)</f>
        <v>0</v>
      </c>
      <c r="AD99" s="2" t="b">
        <f t="shared" ref="AD99" si="1760">OR(I99, J99)</f>
        <v>0</v>
      </c>
      <c r="AE99" s="2" t="b">
        <f t="shared" ref="AE99" si="1761">NOT(K99)</f>
        <v>0</v>
      </c>
      <c r="AF99" s="2" t="b">
        <f t="shared" ref="AF99" si="1762">OR(I99, J99)</f>
        <v>0</v>
      </c>
      <c r="AI99" s="2" t="b">
        <f t="shared" ref="AI99" si="1763">AND(OR(I99, J99), NOT(K99))</f>
        <v>0</v>
      </c>
      <c r="AJ99" s="2" t="b">
        <f t="shared" ref="AJ99" si="1764">J99</f>
        <v>0</v>
      </c>
      <c r="AK99" s="2" t="b">
        <f t="shared" ref="AK99" si="1765">J99</f>
        <v>0</v>
      </c>
      <c r="AN99" s="2" t="b">
        <f t="shared" ref="AN99:AN100" si="1766">K99</f>
        <v>1</v>
      </c>
      <c r="AO99" s="2" t="b">
        <f t="shared" ref="AO99:AO100" si="1767">K99</f>
        <v>1</v>
      </c>
      <c r="AR99" s="2" t="b">
        <f t="shared" si="1723"/>
        <v>0</v>
      </c>
      <c r="AS99" s="2" t="b">
        <f t="shared" ref="AS99" si="1768">J99</f>
        <v>0</v>
      </c>
      <c r="AT99" s="2" t="b">
        <f t="shared" ref="AT99" si="1769">J99</f>
        <v>0</v>
      </c>
      <c r="AW99" s="2" t="b">
        <f t="shared" ref="AW99:AW100" si="1770">K99</f>
        <v>1</v>
      </c>
      <c r="AX99" s="2" t="b">
        <f t="shared" ref="AX99:AX100" si="1771">K99</f>
        <v>1</v>
      </c>
      <c r="AY99" s="2" t="b">
        <f t="shared" ref="AY99:AY100" si="1772">K99</f>
        <v>1</v>
      </c>
    </row>
    <row r="100" spans="2:54" ht="18" customHeight="1" x14ac:dyDescent="0.3">
      <c r="B100" s="412"/>
      <c r="C100" s="332"/>
      <c r="D100" s="332"/>
      <c r="E100" s="2" t="s">
        <v>236</v>
      </c>
      <c r="F100" s="2" t="str">
        <f>IF('One-Off Entries'!P29 &lt;&gt; "", LEFT('One-Off Entries'!P29, 1), "")</f>
        <v/>
      </c>
      <c r="G100" s="2" t="b">
        <f t="shared" si="1729"/>
        <v>0</v>
      </c>
      <c r="H100" s="2" t="b">
        <f t="shared" si="1730"/>
        <v>0</v>
      </c>
      <c r="I100" s="2" t="b">
        <f t="shared" si="1731"/>
        <v>0</v>
      </c>
      <c r="J100" s="2" t="b">
        <f t="shared" si="1732"/>
        <v>0</v>
      </c>
      <c r="K100" s="27" t="b">
        <f t="shared" si="1733"/>
        <v>1</v>
      </c>
      <c r="L100" s="412"/>
      <c r="O100" s="1" t="s">
        <v>388</v>
      </c>
      <c r="P100" s="1" t="b">
        <f t="shared" ref="P100" si="1773">IF(SUM(Q97:Q100) &gt; 1, TRUE, FALSE)</f>
        <v>0</v>
      </c>
      <c r="Q100" s="1">
        <f t="shared" si="1187"/>
        <v>0</v>
      </c>
      <c r="T100" s="2" t="b">
        <f>IF(D97 = 0, FALSE, IF(C97 = 1, CHOOSE(D97, W100, X100, Y100, Z100), IF(C97 = 2, IF(BB100 = "Rolex 24 at Daytona", CHOOSE(D97, AC100, AD100, AE100, AF100), K100), IF(C97 = 3, CHOOSE(D97, AI100, AJ100, AK100), IF(C97 = 4, CHOOSE(D97, AN100, AO100), IF(C97 = 5, CHOOSE(D97, AR100, AS100, AT100), IF(C97 = 7, CHOOSE(D97, AW100, AX100, AY100), FALSE)))))))</f>
        <v>0</v>
      </c>
      <c r="W100" s="2" t="b">
        <f t="shared" ref="W100" si="1774">K100</f>
        <v>1</v>
      </c>
      <c r="X100" s="2" t="b">
        <f t="shared" ref="X100" si="1775">K100</f>
        <v>1</v>
      </c>
      <c r="Y100" s="2" t="b">
        <f t="shared" ref="Y100" si="1776">K100</f>
        <v>1</v>
      </c>
      <c r="Z100" s="2" t="b">
        <f t="shared" ref="Z100" si="1777">K100</f>
        <v>1</v>
      </c>
      <c r="AC100" s="2" t="b">
        <v>1</v>
      </c>
      <c r="AD100" s="2" t="b">
        <f t="shared" ref="AD100" si="1778">NOT(K100)</f>
        <v>0</v>
      </c>
      <c r="AE100" s="2" t="b">
        <v>1</v>
      </c>
      <c r="AF100" s="2" t="b">
        <f t="shared" ref="AF100" si="1779">NOT(K100)</f>
        <v>0</v>
      </c>
      <c r="AI100" s="2" t="b">
        <f t="shared" ref="AI100" si="1780">K100</f>
        <v>1</v>
      </c>
      <c r="AJ100" s="2" t="b">
        <f t="shared" ref="AJ100" si="1781">K100</f>
        <v>1</v>
      </c>
      <c r="AK100" s="2" t="b">
        <f t="shared" ref="AK100" si="1782">K100</f>
        <v>1</v>
      </c>
      <c r="AN100" s="2" t="b">
        <f t="shared" si="1766"/>
        <v>1</v>
      </c>
      <c r="AO100" s="2" t="b">
        <f t="shared" si="1767"/>
        <v>1</v>
      </c>
      <c r="AR100" s="2" t="b">
        <f t="shared" ref="AR100" si="1783">K100</f>
        <v>1</v>
      </c>
      <c r="AS100" s="2" t="b">
        <f t="shared" ref="AS100" si="1784">K100</f>
        <v>1</v>
      </c>
      <c r="AT100" s="2" t="b">
        <f t="shared" ref="AT100" si="1785">K100</f>
        <v>1</v>
      </c>
      <c r="AW100" s="2" t="b">
        <f t="shared" si="1770"/>
        <v>1</v>
      </c>
      <c r="AX100" s="2" t="b">
        <f t="shared" si="1771"/>
        <v>1</v>
      </c>
      <c r="AY100" s="2" t="b">
        <f t="shared" si="1772"/>
        <v>1</v>
      </c>
      <c r="BB100" s="1">
        <f>'One-Off Entries'!C29</f>
        <v>0</v>
      </c>
    </row>
    <row r="101" spans="2:54" ht="18" hidden="1" customHeight="1" x14ac:dyDescent="0.3">
      <c r="B101" s="415">
        <v>25</v>
      </c>
      <c r="C101" s="332">
        <f>'One-Off Entries'!AI30</f>
        <v>0</v>
      </c>
      <c r="D101" s="332">
        <f>'One-Off Entries'!AJ30</f>
        <v>0</v>
      </c>
      <c r="E101" s="2" t="s">
        <v>233</v>
      </c>
      <c r="F101" s="2" t="str">
        <f>IF('One-Off Entries'!M30 &lt;&gt; "", LEFT('One-Off Entries'!M30, 1), "")</f>
        <v/>
      </c>
      <c r="G101" s="2" t="b">
        <f>IF(F101 = "P", TRUE, FALSE)</f>
        <v>0</v>
      </c>
      <c r="H101" s="2" t="b">
        <f>IF(F101 = "G", TRUE, FALSE)</f>
        <v>0</v>
      </c>
      <c r="I101" s="2" t="b">
        <f>IF(F101 = "S", TRUE, FALSE)</f>
        <v>0</v>
      </c>
      <c r="J101" s="2" t="b">
        <f>IF(F101 = "B", TRUE, FALSE)</f>
        <v>0</v>
      </c>
      <c r="K101" s="27" t="b">
        <f>IF(AND(IF(G101 = FALSE, TRUE, FALSE), IF(H101 = FALSE, TRUE, FALSE), IF(I101 = FALSE, TRUE, FALSE), IF(J101 = FALSE, TRUE, FALSE)) = TRUE, TRUE, FALSE)</f>
        <v>1</v>
      </c>
      <c r="L101" s="415" t="str">
        <f>IF(P101, "", IF(AND(P102, P103), AND(T101, T102, T103, T104), AND(NOT(P104), T101, T102, T103, T104)))</f>
        <v/>
      </c>
      <c r="O101" s="1" t="s">
        <v>232</v>
      </c>
      <c r="P101" s="1" t="b">
        <f t="shared" ref="P101" si="1786">AND(K101, K102, K103, K104)</f>
        <v>1</v>
      </c>
      <c r="Q101" s="1">
        <f t="shared" si="1187"/>
        <v>0</v>
      </c>
      <c r="T101" s="2" t="b">
        <f t="shared" ref="T101" si="1787">IF(D101 = 0, FALSE, IF(C101 = 1, CHOOSE(D101, W101, X101, Y101, Z101), IF(C101 = 2, CHOOSE(D101, AC101, AD101, AE101, AF101), IF(C101 = 3, CHOOSE(D101, AI101, AJ101, AK101), IF(C101 = 4, CHOOSE(D101, AN101, AO101), IF(C101 = 5, CHOOSE(D101, AR101, AS101, AT101), IF(C101 = 7, CHOOSE(D101, AW101, AX101, AY101), FALSE)))))))</f>
        <v>0</v>
      </c>
      <c r="W101" s="2" t="b">
        <f t="shared" ref="W101" si="1788">AND(NOT(I101), NOT(K101), NOT(J101))</f>
        <v>0</v>
      </c>
      <c r="X101" s="2" t="b">
        <f t="shared" ref="X101" si="1789">AND(NOT(I101), NOT(K101), NOT(J101))</f>
        <v>0</v>
      </c>
      <c r="Y101" s="2" t="b">
        <f t="shared" ref="Y101" si="1790">AND(NOT(I101), NOT(K101), NOT(J101))</f>
        <v>0</v>
      </c>
      <c r="Z101" s="2" t="b">
        <f t="shared" ref="Z101" si="1791">AND(NOT(I101), NOT(K101), NOT(J101))</f>
        <v>0</v>
      </c>
      <c r="AC101" s="2" t="b">
        <f t="shared" ref="AC101" si="1792">AND(NOT(I101), NOT(K101), NOT(J101))</f>
        <v>0</v>
      </c>
      <c r="AD101" s="2" t="b">
        <f t="shared" ref="AD101" si="1793">AND(NOT(G101), NOT(K101), NOT(J101))</f>
        <v>0</v>
      </c>
      <c r="AE101" s="2" t="b">
        <f t="shared" ref="AE101" si="1794">AND(NOT(I101), NOT(K101), NOT(J101))</f>
        <v>0</v>
      </c>
      <c r="AF101" s="2" t="b">
        <f t="shared" ref="AF101" si="1795">AND(NOT(I101), NOT(K101), NOT(J101))</f>
        <v>0</v>
      </c>
      <c r="AI101" s="2" t="b">
        <f t="shared" ref="AI101" si="1796">AND(NOT(I101), NOT(K101), NOT(J101))</f>
        <v>0</v>
      </c>
      <c r="AJ101" s="2" t="b">
        <f t="shared" ref="AJ101" si="1797">AND(NOT(J101), NOT(K101))</f>
        <v>0</v>
      </c>
      <c r="AK101" s="2" t="b">
        <f t="shared" ref="AK101" si="1798">AND(NOT(I101), NOT(K101), NOT(J101))</f>
        <v>0</v>
      </c>
      <c r="AN101" s="2" t="b">
        <f t="shared" ref="AN101" si="1799">AND(NOT(I101), NOT(K101), NOT(J101))</f>
        <v>0</v>
      </c>
      <c r="AO101" s="2" t="b">
        <f t="shared" ref="AO101" si="1800">AND(NOT(G101), NOT(J101), NOT(K101))</f>
        <v>0</v>
      </c>
      <c r="AR101" s="2" t="b">
        <f t="shared" ref="AR101:AR103" si="1801">AND(NOT(J101), NOT(K101))</f>
        <v>0</v>
      </c>
      <c r="AS101" s="2" t="b">
        <f t="shared" ref="AS101" si="1802">AND(NOT(I101), NOT(K101), NOT(J101))</f>
        <v>0</v>
      </c>
      <c r="AT101" s="2" t="b">
        <f t="shared" ref="AT101" si="1803">AND(NOT(G101), NOT(J101), NOT(K101))</f>
        <v>0</v>
      </c>
      <c r="AW101" s="2" t="b">
        <f t="shared" ref="AW101" si="1804">AND(NOT(G101), NOT(J101), NOT(K101))</f>
        <v>0</v>
      </c>
      <c r="AX101" s="2" t="b">
        <f t="shared" ref="AX101" si="1805">AND(NOT(J101), NOT(K101))</f>
        <v>0</v>
      </c>
      <c r="AY101" s="2" t="b">
        <f t="shared" ref="AY101" si="1806">AND(NOT(G101), NOT(J101), NOT(K101))</f>
        <v>0</v>
      </c>
    </row>
    <row r="102" spans="2:54" ht="18" hidden="1" customHeight="1" x14ac:dyDescent="0.3">
      <c r="B102" s="416"/>
      <c r="C102" s="332"/>
      <c r="D102" s="332"/>
      <c r="E102" s="2" t="s">
        <v>234</v>
      </c>
      <c r="F102" s="2" t="str">
        <f>IF('One-Off Entries'!N30 &lt;&gt; "", LEFT('One-Off Entries'!N30, 1), "")</f>
        <v/>
      </c>
      <c r="G102" s="2" t="b">
        <f t="shared" ref="G102:G104" si="1807">IF(F102 = "P", TRUE, FALSE)</f>
        <v>0</v>
      </c>
      <c r="H102" s="2" t="b">
        <f t="shared" ref="H102:H104" si="1808">IF(F102 = "G", TRUE, FALSE)</f>
        <v>0</v>
      </c>
      <c r="I102" s="2" t="b">
        <f t="shared" ref="I102:I104" si="1809">IF(F102 = "S", TRUE, FALSE)</f>
        <v>0</v>
      </c>
      <c r="J102" s="2" t="b">
        <f t="shared" ref="J102:J104" si="1810">IF(F102 = "B", TRUE, FALSE)</f>
        <v>0</v>
      </c>
      <c r="K102" s="27" t="b">
        <f t="shared" ref="K102:K104" si="1811">IF(AND(IF(G102 = FALSE, TRUE, FALSE), IF(H102 = FALSE, TRUE, FALSE), IF(I102 = FALSE, TRUE, FALSE), IF(J102 = FALSE, TRUE, FALSE)) = TRUE, TRUE, FALSE)</f>
        <v>1</v>
      </c>
      <c r="L102" s="416"/>
      <c r="O102" s="1" t="s">
        <v>386</v>
      </c>
      <c r="P102" s="1" t="b">
        <f t="shared" ref="P102" si="1812">OR(IF(C101 = 2, TRUE, FALSE), IF(C101 = 2.2, TRUE, FALSE))</f>
        <v>0</v>
      </c>
      <c r="Q102" s="1">
        <f t="shared" si="1187"/>
        <v>0</v>
      </c>
      <c r="T102" s="2" t="b">
        <f t="shared" ref="T102" si="1813">IF(D101 = 0, FALSE, IF(C101 = 1, CHOOSE(D101, W102, X102, Y102, Z102), IF(C101 = 2, CHOOSE(D101, AC102, AD102, AE102, AF102), IF(C101 = 3, CHOOSE(D101, AI102, AJ102, AK102), IF(C101 = 4, CHOOSE(D101, AN102, AO102), IF(C101 = 5, CHOOSE(D101, AR102, AS102, AT102), IF(C101 = 7, CHOOSE(D101, AW102, AX102, AY102), FALSE)))))))</f>
        <v>0</v>
      </c>
      <c r="W102" s="2" t="b">
        <f t="shared" ref="W102:W103" si="1814">AND(NOT(K102), NOT(J102))</f>
        <v>0</v>
      </c>
      <c r="X102" s="2" t="b">
        <f t="shared" ref="X102" si="1815">NOT(K101)</f>
        <v>0</v>
      </c>
      <c r="Y102" s="2" t="b">
        <f t="shared" ref="Y102" si="1816">AND(NOT(K102), NOT(J102))</f>
        <v>0</v>
      </c>
      <c r="Z102" s="2" t="b">
        <f t="shared" ref="Z102" si="1817">OR(I102, J102)</f>
        <v>0</v>
      </c>
      <c r="AC102" s="2" t="b">
        <f t="shared" ref="AC102" si="1818">AND(NOT(K102), NOT(J102))</f>
        <v>0</v>
      </c>
      <c r="AD102" s="2" t="b">
        <f t="shared" ref="AD102" si="1819">J102</f>
        <v>0</v>
      </c>
      <c r="AE102" s="2" t="b">
        <f t="shared" ref="AE102" si="1820">AND(NOT(K102), NOT(J102))</f>
        <v>0</v>
      </c>
      <c r="AF102" s="2" t="b">
        <f t="shared" ref="AF102" si="1821">J102</f>
        <v>0</v>
      </c>
      <c r="AI102" s="2" t="b">
        <f t="shared" ref="AI102" si="1822">AND(NOT(J102), NOT(K102))</f>
        <v>0</v>
      </c>
      <c r="AJ102" s="2" t="b">
        <f t="shared" ref="AJ102" si="1823">OR(I102, J102)</f>
        <v>0</v>
      </c>
      <c r="AK102" s="2" t="b">
        <f t="shared" ref="AK102" si="1824">OR(I102, J102)</f>
        <v>0</v>
      </c>
      <c r="AN102" s="2" t="b">
        <f t="shared" ref="AN102" si="1825">OR(I102, J102)</f>
        <v>0</v>
      </c>
      <c r="AO102" s="2" t="b">
        <f t="shared" ref="AO102" si="1826">J102</f>
        <v>0</v>
      </c>
      <c r="AR102" s="2" t="b">
        <f t="shared" si="1801"/>
        <v>0</v>
      </c>
      <c r="AS102" s="2" t="b">
        <f t="shared" ref="AS102" si="1827">OR(I102, J102)</f>
        <v>0</v>
      </c>
      <c r="AT102" s="2" t="b">
        <f t="shared" ref="AT102" si="1828">OR(I102, J102)</f>
        <v>0</v>
      </c>
      <c r="AW102" s="2" t="b">
        <f t="shared" ref="AW102" si="1829">J102</f>
        <v>0</v>
      </c>
      <c r="AX102" s="2" t="b">
        <f t="shared" ref="AX102" si="1830">J102</f>
        <v>0</v>
      </c>
      <c r="AY102" s="2" t="b">
        <f t="shared" ref="AY102" si="1831">J102</f>
        <v>0</v>
      </c>
    </row>
    <row r="103" spans="2:54" ht="18" hidden="1" customHeight="1" x14ac:dyDescent="0.3">
      <c r="B103" s="416"/>
      <c r="C103" s="332"/>
      <c r="D103" s="332"/>
      <c r="E103" s="2" t="s">
        <v>235</v>
      </c>
      <c r="F103" s="2" t="str">
        <f>IF('One-Off Entries'!O30 &lt;&gt; "", LEFT('One-Off Entries'!O30, 1), "")</f>
        <v/>
      </c>
      <c r="G103" s="2" t="b">
        <f t="shared" si="1807"/>
        <v>0</v>
      </c>
      <c r="H103" s="2" t="b">
        <f t="shared" si="1808"/>
        <v>0</v>
      </c>
      <c r="I103" s="2" t="b">
        <f t="shared" si="1809"/>
        <v>0</v>
      </c>
      <c r="J103" s="2" t="b">
        <f t="shared" si="1810"/>
        <v>0</v>
      </c>
      <c r="K103" s="27" t="b">
        <f t="shared" si="1811"/>
        <v>1</v>
      </c>
      <c r="L103" s="416"/>
      <c r="O103" s="1" t="s">
        <v>387</v>
      </c>
      <c r="P103" s="1" t="b">
        <f t="shared" ref="P103" si="1832">OR(IF(D101 = 2, TRUE, FALSE), IF(D101 = 4, TRUE, FALSE))</f>
        <v>0</v>
      </c>
      <c r="Q103" s="1">
        <f t="shared" si="1187"/>
        <v>0</v>
      </c>
      <c r="T103" s="2" t="b">
        <f t="shared" ref="T103" si="1833">IF(D101 = 0, FALSE, IF(C101 = 1, CHOOSE(D101, W103, X103, Y103, Z103), IF(C101 = 2, CHOOSE(D101, AC103, AD103, AE103, AF103), IF(C101 = 3, CHOOSE(D101, AI103, AJ103, AK103), IF(C101 = 4, CHOOSE(D101, AN103, AO103), IF(C101 = 5, CHOOSE(D101, AR103, AS103, AT103), IF(C101 = 7, CHOOSE(D101, AW103, AX103, AY103), FALSE)))))))</f>
        <v>0</v>
      </c>
      <c r="W103" s="2" t="b">
        <f t="shared" si="1814"/>
        <v>0</v>
      </c>
      <c r="X103" s="2" t="b">
        <f t="shared" ref="X103" si="1834">OR(I103, J103)</f>
        <v>0</v>
      </c>
      <c r="Y103" s="2" t="b">
        <f t="shared" ref="Y103" si="1835">AND(NOT(K102), NOT(J102))</f>
        <v>0</v>
      </c>
      <c r="Z103" s="2" t="b">
        <f t="shared" ref="Z103" si="1836">J103</f>
        <v>0</v>
      </c>
      <c r="AC103" s="2" t="b">
        <f t="shared" ref="AC103" si="1837">NOT(K103)</f>
        <v>0</v>
      </c>
      <c r="AD103" s="2" t="b">
        <f t="shared" ref="AD103" si="1838">OR(I103, J103)</f>
        <v>0</v>
      </c>
      <c r="AE103" s="2" t="b">
        <f t="shared" ref="AE103" si="1839">NOT(K103)</f>
        <v>0</v>
      </c>
      <c r="AF103" s="2" t="b">
        <f t="shared" ref="AF103" si="1840">OR(I103, J103)</f>
        <v>0</v>
      </c>
      <c r="AI103" s="2" t="b">
        <f t="shared" ref="AI103" si="1841">AND(OR(I103, J103), NOT(K103))</f>
        <v>0</v>
      </c>
      <c r="AJ103" s="2" t="b">
        <f t="shared" ref="AJ103" si="1842">J103</f>
        <v>0</v>
      </c>
      <c r="AK103" s="2" t="b">
        <f t="shared" ref="AK103" si="1843">J103</f>
        <v>0</v>
      </c>
      <c r="AN103" s="2" t="b">
        <f t="shared" ref="AN103:AN104" si="1844">K103</f>
        <v>1</v>
      </c>
      <c r="AO103" s="2" t="b">
        <f t="shared" ref="AO103:AO104" si="1845">K103</f>
        <v>1</v>
      </c>
      <c r="AR103" s="2" t="b">
        <f t="shared" si="1801"/>
        <v>0</v>
      </c>
      <c r="AS103" s="2" t="b">
        <f t="shared" ref="AS103" si="1846">J103</f>
        <v>0</v>
      </c>
      <c r="AT103" s="2" t="b">
        <f t="shared" ref="AT103" si="1847">J103</f>
        <v>0</v>
      </c>
      <c r="AW103" s="2" t="b">
        <f t="shared" ref="AW103:AW104" si="1848">K103</f>
        <v>1</v>
      </c>
      <c r="AX103" s="2" t="b">
        <f t="shared" ref="AX103:AX104" si="1849">K103</f>
        <v>1</v>
      </c>
      <c r="AY103" s="2" t="b">
        <f t="shared" ref="AY103:AY104" si="1850">K103</f>
        <v>1</v>
      </c>
    </row>
    <row r="104" spans="2:54" ht="18" customHeight="1" x14ac:dyDescent="0.3">
      <c r="B104" s="412"/>
      <c r="C104" s="332"/>
      <c r="D104" s="332"/>
      <c r="E104" s="2" t="s">
        <v>236</v>
      </c>
      <c r="F104" s="2" t="str">
        <f>IF('One-Off Entries'!P30 &lt;&gt; "", LEFT('One-Off Entries'!P30, 1), "")</f>
        <v/>
      </c>
      <c r="G104" s="2" t="b">
        <f t="shared" si="1807"/>
        <v>0</v>
      </c>
      <c r="H104" s="2" t="b">
        <f t="shared" si="1808"/>
        <v>0</v>
      </c>
      <c r="I104" s="2" t="b">
        <f t="shared" si="1809"/>
        <v>0</v>
      </c>
      <c r="J104" s="2" t="b">
        <f t="shared" si="1810"/>
        <v>0</v>
      </c>
      <c r="K104" s="27" t="b">
        <f t="shared" si="1811"/>
        <v>1</v>
      </c>
      <c r="L104" s="412"/>
      <c r="O104" s="1" t="s">
        <v>388</v>
      </c>
      <c r="P104" s="1" t="b">
        <f t="shared" ref="P104" si="1851">IF(SUM(Q101:Q104) &gt; 1, TRUE, FALSE)</f>
        <v>0</v>
      </c>
      <c r="Q104" s="1">
        <f t="shared" si="1187"/>
        <v>0</v>
      </c>
      <c r="T104" s="2" t="b">
        <f>IF(D101 = 0, FALSE, IF(C101 = 1, CHOOSE(D101, W104, X104, Y104, Z104), IF(C101 = 2, IF(BB104 = "Rolex 24 at Daytona", CHOOSE(D101, AC104, AD104, AE104, AF104), K104), IF(C101 = 3, CHOOSE(D101, AI104, AJ104, AK104), IF(C101 = 4, CHOOSE(D101, AN104, AO104), IF(C101 = 5, CHOOSE(D101, AR104, AS104, AT104), IF(C101 = 7, CHOOSE(D101, AW104, AX104, AY104), FALSE)))))))</f>
        <v>0</v>
      </c>
      <c r="W104" s="2" t="b">
        <f t="shared" ref="W104" si="1852">K104</f>
        <v>1</v>
      </c>
      <c r="X104" s="2" t="b">
        <f t="shared" ref="X104" si="1853">K104</f>
        <v>1</v>
      </c>
      <c r="Y104" s="2" t="b">
        <f t="shared" ref="Y104" si="1854">K104</f>
        <v>1</v>
      </c>
      <c r="Z104" s="2" t="b">
        <f t="shared" ref="Z104" si="1855">K104</f>
        <v>1</v>
      </c>
      <c r="AC104" s="2" t="b">
        <v>1</v>
      </c>
      <c r="AD104" s="2" t="b">
        <f t="shared" ref="AD104" si="1856">NOT(K104)</f>
        <v>0</v>
      </c>
      <c r="AE104" s="2" t="b">
        <v>1</v>
      </c>
      <c r="AF104" s="2" t="b">
        <f t="shared" ref="AF104" si="1857">NOT(K104)</f>
        <v>0</v>
      </c>
      <c r="AI104" s="2" t="b">
        <f t="shared" ref="AI104" si="1858">K104</f>
        <v>1</v>
      </c>
      <c r="AJ104" s="2" t="b">
        <f t="shared" ref="AJ104" si="1859">K104</f>
        <v>1</v>
      </c>
      <c r="AK104" s="2" t="b">
        <f t="shared" ref="AK104" si="1860">K104</f>
        <v>1</v>
      </c>
      <c r="AN104" s="2" t="b">
        <f t="shared" si="1844"/>
        <v>1</v>
      </c>
      <c r="AO104" s="2" t="b">
        <f t="shared" si="1845"/>
        <v>1</v>
      </c>
      <c r="AR104" s="2" t="b">
        <f t="shared" ref="AR104" si="1861">K104</f>
        <v>1</v>
      </c>
      <c r="AS104" s="2" t="b">
        <f t="shared" ref="AS104" si="1862">K104</f>
        <v>1</v>
      </c>
      <c r="AT104" s="2" t="b">
        <f t="shared" ref="AT104" si="1863">K104</f>
        <v>1</v>
      </c>
      <c r="AW104" s="2" t="b">
        <f t="shared" si="1848"/>
        <v>1</v>
      </c>
      <c r="AX104" s="2" t="b">
        <f t="shared" si="1849"/>
        <v>1</v>
      </c>
      <c r="AY104" s="2" t="b">
        <f t="shared" si="1850"/>
        <v>1</v>
      </c>
      <c r="BB104" s="1">
        <f>'One-Off Entries'!C30</f>
        <v>0</v>
      </c>
    </row>
    <row r="105" spans="2:54" ht="18" hidden="1" customHeight="1" x14ac:dyDescent="0.3">
      <c r="B105" s="415">
        <v>26</v>
      </c>
      <c r="C105" s="332">
        <f>'One-Off Entries'!AI31</f>
        <v>0</v>
      </c>
      <c r="D105" s="332">
        <f>'One-Off Entries'!AJ31</f>
        <v>0</v>
      </c>
      <c r="E105" s="2" t="s">
        <v>233</v>
      </c>
      <c r="F105" s="2" t="str">
        <f>IF('One-Off Entries'!M31 &lt;&gt; "", LEFT('One-Off Entries'!M31, 1), "")</f>
        <v/>
      </c>
      <c r="G105" s="2" t="b">
        <f>IF(F105 = "P", TRUE, FALSE)</f>
        <v>0</v>
      </c>
      <c r="H105" s="2" t="b">
        <f>IF(F105 = "G", TRUE, FALSE)</f>
        <v>0</v>
      </c>
      <c r="I105" s="2" t="b">
        <f>IF(F105 = "S", TRUE, FALSE)</f>
        <v>0</v>
      </c>
      <c r="J105" s="2" t="b">
        <f>IF(F105 = "B", TRUE, FALSE)</f>
        <v>0</v>
      </c>
      <c r="K105" s="27" t="b">
        <f>IF(AND(IF(G105 = FALSE, TRUE, FALSE), IF(H105 = FALSE, TRUE, FALSE), IF(I105 = FALSE, TRUE, FALSE), IF(J105 = FALSE, TRUE, FALSE)) = TRUE, TRUE, FALSE)</f>
        <v>1</v>
      </c>
      <c r="L105" s="415" t="str">
        <f>IF(P105, "", IF(AND(P106, P107), AND(T105, T106, T107, T108), AND(NOT(P108), T105, T106, T107, T108)))</f>
        <v/>
      </c>
      <c r="O105" s="1" t="s">
        <v>232</v>
      </c>
      <c r="P105" s="1" t="b">
        <f t="shared" ref="P105" si="1864">AND(K105, K106, K107, K108)</f>
        <v>1</v>
      </c>
      <c r="Q105" s="1">
        <f t="shared" si="1187"/>
        <v>0</v>
      </c>
      <c r="T105" s="2" t="b">
        <f t="shared" ref="T105" si="1865">IF(D105 = 0, FALSE, IF(C105 = 1, CHOOSE(D105, W105, X105, Y105, Z105), IF(C105 = 2, CHOOSE(D105, AC105, AD105, AE105, AF105), IF(C105 = 3, CHOOSE(D105, AI105, AJ105, AK105), IF(C105 = 4, CHOOSE(D105, AN105, AO105), IF(C105 = 5, CHOOSE(D105, AR105, AS105, AT105), IF(C105 = 7, CHOOSE(D105, AW105, AX105, AY105), FALSE)))))))</f>
        <v>0</v>
      </c>
      <c r="W105" s="2" t="b">
        <f t="shared" ref="W105" si="1866">AND(NOT(I105), NOT(K105), NOT(J105))</f>
        <v>0</v>
      </c>
      <c r="X105" s="2" t="b">
        <f t="shared" ref="X105" si="1867">AND(NOT(I105), NOT(K105), NOT(J105))</f>
        <v>0</v>
      </c>
      <c r="Y105" s="2" t="b">
        <f t="shared" ref="Y105" si="1868">AND(NOT(I105), NOT(K105), NOT(J105))</f>
        <v>0</v>
      </c>
      <c r="Z105" s="2" t="b">
        <f t="shared" ref="Z105" si="1869">AND(NOT(I105), NOT(K105), NOT(J105))</f>
        <v>0</v>
      </c>
      <c r="AC105" s="2" t="b">
        <f t="shared" ref="AC105" si="1870">AND(NOT(I105), NOT(K105), NOT(J105))</f>
        <v>0</v>
      </c>
      <c r="AD105" s="2" t="b">
        <f t="shared" ref="AD105" si="1871">AND(NOT(G105), NOT(K105), NOT(J105))</f>
        <v>0</v>
      </c>
      <c r="AE105" s="2" t="b">
        <f t="shared" ref="AE105" si="1872">AND(NOT(I105), NOT(K105), NOT(J105))</f>
        <v>0</v>
      </c>
      <c r="AF105" s="2" t="b">
        <f t="shared" ref="AF105" si="1873">AND(NOT(I105), NOT(K105), NOT(J105))</f>
        <v>0</v>
      </c>
      <c r="AI105" s="2" t="b">
        <f t="shared" ref="AI105" si="1874">AND(NOT(I105), NOT(K105), NOT(J105))</f>
        <v>0</v>
      </c>
      <c r="AJ105" s="2" t="b">
        <f t="shared" ref="AJ105" si="1875">AND(NOT(J105), NOT(K105))</f>
        <v>0</v>
      </c>
      <c r="AK105" s="2" t="b">
        <f t="shared" ref="AK105" si="1876">AND(NOT(I105), NOT(K105), NOT(J105))</f>
        <v>0</v>
      </c>
      <c r="AN105" s="2" t="b">
        <f t="shared" ref="AN105" si="1877">AND(NOT(I105), NOT(K105), NOT(J105))</f>
        <v>0</v>
      </c>
      <c r="AO105" s="2" t="b">
        <f t="shared" ref="AO105" si="1878">AND(NOT(G105), NOT(J105), NOT(K105))</f>
        <v>0</v>
      </c>
      <c r="AR105" s="2" t="b">
        <f t="shared" ref="AR105:AR107" si="1879">AND(NOT(J105), NOT(K105))</f>
        <v>0</v>
      </c>
      <c r="AS105" s="2" t="b">
        <f t="shared" ref="AS105" si="1880">AND(NOT(I105), NOT(K105), NOT(J105))</f>
        <v>0</v>
      </c>
      <c r="AT105" s="2" t="b">
        <f t="shared" ref="AT105" si="1881">AND(NOT(G105), NOT(J105), NOT(K105))</f>
        <v>0</v>
      </c>
      <c r="AW105" s="2" t="b">
        <f t="shared" ref="AW105" si="1882">AND(NOT(G105), NOT(J105), NOT(K105))</f>
        <v>0</v>
      </c>
      <c r="AX105" s="2" t="b">
        <f t="shared" ref="AX105" si="1883">AND(NOT(J105), NOT(K105))</f>
        <v>0</v>
      </c>
      <c r="AY105" s="2" t="b">
        <f t="shared" ref="AY105" si="1884">AND(NOT(G105), NOT(J105), NOT(K105))</f>
        <v>0</v>
      </c>
    </row>
    <row r="106" spans="2:54" ht="18" hidden="1" customHeight="1" x14ac:dyDescent="0.3">
      <c r="B106" s="416"/>
      <c r="C106" s="332"/>
      <c r="D106" s="332"/>
      <c r="E106" s="2" t="s">
        <v>234</v>
      </c>
      <c r="F106" s="2" t="str">
        <f>IF('One-Off Entries'!N31 &lt;&gt; "", LEFT('One-Off Entries'!N31, 1), "")</f>
        <v/>
      </c>
      <c r="G106" s="2" t="b">
        <f t="shared" ref="G106:G108" si="1885">IF(F106 = "P", TRUE, FALSE)</f>
        <v>0</v>
      </c>
      <c r="H106" s="2" t="b">
        <f t="shared" ref="H106:H108" si="1886">IF(F106 = "G", TRUE, FALSE)</f>
        <v>0</v>
      </c>
      <c r="I106" s="2" t="b">
        <f t="shared" ref="I106:I108" si="1887">IF(F106 = "S", TRUE, FALSE)</f>
        <v>0</v>
      </c>
      <c r="J106" s="2" t="b">
        <f t="shared" ref="J106:J108" si="1888">IF(F106 = "B", TRUE, FALSE)</f>
        <v>0</v>
      </c>
      <c r="K106" s="27" t="b">
        <f t="shared" ref="K106:K108" si="1889">IF(AND(IF(G106 = FALSE, TRUE, FALSE), IF(H106 = FALSE, TRUE, FALSE), IF(I106 = FALSE, TRUE, FALSE), IF(J106 = FALSE, TRUE, FALSE)) = TRUE, TRUE, FALSE)</f>
        <v>1</v>
      </c>
      <c r="L106" s="416"/>
      <c r="O106" s="1" t="s">
        <v>386</v>
      </c>
      <c r="P106" s="1" t="b">
        <f t="shared" ref="P106" si="1890">OR(IF(C105 = 2, TRUE, FALSE), IF(C105 = 2.2, TRUE, FALSE))</f>
        <v>0</v>
      </c>
      <c r="Q106" s="1">
        <f t="shared" si="1187"/>
        <v>0</v>
      </c>
      <c r="T106" s="2" t="b">
        <f t="shared" ref="T106" si="1891">IF(D105 = 0, FALSE, IF(C105 = 1, CHOOSE(D105, W106, X106, Y106, Z106), IF(C105 = 2, CHOOSE(D105, AC106, AD106, AE106, AF106), IF(C105 = 3, CHOOSE(D105, AI106, AJ106, AK106), IF(C105 = 4, CHOOSE(D105, AN106, AO106), IF(C105 = 5, CHOOSE(D105, AR106, AS106, AT106), IF(C105 = 7, CHOOSE(D105, AW106, AX106, AY106), FALSE)))))))</f>
        <v>0</v>
      </c>
      <c r="W106" s="2" t="b">
        <f t="shared" ref="W106:W107" si="1892">AND(NOT(K106), NOT(J106))</f>
        <v>0</v>
      </c>
      <c r="X106" s="2" t="b">
        <f t="shared" ref="X106" si="1893">NOT(K105)</f>
        <v>0</v>
      </c>
      <c r="Y106" s="2" t="b">
        <f t="shared" ref="Y106" si="1894">AND(NOT(K106), NOT(J106))</f>
        <v>0</v>
      </c>
      <c r="Z106" s="2" t="b">
        <f t="shared" ref="Z106" si="1895">OR(I106, J106)</f>
        <v>0</v>
      </c>
      <c r="AC106" s="2" t="b">
        <f t="shared" ref="AC106" si="1896">AND(NOT(K106), NOT(J106))</f>
        <v>0</v>
      </c>
      <c r="AD106" s="2" t="b">
        <f t="shared" ref="AD106" si="1897">J106</f>
        <v>0</v>
      </c>
      <c r="AE106" s="2" t="b">
        <f t="shared" ref="AE106" si="1898">AND(NOT(K106), NOT(J106))</f>
        <v>0</v>
      </c>
      <c r="AF106" s="2" t="b">
        <f t="shared" ref="AF106" si="1899">J106</f>
        <v>0</v>
      </c>
      <c r="AI106" s="2" t="b">
        <f t="shared" ref="AI106" si="1900">AND(NOT(J106), NOT(K106))</f>
        <v>0</v>
      </c>
      <c r="AJ106" s="2" t="b">
        <f t="shared" ref="AJ106" si="1901">OR(I106, J106)</f>
        <v>0</v>
      </c>
      <c r="AK106" s="2" t="b">
        <f t="shared" ref="AK106" si="1902">OR(I106, J106)</f>
        <v>0</v>
      </c>
      <c r="AN106" s="2" t="b">
        <f t="shared" ref="AN106" si="1903">OR(I106, J106)</f>
        <v>0</v>
      </c>
      <c r="AO106" s="2" t="b">
        <f t="shared" ref="AO106" si="1904">J106</f>
        <v>0</v>
      </c>
      <c r="AR106" s="2" t="b">
        <f t="shared" si="1879"/>
        <v>0</v>
      </c>
      <c r="AS106" s="2" t="b">
        <f t="shared" ref="AS106" si="1905">OR(I106, J106)</f>
        <v>0</v>
      </c>
      <c r="AT106" s="2" t="b">
        <f t="shared" ref="AT106" si="1906">OR(I106, J106)</f>
        <v>0</v>
      </c>
      <c r="AW106" s="2" t="b">
        <f t="shared" ref="AW106" si="1907">J106</f>
        <v>0</v>
      </c>
      <c r="AX106" s="2" t="b">
        <f t="shared" ref="AX106" si="1908">J106</f>
        <v>0</v>
      </c>
      <c r="AY106" s="2" t="b">
        <f t="shared" ref="AY106" si="1909">J106</f>
        <v>0</v>
      </c>
    </row>
    <row r="107" spans="2:54" ht="18" hidden="1" customHeight="1" x14ac:dyDescent="0.3">
      <c r="B107" s="416"/>
      <c r="C107" s="332"/>
      <c r="D107" s="332"/>
      <c r="E107" s="2" t="s">
        <v>235</v>
      </c>
      <c r="F107" s="2" t="str">
        <f>IF('One-Off Entries'!O31 &lt;&gt; "", LEFT('One-Off Entries'!O31, 1), "")</f>
        <v/>
      </c>
      <c r="G107" s="2" t="b">
        <f t="shared" si="1885"/>
        <v>0</v>
      </c>
      <c r="H107" s="2" t="b">
        <f t="shared" si="1886"/>
        <v>0</v>
      </c>
      <c r="I107" s="2" t="b">
        <f t="shared" si="1887"/>
        <v>0</v>
      </c>
      <c r="J107" s="2" t="b">
        <f t="shared" si="1888"/>
        <v>0</v>
      </c>
      <c r="K107" s="27" t="b">
        <f t="shared" si="1889"/>
        <v>1</v>
      </c>
      <c r="L107" s="416"/>
      <c r="O107" s="1" t="s">
        <v>387</v>
      </c>
      <c r="P107" s="1" t="b">
        <f t="shared" ref="P107" si="1910">OR(IF(D105 = 2, TRUE, FALSE), IF(D105 = 4, TRUE, FALSE))</f>
        <v>0</v>
      </c>
      <c r="Q107" s="1">
        <f t="shared" si="1187"/>
        <v>0</v>
      </c>
      <c r="T107" s="2" t="b">
        <f t="shared" ref="T107" si="1911">IF(D105 = 0, FALSE, IF(C105 = 1, CHOOSE(D105, W107, X107, Y107, Z107), IF(C105 = 2, CHOOSE(D105, AC107, AD107, AE107, AF107), IF(C105 = 3, CHOOSE(D105, AI107, AJ107, AK107), IF(C105 = 4, CHOOSE(D105, AN107, AO107), IF(C105 = 5, CHOOSE(D105, AR107, AS107, AT107), IF(C105 = 7, CHOOSE(D105, AW107, AX107, AY107), FALSE)))))))</f>
        <v>0</v>
      </c>
      <c r="W107" s="2" t="b">
        <f t="shared" si="1892"/>
        <v>0</v>
      </c>
      <c r="X107" s="2" t="b">
        <f t="shared" ref="X107" si="1912">OR(I107, J107)</f>
        <v>0</v>
      </c>
      <c r="Y107" s="2" t="b">
        <f t="shared" ref="Y107" si="1913">AND(NOT(K106), NOT(J106))</f>
        <v>0</v>
      </c>
      <c r="Z107" s="2" t="b">
        <f t="shared" ref="Z107" si="1914">J107</f>
        <v>0</v>
      </c>
      <c r="AC107" s="2" t="b">
        <f t="shared" ref="AC107" si="1915">NOT(K107)</f>
        <v>0</v>
      </c>
      <c r="AD107" s="2" t="b">
        <f t="shared" ref="AD107" si="1916">OR(I107, J107)</f>
        <v>0</v>
      </c>
      <c r="AE107" s="2" t="b">
        <f t="shared" ref="AE107" si="1917">NOT(K107)</f>
        <v>0</v>
      </c>
      <c r="AF107" s="2" t="b">
        <f t="shared" ref="AF107" si="1918">OR(I107, J107)</f>
        <v>0</v>
      </c>
      <c r="AI107" s="2" t="b">
        <f t="shared" ref="AI107" si="1919">AND(OR(I107, J107), NOT(K107))</f>
        <v>0</v>
      </c>
      <c r="AJ107" s="2" t="b">
        <f t="shared" ref="AJ107" si="1920">J107</f>
        <v>0</v>
      </c>
      <c r="AK107" s="2" t="b">
        <f t="shared" ref="AK107" si="1921">J107</f>
        <v>0</v>
      </c>
      <c r="AN107" s="2" t="b">
        <f t="shared" ref="AN107:AN108" si="1922">K107</f>
        <v>1</v>
      </c>
      <c r="AO107" s="2" t="b">
        <f t="shared" ref="AO107:AO108" si="1923">K107</f>
        <v>1</v>
      </c>
      <c r="AR107" s="2" t="b">
        <f t="shared" si="1879"/>
        <v>0</v>
      </c>
      <c r="AS107" s="2" t="b">
        <f t="shared" ref="AS107" si="1924">J107</f>
        <v>0</v>
      </c>
      <c r="AT107" s="2" t="b">
        <f t="shared" ref="AT107" si="1925">J107</f>
        <v>0</v>
      </c>
      <c r="AW107" s="2" t="b">
        <f t="shared" ref="AW107:AW108" si="1926">K107</f>
        <v>1</v>
      </c>
      <c r="AX107" s="2" t="b">
        <f t="shared" ref="AX107:AX108" si="1927">K107</f>
        <v>1</v>
      </c>
      <c r="AY107" s="2" t="b">
        <f t="shared" ref="AY107:AY108" si="1928">K107</f>
        <v>1</v>
      </c>
    </row>
    <row r="108" spans="2:54" ht="18" customHeight="1" x14ac:dyDescent="0.3">
      <c r="B108" s="412"/>
      <c r="C108" s="332"/>
      <c r="D108" s="332"/>
      <c r="E108" s="2" t="s">
        <v>236</v>
      </c>
      <c r="F108" s="2" t="str">
        <f>IF('One-Off Entries'!P31 &lt;&gt; "", LEFT('One-Off Entries'!P31, 1), "")</f>
        <v/>
      </c>
      <c r="G108" s="2" t="b">
        <f t="shared" si="1885"/>
        <v>0</v>
      </c>
      <c r="H108" s="2" t="b">
        <f t="shared" si="1886"/>
        <v>0</v>
      </c>
      <c r="I108" s="2" t="b">
        <f t="shared" si="1887"/>
        <v>0</v>
      </c>
      <c r="J108" s="2" t="b">
        <f t="shared" si="1888"/>
        <v>0</v>
      </c>
      <c r="K108" s="27" t="b">
        <f t="shared" si="1889"/>
        <v>1</v>
      </c>
      <c r="L108" s="412"/>
      <c r="O108" s="1" t="s">
        <v>388</v>
      </c>
      <c r="P108" s="1" t="b">
        <f t="shared" ref="P108" si="1929">IF(SUM(Q105:Q108) &gt; 1, TRUE, FALSE)</f>
        <v>0</v>
      </c>
      <c r="Q108" s="1">
        <f t="shared" si="1187"/>
        <v>0</v>
      </c>
      <c r="T108" s="2" t="b">
        <f>IF(D105 = 0, FALSE, IF(C105 = 1, CHOOSE(D105, W108, X108, Y108, Z108), IF(C105 = 2, IF(BB108 = "Rolex 24 at Daytona", CHOOSE(D105, AC108, AD108, AE108, AF108), K108), IF(C105 = 3, CHOOSE(D105, AI108, AJ108, AK108), IF(C105 = 4, CHOOSE(D105, AN108, AO108), IF(C105 = 5, CHOOSE(D105, AR108, AS108, AT108), IF(C105 = 7, CHOOSE(D105, AW108, AX108, AY108), FALSE)))))))</f>
        <v>0</v>
      </c>
      <c r="W108" s="2" t="b">
        <f t="shared" ref="W108" si="1930">K108</f>
        <v>1</v>
      </c>
      <c r="X108" s="2" t="b">
        <f t="shared" ref="X108" si="1931">K108</f>
        <v>1</v>
      </c>
      <c r="Y108" s="2" t="b">
        <f t="shared" ref="Y108" si="1932">K108</f>
        <v>1</v>
      </c>
      <c r="Z108" s="2" t="b">
        <f t="shared" ref="Z108" si="1933">K108</f>
        <v>1</v>
      </c>
      <c r="AC108" s="2" t="b">
        <v>1</v>
      </c>
      <c r="AD108" s="2" t="b">
        <f t="shared" ref="AD108" si="1934">NOT(K108)</f>
        <v>0</v>
      </c>
      <c r="AE108" s="2" t="b">
        <v>1</v>
      </c>
      <c r="AF108" s="2" t="b">
        <f t="shared" ref="AF108" si="1935">NOT(K108)</f>
        <v>0</v>
      </c>
      <c r="AI108" s="2" t="b">
        <f t="shared" ref="AI108" si="1936">K108</f>
        <v>1</v>
      </c>
      <c r="AJ108" s="2" t="b">
        <f t="shared" ref="AJ108" si="1937">K108</f>
        <v>1</v>
      </c>
      <c r="AK108" s="2" t="b">
        <f t="shared" ref="AK108" si="1938">K108</f>
        <v>1</v>
      </c>
      <c r="AN108" s="2" t="b">
        <f t="shared" si="1922"/>
        <v>1</v>
      </c>
      <c r="AO108" s="2" t="b">
        <f t="shared" si="1923"/>
        <v>1</v>
      </c>
      <c r="AR108" s="2" t="b">
        <f t="shared" ref="AR108" si="1939">K108</f>
        <v>1</v>
      </c>
      <c r="AS108" s="2" t="b">
        <f t="shared" ref="AS108" si="1940">K108</f>
        <v>1</v>
      </c>
      <c r="AT108" s="2" t="b">
        <f t="shared" ref="AT108" si="1941">K108</f>
        <v>1</v>
      </c>
      <c r="AW108" s="2" t="b">
        <f t="shared" si="1926"/>
        <v>1</v>
      </c>
      <c r="AX108" s="2" t="b">
        <f t="shared" si="1927"/>
        <v>1</v>
      </c>
      <c r="AY108" s="2" t="b">
        <f t="shared" si="1928"/>
        <v>1</v>
      </c>
      <c r="BB108" s="1">
        <f>'One-Off Entries'!C31</f>
        <v>0</v>
      </c>
    </row>
    <row r="109" spans="2:54" ht="18" hidden="1" customHeight="1" x14ac:dyDescent="0.3">
      <c r="B109" s="415">
        <v>27</v>
      </c>
      <c r="C109" s="332">
        <f>'One-Off Entries'!AI32</f>
        <v>0</v>
      </c>
      <c r="D109" s="332">
        <f>'One-Off Entries'!AJ32</f>
        <v>0</v>
      </c>
      <c r="E109" s="2" t="s">
        <v>233</v>
      </c>
      <c r="F109" s="2" t="str">
        <f>IF('One-Off Entries'!M32 &lt;&gt; "", LEFT('One-Off Entries'!M32, 1), "")</f>
        <v/>
      </c>
      <c r="G109" s="2" t="b">
        <f>IF(F109 = "P", TRUE, FALSE)</f>
        <v>0</v>
      </c>
      <c r="H109" s="2" t="b">
        <f>IF(F109 = "G", TRUE, FALSE)</f>
        <v>0</v>
      </c>
      <c r="I109" s="2" t="b">
        <f>IF(F109 = "S", TRUE, FALSE)</f>
        <v>0</v>
      </c>
      <c r="J109" s="2" t="b">
        <f>IF(F109 = "B", TRUE, FALSE)</f>
        <v>0</v>
      </c>
      <c r="K109" s="27" t="b">
        <f>IF(AND(IF(G109 = FALSE, TRUE, FALSE), IF(H109 = FALSE, TRUE, FALSE), IF(I109 = FALSE, TRUE, FALSE), IF(J109 = FALSE, TRUE, FALSE)) = TRUE, TRUE, FALSE)</f>
        <v>1</v>
      </c>
      <c r="L109" s="415" t="str">
        <f>IF(P109, "", IF(AND(P110, P111), AND(T109, T110, T111, T112), AND(NOT(P112), T109, T110, T111, T112)))</f>
        <v/>
      </c>
      <c r="O109" s="1" t="s">
        <v>232</v>
      </c>
      <c r="P109" s="1" t="b">
        <f t="shared" ref="P109" si="1942">AND(K109, K110, K111, K112)</f>
        <v>1</v>
      </c>
      <c r="Q109" s="1">
        <f t="shared" si="1187"/>
        <v>0</v>
      </c>
      <c r="T109" s="2" t="b">
        <f t="shared" ref="T109" si="1943">IF(D109 = 0, FALSE, IF(C109 = 1, CHOOSE(D109, W109, X109, Y109, Z109), IF(C109 = 2, CHOOSE(D109, AC109, AD109, AE109, AF109), IF(C109 = 3, CHOOSE(D109, AI109, AJ109, AK109), IF(C109 = 4, CHOOSE(D109, AN109, AO109), IF(C109 = 5, CHOOSE(D109, AR109, AS109, AT109), IF(C109 = 7, CHOOSE(D109, AW109, AX109, AY109), FALSE)))))))</f>
        <v>0</v>
      </c>
      <c r="W109" s="2" t="b">
        <f t="shared" ref="W109" si="1944">AND(NOT(I109), NOT(K109), NOT(J109))</f>
        <v>0</v>
      </c>
      <c r="X109" s="2" t="b">
        <f t="shared" ref="X109" si="1945">AND(NOT(I109), NOT(K109), NOT(J109))</f>
        <v>0</v>
      </c>
      <c r="Y109" s="2" t="b">
        <f t="shared" ref="Y109" si="1946">AND(NOT(I109), NOT(K109), NOT(J109))</f>
        <v>0</v>
      </c>
      <c r="Z109" s="2" t="b">
        <f t="shared" ref="Z109" si="1947">AND(NOT(I109), NOT(K109), NOT(J109))</f>
        <v>0</v>
      </c>
      <c r="AC109" s="2" t="b">
        <f t="shared" ref="AC109" si="1948">AND(NOT(I109), NOT(K109), NOT(J109))</f>
        <v>0</v>
      </c>
      <c r="AD109" s="2" t="b">
        <f t="shared" ref="AD109" si="1949">AND(NOT(G109), NOT(K109), NOT(J109))</f>
        <v>0</v>
      </c>
      <c r="AE109" s="2" t="b">
        <f t="shared" ref="AE109" si="1950">AND(NOT(I109), NOT(K109), NOT(J109))</f>
        <v>0</v>
      </c>
      <c r="AF109" s="2" t="b">
        <f t="shared" ref="AF109" si="1951">AND(NOT(I109), NOT(K109), NOT(J109))</f>
        <v>0</v>
      </c>
      <c r="AI109" s="2" t="b">
        <f t="shared" ref="AI109" si="1952">AND(NOT(I109), NOT(K109), NOT(J109))</f>
        <v>0</v>
      </c>
      <c r="AJ109" s="2" t="b">
        <f t="shared" ref="AJ109" si="1953">AND(NOT(J109), NOT(K109))</f>
        <v>0</v>
      </c>
      <c r="AK109" s="2" t="b">
        <f t="shared" ref="AK109" si="1954">AND(NOT(I109), NOT(K109), NOT(J109))</f>
        <v>0</v>
      </c>
      <c r="AN109" s="2" t="b">
        <f t="shared" ref="AN109" si="1955">AND(NOT(I109), NOT(K109), NOT(J109))</f>
        <v>0</v>
      </c>
      <c r="AO109" s="2" t="b">
        <f t="shared" ref="AO109" si="1956">AND(NOT(G109), NOT(J109), NOT(K109))</f>
        <v>0</v>
      </c>
      <c r="AR109" s="2" t="b">
        <f t="shared" ref="AR109:AR111" si="1957">AND(NOT(J109), NOT(K109))</f>
        <v>0</v>
      </c>
      <c r="AS109" s="2" t="b">
        <f t="shared" ref="AS109" si="1958">AND(NOT(I109), NOT(K109), NOT(J109))</f>
        <v>0</v>
      </c>
      <c r="AT109" s="2" t="b">
        <f t="shared" ref="AT109" si="1959">AND(NOT(G109), NOT(J109), NOT(K109))</f>
        <v>0</v>
      </c>
      <c r="AW109" s="2" t="b">
        <f t="shared" ref="AW109" si="1960">AND(NOT(G109), NOT(J109), NOT(K109))</f>
        <v>0</v>
      </c>
      <c r="AX109" s="2" t="b">
        <f t="shared" ref="AX109" si="1961">AND(NOT(J109), NOT(K109))</f>
        <v>0</v>
      </c>
      <c r="AY109" s="2" t="b">
        <f t="shared" ref="AY109" si="1962">AND(NOT(G109), NOT(J109), NOT(K109))</f>
        <v>0</v>
      </c>
    </row>
    <row r="110" spans="2:54" ht="18" hidden="1" customHeight="1" x14ac:dyDescent="0.3">
      <c r="B110" s="416"/>
      <c r="C110" s="332"/>
      <c r="D110" s="332"/>
      <c r="E110" s="2" t="s">
        <v>234</v>
      </c>
      <c r="F110" s="2" t="str">
        <f>IF('One-Off Entries'!N32 &lt;&gt; "", LEFT('One-Off Entries'!N32, 1), "")</f>
        <v/>
      </c>
      <c r="G110" s="2" t="b">
        <f t="shared" ref="G110:G112" si="1963">IF(F110 = "P", TRUE, FALSE)</f>
        <v>0</v>
      </c>
      <c r="H110" s="2" t="b">
        <f t="shared" ref="H110:H112" si="1964">IF(F110 = "G", TRUE, FALSE)</f>
        <v>0</v>
      </c>
      <c r="I110" s="2" t="b">
        <f t="shared" ref="I110:I112" si="1965">IF(F110 = "S", TRUE, FALSE)</f>
        <v>0</v>
      </c>
      <c r="J110" s="2" t="b">
        <f t="shared" ref="J110:J112" si="1966">IF(F110 = "B", TRUE, FALSE)</f>
        <v>0</v>
      </c>
      <c r="K110" s="27" t="b">
        <f t="shared" ref="K110:K112" si="1967">IF(AND(IF(G110 = FALSE, TRUE, FALSE), IF(H110 = FALSE, TRUE, FALSE), IF(I110 = FALSE, TRUE, FALSE), IF(J110 = FALSE, TRUE, FALSE)) = TRUE, TRUE, FALSE)</f>
        <v>1</v>
      </c>
      <c r="L110" s="416"/>
      <c r="O110" s="1" t="s">
        <v>386</v>
      </c>
      <c r="P110" s="1" t="b">
        <f t="shared" ref="P110" si="1968">OR(IF(C109 = 2, TRUE, FALSE), IF(C109 = 2.2, TRUE, FALSE))</f>
        <v>0</v>
      </c>
      <c r="Q110" s="1">
        <f t="shared" si="1187"/>
        <v>0</v>
      </c>
      <c r="T110" s="2" t="b">
        <f t="shared" ref="T110" si="1969">IF(D109 = 0, FALSE, IF(C109 = 1, CHOOSE(D109, W110, X110, Y110, Z110), IF(C109 = 2, CHOOSE(D109, AC110, AD110, AE110, AF110), IF(C109 = 3, CHOOSE(D109, AI110, AJ110, AK110), IF(C109 = 4, CHOOSE(D109, AN110, AO110), IF(C109 = 5, CHOOSE(D109, AR110, AS110, AT110), IF(C109 = 7, CHOOSE(D109, AW110, AX110, AY110), FALSE)))))))</f>
        <v>0</v>
      </c>
      <c r="W110" s="2" t="b">
        <f t="shared" ref="W110:W111" si="1970">AND(NOT(K110), NOT(J110))</f>
        <v>0</v>
      </c>
      <c r="X110" s="2" t="b">
        <f t="shared" ref="X110" si="1971">NOT(K109)</f>
        <v>0</v>
      </c>
      <c r="Y110" s="2" t="b">
        <f t="shared" ref="Y110" si="1972">AND(NOT(K110), NOT(J110))</f>
        <v>0</v>
      </c>
      <c r="Z110" s="2" t="b">
        <f t="shared" ref="Z110" si="1973">OR(I110, J110)</f>
        <v>0</v>
      </c>
      <c r="AC110" s="2" t="b">
        <f t="shared" ref="AC110" si="1974">AND(NOT(K110), NOT(J110))</f>
        <v>0</v>
      </c>
      <c r="AD110" s="2" t="b">
        <f t="shared" ref="AD110" si="1975">J110</f>
        <v>0</v>
      </c>
      <c r="AE110" s="2" t="b">
        <f t="shared" ref="AE110" si="1976">AND(NOT(K110), NOT(J110))</f>
        <v>0</v>
      </c>
      <c r="AF110" s="2" t="b">
        <f t="shared" ref="AF110" si="1977">J110</f>
        <v>0</v>
      </c>
      <c r="AI110" s="2" t="b">
        <f t="shared" ref="AI110" si="1978">AND(NOT(J110), NOT(K110))</f>
        <v>0</v>
      </c>
      <c r="AJ110" s="2" t="b">
        <f t="shared" ref="AJ110" si="1979">OR(I110, J110)</f>
        <v>0</v>
      </c>
      <c r="AK110" s="2" t="b">
        <f t="shared" ref="AK110" si="1980">OR(I110, J110)</f>
        <v>0</v>
      </c>
      <c r="AN110" s="2" t="b">
        <f t="shared" ref="AN110" si="1981">OR(I110, J110)</f>
        <v>0</v>
      </c>
      <c r="AO110" s="2" t="b">
        <f t="shared" ref="AO110" si="1982">J110</f>
        <v>0</v>
      </c>
      <c r="AR110" s="2" t="b">
        <f t="shared" si="1957"/>
        <v>0</v>
      </c>
      <c r="AS110" s="2" t="b">
        <f t="shared" ref="AS110" si="1983">OR(I110, J110)</f>
        <v>0</v>
      </c>
      <c r="AT110" s="2" t="b">
        <f t="shared" ref="AT110" si="1984">OR(I110, J110)</f>
        <v>0</v>
      </c>
      <c r="AW110" s="2" t="b">
        <f t="shared" ref="AW110" si="1985">J110</f>
        <v>0</v>
      </c>
      <c r="AX110" s="2" t="b">
        <f t="shared" ref="AX110" si="1986">J110</f>
        <v>0</v>
      </c>
      <c r="AY110" s="2" t="b">
        <f t="shared" ref="AY110" si="1987">J110</f>
        <v>0</v>
      </c>
    </row>
    <row r="111" spans="2:54" ht="18" hidden="1" customHeight="1" x14ac:dyDescent="0.3">
      <c r="B111" s="416"/>
      <c r="C111" s="332"/>
      <c r="D111" s="332"/>
      <c r="E111" s="2" t="s">
        <v>235</v>
      </c>
      <c r="F111" s="2" t="str">
        <f>IF('One-Off Entries'!O32 &lt;&gt; "", LEFT('One-Off Entries'!O32, 1), "")</f>
        <v/>
      </c>
      <c r="G111" s="2" t="b">
        <f t="shared" si="1963"/>
        <v>0</v>
      </c>
      <c r="H111" s="2" t="b">
        <f t="shared" si="1964"/>
        <v>0</v>
      </c>
      <c r="I111" s="2" t="b">
        <f t="shared" si="1965"/>
        <v>0</v>
      </c>
      <c r="J111" s="2" t="b">
        <f t="shared" si="1966"/>
        <v>0</v>
      </c>
      <c r="K111" s="27" t="b">
        <f t="shared" si="1967"/>
        <v>1</v>
      </c>
      <c r="L111" s="416"/>
      <c r="O111" s="1" t="s">
        <v>387</v>
      </c>
      <c r="P111" s="1" t="b">
        <f t="shared" ref="P111" si="1988">OR(IF(D109 = 2, TRUE, FALSE), IF(D109 = 4, TRUE, FALSE))</f>
        <v>0</v>
      </c>
      <c r="Q111" s="1">
        <f t="shared" si="1187"/>
        <v>0</v>
      </c>
      <c r="T111" s="2" t="b">
        <f t="shared" ref="T111" si="1989">IF(D109 = 0, FALSE, IF(C109 = 1, CHOOSE(D109, W111, X111, Y111, Z111), IF(C109 = 2, CHOOSE(D109, AC111, AD111, AE111, AF111), IF(C109 = 3, CHOOSE(D109, AI111, AJ111, AK111), IF(C109 = 4, CHOOSE(D109, AN111, AO111), IF(C109 = 5, CHOOSE(D109, AR111, AS111, AT111), IF(C109 = 7, CHOOSE(D109, AW111, AX111, AY111), FALSE)))))))</f>
        <v>0</v>
      </c>
      <c r="W111" s="2" t="b">
        <f t="shared" si="1970"/>
        <v>0</v>
      </c>
      <c r="X111" s="2" t="b">
        <f t="shared" ref="X111" si="1990">OR(I111, J111)</f>
        <v>0</v>
      </c>
      <c r="Y111" s="2" t="b">
        <f t="shared" ref="Y111" si="1991">AND(NOT(K110), NOT(J110))</f>
        <v>0</v>
      </c>
      <c r="Z111" s="2" t="b">
        <f t="shared" ref="Z111" si="1992">J111</f>
        <v>0</v>
      </c>
      <c r="AC111" s="2" t="b">
        <f t="shared" ref="AC111" si="1993">NOT(K111)</f>
        <v>0</v>
      </c>
      <c r="AD111" s="2" t="b">
        <f t="shared" ref="AD111" si="1994">OR(I111, J111)</f>
        <v>0</v>
      </c>
      <c r="AE111" s="2" t="b">
        <f t="shared" ref="AE111" si="1995">NOT(K111)</f>
        <v>0</v>
      </c>
      <c r="AF111" s="2" t="b">
        <f t="shared" ref="AF111" si="1996">OR(I111, J111)</f>
        <v>0</v>
      </c>
      <c r="AI111" s="2" t="b">
        <f t="shared" ref="AI111" si="1997">AND(OR(I111, J111), NOT(K111))</f>
        <v>0</v>
      </c>
      <c r="AJ111" s="2" t="b">
        <f t="shared" ref="AJ111" si="1998">J111</f>
        <v>0</v>
      </c>
      <c r="AK111" s="2" t="b">
        <f t="shared" ref="AK111" si="1999">J111</f>
        <v>0</v>
      </c>
      <c r="AN111" s="2" t="b">
        <f t="shared" ref="AN111:AN112" si="2000">K111</f>
        <v>1</v>
      </c>
      <c r="AO111" s="2" t="b">
        <f t="shared" ref="AO111:AO112" si="2001">K111</f>
        <v>1</v>
      </c>
      <c r="AR111" s="2" t="b">
        <f t="shared" si="1957"/>
        <v>0</v>
      </c>
      <c r="AS111" s="2" t="b">
        <f t="shared" ref="AS111" si="2002">J111</f>
        <v>0</v>
      </c>
      <c r="AT111" s="2" t="b">
        <f t="shared" ref="AT111" si="2003">J111</f>
        <v>0</v>
      </c>
      <c r="AW111" s="2" t="b">
        <f t="shared" ref="AW111:AW112" si="2004">K111</f>
        <v>1</v>
      </c>
      <c r="AX111" s="2" t="b">
        <f t="shared" ref="AX111:AX112" si="2005">K111</f>
        <v>1</v>
      </c>
      <c r="AY111" s="2" t="b">
        <f t="shared" ref="AY111:AY112" si="2006">K111</f>
        <v>1</v>
      </c>
    </row>
    <row r="112" spans="2:54" ht="18" customHeight="1" x14ac:dyDescent="0.3">
      <c r="B112" s="412"/>
      <c r="C112" s="332"/>
      <c r="D112" s="332"/>
      <c r="E112" s="2" t="s">
        <v>236</v>
      </c>
      <c r="F112" s="2" t="str">
        <f>IF('One-Off Entries'!P32 &lt;&gt; "", LEFT('One-Off Entries'!P32, 1), "")</f>
        <v/>
      </c>
      <c r="G112" s="2" t="b">
        <f t="shared" si="1963"/>
        <v>0</v>
      </c>
      <c r="H112" s="2" t="b">
        <f t="shared" si="1964"/>
        <v>0</v>
      </c>
      <c r="I112" s="2" t="b">
        <f t="shared" si="1965"/>
        <v>0</v>
      </c>
      <c r="J112" s="2" t="b">
        <f t="shared" si="1966"/>
        <v>0</v>
      </c>
      <c r="K112" s="27" t="b">
        <f t="shared" si="1967"/>
        <v>1</v>
      </c>
      <c r="L112" s="412"/>
      <c r="O112" s="1" t="s">
        <v>388</v>
      </c>
      <c r="P112" s="1" t="b">
        <f t="shared" ref="P112" si="2007">IF(SUM(Q109:Q112) &gt; 1, TRUE, FALSE)</f>
        <v>0</v>
      </c>
      <c r="Q112" s="1">
        <f t="shared" si="1187"/>
        <v>0</v>
      </c>
      <c r="T112" s="2" t="b">
        <f>IF(D109 = 0, FALSE, IF(C109 = 1, CHOOSE(D109, W112, X112, Y112, Z112), IF(C109 = 2, IF(BB112 = "Rolex 24 at Daytona", CHOOSE(D109, AC112, AD112, AE112, AF112), K112), IF(C109 = 3, CHOOSE(D109, AI112, AJ112, AK112), IF(C109 = 4, CHOOSE(D109, AN112, AO112), IF(C109 = 5, CHOOSE(D109, AR112, AS112, AT112), IF(C109 = 7, CHOOSE(D109, AW112, AX112, AY112), FALSE)))))))</f>
        <v>0</v>
      </c>
      <c r="W112" s="2" t="b">
        <f t="shared" ref="W112" si="2008">K112</f>
        <v>1</v>
      </c>
      <c r="X112" s="2" t="b">
        <f t="shared" ref="X112" si="2009">K112</f>
        <v>1</v>
      </c>
      <c r="Y112" s="2" t="b">
        <f t="shared" ref="Y112" si="2010">K112</f>
        <v>1</v>
      </c>
      <c r="Z112" s="2" t="b">
        <f t="shared" ref="Z112" si="2011">K112</f>
        <v>1</v>
      </c>
      <c r="AC112" s="2" t="b">
        <v>1</v>
      </c>
      <c r="AD112" s="2" t="b">
        <f t="shared" ref="AD112" si="2012">NOT(K112)</f>
        <v>0</v>
      </c>
      <c r="AE112" s="2" t="b">
        <v>1</v>
      </c>
      <c r="AF112" s="2" t="b">
        <f t="shared" ref="AF112" si="2013">NOT(K112)</f>
        <v>0</v>
      </c>
      <c r="AI112" s="2" t="b">
        <f t="shared" ref="AI112" si="2014">K112</f>
        <v>1</v>
      </c>
      <c r="AJ112" s="2" t="b">
        <f t="shared" ref="AJ112" si="2015">K112</f>
        <v>1</v>
      </c>
      <c r="AK112" s="2" t="b">
        <f t="shared" ref="AK112" si="2016">K112</f>
        <v>1</v>
      </c>
      <c r="AN112" s="2" t="b">
        <f t="shared" si="2000"/>
        <v>1</v>
      </c>
      <c r="AO112" s="2" t="b">
        <f t="shared" si="2001"/>
        <v>1</v>
      </c>
      <c r="AR112" s="2" t="b">
        <f t="shared" ref="AR112" si="2017">K112</f>
        <v>1</v>
      </c>
      <c r="AS112" s="2" t="b">
        <f t="shared" ref="AS112" si="2018">K112</f>
        <v>1</v>
      </c>
      <c r="AT112" s="2" t="b">
        <f t="shared" ref="AT112" si="2019">K112</f>
        <v>1</v>
      </c>
      <c r="AW112" s="2" t="b">
        <f t="shared" si="2004"/>
        <v>1</v>
      </c>
      <c r="AX112" s="2" t="b">
        <f t="shared" si="2005"/>
        <v>1</v>
      </c>
      <c r="AY112" s="2" t="b">
        <f t="shared" si="2006"/>
        <v>1</v>
      </c>
      <c r="BB112" s="1">
        <f>'One-Off Entries'!C32</f>
        <v>0</v>
      </c>
    </row>
    <row r="113" spans="2:54" ht="18" hidden="1" customHeight="1" x14ac:dyDescent="0.3">
      <c r="B113" s="415">
        <v>28</v>
      </c>
      <c r="C113" s="332">
        <f>'One-Off Entries'!AI33</f>
        <v>0</v>
      </c>
      <c r="D113" s="332">
        <f>'One-Off Entries'!AJ33</f>
        <v>0</v>
      </c>
      <c r="E113" s="2" t="s">
        <v>233</v>
      </c>
      <c r="F113" s="2" t="str">
        <f>IF('One-Off Entries'!M33 &lt;&gt; "", LEFT('One-Off Entries'!M33, 1), "")</f>
        <v/>
      </c>
      <c r="G113" s="2" t="b">
        <f>IF(F113 = "P", TRUE, FALSE)</f>
        <v>0</v>
      </c>
      <c r="H113" s="2" t="b">
        <f>IF(F113 = "G", TRUE, FALSE)</f>
        <v>0</v>
      </c>
      <c r="I113" s="2" t="b">
        <f>IF(F113 = "S", TRUE, FALSE)</f>
        <v>0</v>
      </c>
      <c r="J113" s="2" t="b">
        <f>IF(F113 = "B", TRUE, FALSE)</f>
        <v>0</v>
      </c>
      <c r="K113" s="27" t="b">
        <f>IF(AND(IF(G113 = FALSE, TRUE, FALSE), IF(H113 = FALSE, TRUE, FALSE), IF(I113 = FALSE, TRUE, FALSE), IF(J113 = FALSE, TRUE, FALSE)) = TRUE, TRUE, FALSE)</f>
        <v>1</v>
      </c>
      <c r="L113" s="415" t="str">
        <f>IF(P113, "", IF(AND(P114, P115), AND(T113, T114, T115, T116), AND(NOT(P116), T113, T114, T115, T116)))</f>
        <v/>
      </c>
      <c r="O113" s="1" t="s">
        <v>232</v>
      </c>
      <c r="P113" s="1" t="b">
        <f t="shared" ref="P113" si="2020">AND(K113, K114, K115, K116)</f>
        <v>1</v>
      </c>
      <c r="Q113" s="1">
        <f t="shared" si="1187"/>
        <v>0</v>
      </c>
      <c r="T113" s="2" t="b">
        <f t="shared" ref="T113" si="2021">IF(D113 = 0, FALSE, IF(C113 = 1, CHOOSE(D113, W113, X113, Y113, Z113), IF(C113 = 2, CHOOSE(D113, AC113, AD113, AE113, AF113), IF(C113 = 3, CHOOSE(D113, AI113, AJ113, AK113), IF(C113 = 4, CHOOSE(D113, AN113, AO113), IF(C113 = 5, CHOOSE(D113, AR113, AS113, AT113), IF(C113 = 7, CHOOSE(D113, AW113, AX113, AY113), FALSE)))))))</f>
        <v>0</v>
      </c>
      <c r="W113" s="2" t="b">
        <f t="shared" ref="W113" si="2022">AND(NOT(I113), NOT(K113), NOT(J113))</f>
        <v>0</v>
      </c>
      <c r="X113" s="2" t="b">
        <f t="shared" ref="X113" si="2023">AND(NOT(I113), NOT(K113), NOT(J113))</f>
        <v>0</v>
      </c>
      <c r="Y113" s="2" t="b">
        <f t="shared" ref="Y113" si="2024">AND(NOT(I113), NOT(K113), NOT(J113))</f>
        <v>0</v>
      </c>
      <c r="Z113" s="2" t="b">
        <f t="shared" ref="Z113" si="2025">AND(NOT(I113), NOT(K113), NOT(J113))</f>
        <v>0</v>
      </c>
      <c r="AC113" s="2" t="b">
        <f t="shared" ref="AC113" si="2026">AND(NOT(I113), NOT(K113), NOT(J113))</f>
        <v>0</v>
      </c>
      <c r="AD113" s="2" t="b">
        <f t="shared" ref="AD113" si="2027">AND(NOT(G113), NOT(K113), NOT(J113))</f>
        <v>0</v>
      </c>
      <c r="AE113" s="2" t="b">
        <f t="shared" ref="AE113" si="2028">AND(NOT(I113), NOT(K113), NOT(J113))</f>
        <v>0</v>
      </c>
      <c r="AF113" s="2" t="b">
        <f t="shared" ref="AF113" si="2029">AND(NOT(I113), NOT(K113), NOT(J113))</f>
        <v>0</v>
      </c>
      <c r="AI113" s="2" t="b">
        <f t="shared" ref="AI113" si="2030">AND(NOT(I113), NOT(K113), NOT(J113))</f>
        <v>0</v>
      </c>
      <c r="AJ113" s="2" t="b">
        <f t="shared" ref="AJ113" si="2031">AND(NOT(J113), NOT(K113))</f>
        <v>0</v>
      </c>
      <c r="AK113" s="2" t="b">
        <f t="shared" ref="AK113" si="2032">AND(NOT(I113), NOT(K113), NOT(J113))</f>
        <v>0</v>
      </c>
      <c r="AN113" s="2" t="b">
        <f t="shared" ref="AN113" si="2033">AND(NOT(I113), NOT(K113), NOT(J113))</f>
        <v>0</v>
      </c>
      <c r="AO113" s="2" t="b">
        <f t="shared" ref="AO113" si="2034">AND(NOT(G113), NOT(J113), NOT(K113))</f>
        <v>0</v>
      </c>
      <c r="AR113" s="2" t="b">
        <f t="shared" ref="AR113:AR115" si="2035">AND(NOT(J113), NOT(K113))</f>
        <v>0</v>
      </c>
      <c r="AS113" s="2" t="b">
        <f t="shared" ref="AS113" si="2036">AND(NOT(I113), NOT(K113), NOT(J113))</f>
        <v>0</v>
      </c>
      <c r="AT113" s="2" t="b">
        <f t="shared" ref="AT113" si="2037">AND(NOT(G113), NOT(J113), NOT(K113))</f>
        <v>0</v>
      </c>
      <c r="AW113" s="2" t="b">
        <f t="shared" ref="AW113" si="2038">AND(NOT(G113), NOT(J113), NOT(K113))</f>
        <v>0</v>
      </c>
      <c r="AX113" s="2" t="b">
        <f t="shared" ref="AX113" si="2039">AND(NOT(J113), NOT(K113))</f>
        <v>0</v>
      </c>
      <c r="AY113" s="2" t="b">
        <f t="shared" ref="AY113" si="2040">AND(NOT(G113), NOT(J113), NOT(K113))</f>
        <v>0</v>
      </c>
    </row>
    <row r="114" spans="2:54" ht="18" hidden="1" customHeight="1" x14ac:dyDescent="0.3">
      <c r="B114" s="416"/>
      <c r="C114" s="332"/>
      <c r="D114" s="332"/>
      <c r="E114" s="2" t="s">
        <v>234</v>
      </c>
      <c r="F114" s="2" t="str">
        <f>IF('One-Off Entries'!N33 &lt;&gt; "", LEFT('One-Off Entries'!N33, 1), "")</f>
        <v/>
      </c>
      <c r="G114" s="2" t="b">
        <f t="shared" ref="G114:G116" si="2041">IF(F114 = "P", TRUE, FALSE)</f>
        <v>0</v>
      </c>
      <c r="H114" s="2" t="b">
        <f t="shared" ref="H114:H116" si="2042">IF(F114 = "G", TRUE, FALSE)</f>
        <v>0</v>
      </c>
      <c r="I114" s="2" t="b">
        <f t="shared" ref="I114:I116" si="2043">IF(F114 = "S", TRUE, FALSE)</f>
        <v>0</v>
      </c>
      <c r="J114" s="2" t="b">
        <f t="shared" ref="J114:J116" si="2044">IF(F114 = "B", TRUE, FALSE)</f>
        <v>0</v>
      </c>
      <c r="K114" s="27" t="b">
        <f t="shared" ref="K114:K116" si="2045">IF(AND(IF(G114 = FALSE, TRUE, FALSE), IF(H114 = FALSE, TRUE, FALSE), IF(I114 = FALSE, TRUE, FALSE), IF(J114 = FALSE, TRUE, FALSE)) = TRUE, TRUE, FALSE)</f>
        <v>1</v>
      </c>
      <c r="L114" s="416"/>
      <c r="O114" s="1" t="s">
        <v>386</v>
      </c>
      <c r="P114" s="1" t="b">
        <f t="shared" ref="P114" si="2046">OR(IF(C113 = 2, TRUE, FALSE), IF(C113 = 2.2, TRUE, FALSE))</f>
        <v>0</v>
      </c>
      <c r="Q114" s="1">
        <f t="shared" si="1187"/>
        <v>0</v>
      </c>
      <c r="T114" s="2" t="b">
        <f t="shared" ref="T114" si="2047">IF(D113 = 0, FALSE, IF(C113 = 1, CHOOSE(D113, W114, X114, Y114, Z114), IF(C113 = 2, CHOOSE(D113, AC114, AD114, AE114, AF114), IF(C113 = 3, CHOOSE(D113, AI114, AJ114, AK114), IF(C113 = 4, CHOOSE(D113, AN114, AO114), IF(C113 = 5, CHOOSE(D113, AR114, AS114, AT114), IF(C113 = 7, CHOOSE(D113, AW114, AX114, AY114), FALSE)))))))</f>
        <v>0</v>
      </c>
      <c r="W114" s="2" t="b">
        <f t="shared" ref="W114:W115" si="2048">AND(NOT(K114), NOT(J114))</f>
        <v>0</v>
      </c>
      <c r="X114" s="2" t="b">
        <f t="shared" ref="X114" si="2049">NOT(K113)</f>
        <v>0</v>
      </c>
      <c r="Y114" s="2" t="b">
        <f t="shared" ref="Y114" si="2050">AND(NOT(K114), NOT(J114))</f>
        <v>0</v>
      </c>
      <c r="Z114" s="2" t="b">
        <f t="shared" ref="Z114" si="2051">OR(I114, J114)</f>
        <v>0</v>
      </c>
      <c r="AC114" s="2" t="b">
        <f t="shared" ref="AC114" si="2052">AND(NOT(K114), NOT(J114))</f>
        <v>0</v>
      </c>
      <c r="AD114" s="2" t="b">
        <f t="shared" ref="AD114" si="2053">J114</f>
        <v>0</v>
      </c>
      <c r="AE114" s="2" t="b">
        <f t="shared" ref="AE114" si="2054">AND(NOT(K114), NOT(J114))</f>
        <v>0</v>
      </c>
      <c r="AF114" s="2" t="b">
        <f t="shared" ref="AF114" si="2055">J114</f>
        <v>0</v>
      </c>
      <c r="AI114" s="2" t="b">
        <f t="shared" ref="AI114" si="2056">AND(NOT(J114), NOT(K114))</f>
        <v>0</v>
      </c>
      <c r="AJ114" s="2" t="b">
        <f t="shared" ref="AJ114" si="2057">OR(I114, J114)</f>
        <v>0</v>
      </c>
      <c r="AK114" s="2" t="b">
        <f t="shared" ref="AK114" si="2058">OR(I114, J114)</f>
        <v>0</v>
      </c>
      <c r="AN114" s="2" t="b">
        <f t="shared" ref="AN114" si="2059">OR(I114, J114)</f>
        <v>0</v>
      </c>
      <c r="AO114" s="2" t="b">
        <f t="shared" ref="AO114" si="2060">J114</f>
        <v>0</v>
      </c>
      <c r="AR114" s="2" t="b">
        <f t="shared" si="2035"/>
        <v>0</v>
      </c>
      <c r="AS114" s="2" t="b">
        <f t="shared" ref="AS114" si="2061">OR(I114, J114)</f>
        <v>0</v>
      </c>
      <c r="AT114" s="2" t="b">
        <f t="shared" ref="AT114" si="2062">OR(I114, J114)</f>
        <v>0</v>
      </c>
      <c r="AW114" s="2" t="b">
        <f t="shared" ref="AW114" si="2063">J114</f>
        <v>0</v>
      </c>
      <c r="AX114" s="2" t="b">
        <f t="shared" ref="AX114" si="2064">J114</f>
        <v>0</v>
      </c>
      <c r="AY114" s="2" t="b">
        <f t="shared" ref="AY114" si="2065">J114</f>
        <v>0</v>
      </c>
    </row>
    <row r="115" spans="2:54" ht="18" hidden="1" customHeight="1" x14ac:dyDescent="0.3">
      <c r="B115" s="416"/>
      <c r="C115" s="332"/>
      <c r="D115" s="332"/>
      <c r="E115" s="2" t="s">
        <v>235</v>
      </c>
      <c r="F115" s="2" t="str">
        <f>IF('One-Off Entries'!O33 &lt;&gt; "", LEFT('One-Off Entries'!O33, 1), "")</f>
        <v/>
      </c>
      <c r="G115" s="2" t="b">
        <f t="shared" si="2041"/>
        <v>0</v>
      </c>
      <c r="H115" s="2" t="b">
        <f t="shared" si="2042"/>
        <v>0</v>
      </c>
      <c r="I115" s="2" t="b">
        <f t="shared" si="2043"/>
        <v>0</v>
      </c>
      <c r="J115" s="2" t="b">
        <f t="shared" si="2044"/>
        <v>0</v>
      </c>
      <c r="K115" s="27" t="b">
        <f t="shared" si="2045"/>
        <v>1</v>
      </c>
      <c r="L115" s="416"/>
      <c r="O115" s="1" t="s">
        <v>387</v>
      </c>
      <c r="P115" s="1" t="b">
        <f t="shared" ref="P115" si="2066">OR(IF(D113 = 2, TRUE, FALSE), IF(D113 = 4, TRUE, FALSE))</f>
        <v>0</v>
      </c>
      <c r="Q115" s="1">
        <f t="shared" si="1187"/>
        <v>0</v>
      </c>
      <c r="T115" s="2" t="b">
        <f t="shared" ref="T115" si="2067">IF(D113 = 0, FALSE, IF(C113 = 1, CHOOSE(D113, W115, X115, Y115, Z115), IF(C113 = 2, CHOOSE(D113, AC115, AD115, AE115, AF115), IF(C113 = 3, CHOOSE(D113, AI115, AJ115, AK115), IF(C113 = 4, CHOOSE(D113, AN115, AO115), IF(C113 = 5, CHOOSE(D113, AR115, AS115, AT115), IF(C113 = 7, CHOOSE(D113, AW115, AX115, AY115), FALSE)))))))</f>
        <v>0</v>
      </c>
      <c r="W115" s="2" t="b">
        <f t="shared" si="2048"/>
        <v>0</v>
      </c>
      <c r="X115" s="2" t="b">
        <f t="shared" ref="X115" si="2068">OR(I115, J115)</f>
        <v>0</v>
      </c>
      <c r="Y115" s="2" t="b">
        <f t="shared" ref="Y115" si="2069">AND(NOT(K114), NOT(J114))</f>
        <v>0</v>
      </c>
      <c r="Z115" s="2" t="b">
        <f t="shared" ref="Z115" si="2070">J115</f>
        <v>0</v>
      </c>
      <c r="AC115" s="2" t="b">
        <f t="shared" ref="AC115" si="2071">NOT(K115)</f>
        <v>0</v>
      </c>
      <c r="AD115" s="2" t="b">
        <f t="shared" ref="AD115" si="2072">OR(I115, J115)</f>
        <v>0</v>
      </c>
      <c r="AE115" s="2" t="b">
        <f t="shared" ref="AE115" si="2073">NOT(K115)</f>
        <v>0</v>
      </c>
      <c r="AF115" s="2" t="b">
        <f t="shared" ref="AF115" si="2074">OR(I115, J115)</f>
        <v>0</v>
      </c>
      <c r="AI115" s="2" t="b">
        <f t="shared" ref="AI115" si="2075">AND(OR(I115, J115), NOT(K115))</f>
        <v>0</v>
      </c>
      <c r="AJ115" s="2" t="b">
        <f t="shared" ref="AJ115" si="2076">J115</f>
        <v>0</v>
      </c>
      <c r="AK115" s="2" t="b">
        <f t="shared" ref="AK115" si="2077">J115</f>
        <v>0</v>
      </c>
      <c r="AN115" s="2" t="b">
        <f t="shared" ref="AN115:AN116" si="2078">K115</f>
        <v>1</v>
      </c>
      <c r="AO115" s="2" t="b">
        <f t="shared" ref="AO115:AO116" si="2079">K115</f>
        <v>1</v>
      </c>
      <c r="AR115" s="2" t="b">
        <f t="shared" si="2035"/>
        <v>0</v>
      </c>
      <c r="AS115" s="2" t="b">
        <f t="shared" ref="AS115" si="2080">J115</f>
        <v>0</v>
      </c>
      <c r="AT115" s="2" t="b">
        <f t="shared" ref="AT115" si="2081">J115</f>
        <v>0</v>
      </c>
      <c r="AW115" s="2" t="b">
        <f t="shared" ref="AW115:AW116" si="2082">K115</f>
        <v>1</v>
      </c>
      <c r="AX115" s="2" t="b">
        <f t="shared" ref="AX115:AX116" si="2083">K115</f>
        <v>1</v>
      </c>
      <c r="AY115" s="2" t="b">
        <f t="shared" ref="AY115:AY116" si="2084">K115</f>
        <v>1</v>
      </c>
    </row>
    <row r="116" spans="2:54" ht="18" customHeight="1" x14ac:dyDescent="0.3">
      <c r="B116" s="412"/>
      <c r="C116" s="332"/>
      <c r="D116" s="332"/>
      <c r="E116" s="2" t="s">
        <v>236</v>
      </c>
      <c r="F116" s="2" t="str">
        <f>IF('One-Off Entries'!P33 &lt;&gt; "", LEFT('One-Off Entries'!P33, 1), "")</f>
        <v/>
      </c>
      <c r="G116" s="2" t="b">
        <f t="shared" si="2041"/>
        <v>0</v>
      </c>
      <c r="H116" s="2" t="b">
        <f t="shared" si="2042"/>
        <v>0</v>
      </c>
      <c r="I116" s="2" t="b">
        <f t="shared" si="2043"/>
        <v>0</v>
      </c>
      <c r="J116" s="2" t="b">
        <f t="shared" si="2044"/>
        <v>0</v>
      </c>
      <c r="K116" s="27" t="b">
        <f t="shared" si="2045"/>
        <v>1</v>
      </c>
      <c r="L116" s="412"/>
      <c r="O116" s="1" t="s">
        <v>388</v>
      </c>
      <c r="P116" s="1" t="b">
        <f t="shared" ref="P116" si="2085">IF(SUM(Q113:Q116) &gt; 1, TRUE, FALSE)</f>
        <v>0</v>
      </c>
      <c r="Q116" s="1">
        <f t="shared" si="1187"/>
        <v>0</v>
      </c>
      <c r="T116" s="2" t="b">
        <f>IF(D113 = 0, FALSE, IF(C113 = 1, CHOOSE(D113, W116, X116, Y116, Z116), IF(C113 = 2, IF(BB116 = "Rolex 24 at Daytona", CHOOSE(D113, AC116, AD116, AE116, AF116), K116), IF(C113 = 3, CHOOSE(D113, AI116, AJ116, AK116), IF(C113 = 4, CHOOSE(D113, AN116, AO116), IF(C113 = 5, CHOOSE(D113, AR116, AS116, AT116), IF(C113 = 7, CHOOSE(D113, AW116, AX116, AY116), FALSE)))))))</f>
        <v>0</v>
      </c>
      <c r="W116" s="2" t="b">
        <f t="shared" ref="W116" si="2086">K116</f>
        <v>1</v>
      </c>
      <c r="X116" s="2" t="b">
        <f t="shared" ref="X116" si="2087">K116</f>
        <v>1</v>
      </c>
      <c r="Y116" s="2" t="b">
        <f t="shared" ref="Y116" si="2088">K116</f>
        <v>1</v>
      </c>
      <c r="Z116" s="2" t="b">
        <f t="shared" ref="Z116" si="2089">K116</f>
        <v>1</v>
      </c>
      <c r="AC116" s="2" t="b">
        <v>1</v>
      </c>
      <c r="AD116" s="2" t="b">
        <f t="shared" ref="AD116" si="2090">NOT(K116)</f>
        <v>0</v>
      </c>
      <c r="AE116" s="2" t="b">
        <v>1</v>
      </c>
      <c r="AF116" s="2" t="b">
        <f t="shared" ref="AF116" si="2091">NOT(K116)</f>
        <v>0</v>
      </c>
      <c r="AI116" s="2" t="b">
        <f t="shared" ref="AI116" si="2092">K116</f>
        <v>1</v>
      </c>
      <c r="AJ116" s="2" t="b">
        <f t="shared" ref="AJ116" si="2093">K116</f>
        <v>1</v>
      </c>
      <c r="AK116" s="2" t="b">
        <f t="shared" ref="AK116" si="2094">K116</f>
        <v>1</v>
      </c>
      <c r="AN116" s="2" t="b">
        <f t="shared" si="2078"/>
        <v>1</v>
      </c>
      <c r="AO116" s="2" t="b">
        <f t="shared" si="2079"/>
        <v>1</v>
      </c>
      <c r="AR116" s="2" t="b">
        <f t="shared" ref="AR116" si="2095">K116</f>
        <v>1</v>
      </c>
      <c r="AS116" s="2" t="b">
        <f t="shared" ref="AS116" si="2096">K116</f>
        <v>1</v>
      </c>
      <c r="AT116" s="2" t="b">
        <f t="shared" ref="AT116" si="2097">K116</f>
        <v>1</v>
      </c>
      <c r="AW116" s="2" t="b">
        <f t="shared" si="2082"/>
        <v>1</v>
      </c>
      <c r="AX116" s="2" t="b">
        <f t="shared" si="2083"/>
        <v>1</v>
      </c>
      <c r="AY116" s="2" t="b">
        <f t="shared" si="2084"/>
        <v>1</v>
      </c>
      <c r="BB116" s="1">
        <f>'One-Off Entries'!C33</f>
        <v>0</v>
      </c>
    </row>
    <row r="117" spans="2:54" ht="18" hidden="1" customHeight="1" x14ac:dyDescent="0.3">
      <c r="B117" s="415">
        <v>29</v>
      </c>
      <c r="C117" s="332">
        <f>'One-Off Entries'!AI34</f>
        <v>0</v>
      </c>
      <c r="D117" s="332">
        <f>'One-Off Entries'!AJ34</f>
        <v>0</v>
      </c>
      <c r="E117" s="2" t="s">
        <v>233</v>
      </c>
      <c r="F117" s="2" t="str">
        <f>IF('One-Off Entries'!M34 &lt;&gt; "", LEFT('One-Off Entries'!M34, 1), "")</f>
        <v/>
      </c>
      <c r="G117" s="2" t="b">
        <f>IF(F117 = "P", TRUE, FALSE)</f>
        <v>0</v>
      </c>
      <c r="H117" s="2" t="b">
        <f>IF(F117 = "G", TRUE, FALSE)</f>
        <v>0</v>
      </c>
      <c r="I117" s="2" t="b">
        <f>IF(F117 = "S", TRUE, FALSE)</f>
        <v>0</v>
      </c>
      <c r="J117" s="2" t="b">
        <f>IF(F117 = "B", TRUE, FALSE)</f>
        <v>0</v>
      </c>
      <c r="K117" s="27" t="b">
        <f>IF(AND(IF(G117 = FALSE, TRUE, FALSE), IF(H117 = FALSE, TRUE, FALSE), IF(I117 = FALSE, TRUE, FALSE), IF(J117 = FALSE, TRUE, FALSE)) = TRUE, TRUE, FALSE)</f>
        <v>1</v>
      </c>
      <c r="L117" s="415" t="str">
        <f>IF(P117, "", IF(AND(P118, P119), AND(T117, T118, T119, T120), AND(NOT(P120), T117, T118, T119, T120)))</f>
        <v/>
      </c>
      <c r="O117" s="1" t="s">
        <v>232</v>
      </c>
      <c r="P117" s="1" t="b">
        <f t="shared" ref="P117" si="2098">AND(K117, K118, K119, K120)</f>
        <v>1</v>
      </c>
      <c r="Q117" s="1">
        <f t="shared" si="1187"/>
        <v>0</v>
      </c>
      <c r="T117" s="2" t="b">
        <f t="shared" ref="T117" si="2099">IF(D117 = 0, FALSE, IF(C117 = 1, CHOOSE(D117, W117, X117, Y117, Z117), IF(C117 = 2, CHOOSE(D117, AC117, AD117, AE117, AF117), IF(C117 = 3, CHOOSE(D117, AI117, AJ117, AK117), IF(C117 = 4, CHOOSE(D117, AN117, AO117), IF(C117 = 5, CHOOSE(D117, AR117, AS117, AT117), IF(C117 = 7, CHOOSE(D117, AW117, AX117, AY117), FALSE)))))))</f>
        <v>0</v>
      </c>
      <c r="W117" s="2" t="b">
        <f t="shared" ref="W117" si="2100">AND(NOT(I117), NOT(K117), NOT(J117))</f>
        <v>0</v>
      </c>
      <c r="X117" s="2" t="b">
        <f t="shared" ref="X117" si="2101">AND(NOT(I117), NOT(K117), NOT(J117))</f>
        <v>0</v>
      </c>
      <c r="Y117" s="2" t="b">
        <f t="shared" ref="Y117" si="2102">AND(NOT(I117), NOT(K117), NOT(J117))</f>
        <v>0</v>
      </c>
      <c r="Z117" s="2" t="b">
        <f t="shared" ref="Z117" si="2103">AND(NOT(I117), NOT(K117), NOT(J117))</f>
        <v>0</v>
      </c>
      <c r="AC117" s="2" t="b">
        <f t="shared" ref="AC117" si="2104">AND(NOT(I117), NOT(K117), NOT(J117))</f>
        <v>0</v>
      </c>
      <c r="AD117" s="2" t="b">
        <f t="shared" ref="AD117" si="2105">AND(NOT(G117), NOT(K117), NOT(J117))</f>
        <v>0</v>
      </c>
      <c r="AE117" s="2" t="b">
        <f t="shared" ref="AE117" si="2106">AND(NOT(I117), NOT(K117), NOT(J117))</f>
        <v>0</v>
      </c>
      <c r="AF117" s="2" t="b">
        <f t="shared" ref="AF117" si="2107">AND(NOT(I117), NOT(K117), NOT(J117))</f>
        <v>0</v>
      </c>
      <c r="AI117" s="2" t="b">
        <f t="shared" ref="AI117" si="2108">AND(NOT(I117), NOT(K117), NOT(J117))</f>
        <v>0</v>
      </c>
      <c r="AJ117" s="2" t="b">
        <f t="shared" ref="AJ117" si="2109">AND(NOT(J117), NOT(K117))</f>
        <v>0</v>
      </c>
      <c r="AK117" s="2" t="b">
        <f t="shared" ref="AK117" si="2110">AND(NOT(I117), NOT(K117), NOT(J117))</f>
        <v>0</v>
      </c>
      <c r="AN117" s="2" t="b">
        <f t="shared" ref="AN117" si="2111">AND(NOT(I117), NOT(K117), NOT(J117))</f>
        <v>0</v>
      </c>
      <c r="AO117" s="2" t="b">
        <f t="shared" ref="AO117" si="2112">AND(NOT(G117), NOT(J117), NOT(K117))</f>
        <v>0</v>
      </c>
      <c r="AR117" s="2" t="b">
        <f t="shared" ref="AR117:AR119" si="2113">AND(NOT(J117), NOT(K117))</f>
        <v>0</v>
      </c>
      <c r="AS117" s="2" t="b">
        <f t="shared" ref="AS117" si="2114">AND(NOT(I117), NOT(K117), NOT(J117))</f>
        <v>0</v>
      </c>
      <c r="AT117" s="2" t="b">
        <f t="shared" ref="AT117" si="2115">AND(NOT(G117), NOT(J117), NOT(K117))</f>
        <v>0</v>
      </c>
      <c r="AW117" s="2" t="b">
        <f t="shared" ref="AW117" si="2116">AND(NOT(G117), NOT(J117), NOT(K117))</f>
        <v>0</v>
      </c>
      <c r="AX117" s="2" t="b">
        <f t="shared" ref="AX117" si="2117">AND(NOT(J117), NOT(K117))</f>
        <v>0</v>
      </c>
      <c r="AY117" s="2" t="b">
        <f t="shared" ref="AY117" si="2118">AND(NOT(G117), NOT(J117), NOT(K117))</f>
        <v>0</v>
      </c>
    </row>
    <row r="118" spans="2:54" ht="18" hidden="1" customHeight="1" x14ac:dyDescent="0.3">
      <c r="B118" s="416"/>
      <c r="C118" s="332"/>
      <c r="D118" s="332"/>
      <c r="E118" s="2" t="s">
        <v>234</v>
      </c>
      <c r="F118" s="2" t="str">
        <f>IF('One-Off Entries'!N34 &lt;&gt; "", LEFT('One-Off Entries'!N34, 1), "")</f>
        <v/>
      </c>
      <c r="G118" s="2" t="b">
        <f t="shared" ref="G118:G120" si="2119">IF(F118 = "P", TRUE, FALSE)</f>
        <v>0</v>
      </c>
      <c r="H118" s="2" t="b">
        <f t="shared" ref="H118:H120" si="2120">IF(F118 = "G", TRUE, FALSE)</f>
        <v>0</v>
      </c>
      <c r="I118" s="2" t="b">
        <f t="shared" ref="I118:I120" si="2121">IF(F118 = "S", TRUE, FALSE)</f>
        <v>0</v>
      </c>
      <c r="J118" s="2" t="b">
        <f t="shared" ref="J118:J120" si="2122">IF(F118 = "B", TRUE, FALSE)</f>
        <v>0</v>
      </c>
      <c r="K118" s="27" t="b">
        <f t="shared" ref="K118:K120" si="2123">IF(AND(IF(G118 = FALSE, TRUE, FALSE), IF(H118 = FALSE, TRUE, FALSE), IF(I118 = FALSE, TRUE, FALSE), IF(J118 = FALSE, TRUE, FALSE)) = TRUE, TRUE, FALSE)</f>
        <v>1</v>
      </c>
      <c r="L118" s="416"/>
      <c r="O118" s="1" t="s">
        <v>386</v>
      </c>
      <c r="P118" s="1" t="b">
        <f t="shared" ref="P118" si="2124">OR(IF(C117 = 2, TRUE, FALSE), IF(C117 = 2.2, TRUE, FALSE))</f>
        <v>0</v>
      </c>
      <c r="Q118" s="1">
        <f t="shared" si="1187"/>
        <v>0</v>
      </c>
      <c r="T118" s="2" t="b">
        <f t="shared" ref="T118" si="2125">IF(D117 = 0, FALSE, IF(C117 = 1, CHOOSE(D117, W118, X118, Y118, Z118), IF(C117 = 2, CHOOSE(D117, AC118, AD118, AE118, AF118), IF(C117 = 3, CHOOSE(D117, AI118, AJ118, AK118), IF(C117 = 4, CHOOSE(D117, AN118, AO118), IF(C117 = 5, CHOOSE(D117, AR118, AS118, AT118), IF(C117 = 7, CHOOSE(D117, AW118, AX118, AY118), FALSE)))))))</f>
        <v>0</v>
      </c>
      <c r="W118" s="2" t="b">
        <f t="shared" ref="W118:W119" si="2126">AND(NOT(K118), NOT(J118))</f>
        <v>0</v>
      </c>
      <c r="X118" s="2" t="b">
        <f t="shared" ref="X118" si="2127">NOT(K117)</f>
        <v>0</v>
      </c>
      <c r="Y118" s="2" t="b">
        <f t="shared" ref="Y118" si="2128">AND(NOT(K118), NOT(J118))</f>
        <v>0</v>
      </c>
      <c r="Z118" s="2" t="b">
        <f t="shared" ref="Z118" si="2129">OR(I118, J118)</f>
        <v>0</v>
      </c>
      <c r="AC118" s="2" t="b">
        <f t="shared" ref="AC118" si="2130">AND(NOT(K118), NOT(J118))</f>
        <v>0</v>
      </c>
      <c r="AD118" s="2" t="b">
        <f t="shared" ref="AD118" si="2131">J118</f>
        <v>0</v>
      </c>
      <c r="AE118" s="2" t="b">
        <f t="shared" ref="AE118" si="2132">AND(NOT(K118), NOT(J118))</f>
        <v>0</v>
      </c>
      <c r="AF118" s="2" t="b">
        <f t="shared" ref="AF118" si="2133">J118</f>
        <v>0</v>
      </c>
      <c r="AI118" s="2" t="b">
        <f t="shared" ref="AI118" si="2134">AND(NOT(J118), NOT(K118))</f>
        <v>0</v>
      </c>
      <c r="AJ118" s="2" t="b">
        <f t="shared" ref="AJ118" si="2135">OR(I118, J118)</f>
        <v>0</v>
      </c>
      <c r="AK118" s="2" t="b">
        <f t="shared" ref="AK118" si="2136">OR(I118, J118)</f>
        <v>0</v>
      </c>
      <c r="AN118" s="2" t="b">
        <f t="shared" ref="AN118" si="2137">OR(I118, J118)</f>
        <v>0</v>
      </c>
      <c r="AO118" s="2" t="b">
        <f t="shared" ref="AO118" si="2138">J118</f>
        <v>0</v>
      </c>
      <c r="AR118" s="2" t="b">
        <f t="shared" si="2113"/>
        <v>0</v>
      </c>
      <c r="AS118" s="2" t="b">
        <f t="shared" ref="AS118" si="2139">OR(I118, J118)</f>
        <v>0</v>
      </c>
      <c r="AT118" s="2" t="b">
        <f t="shared" ref="AT118" si="2140">OR(I118, J118)</f>
        <v>0</v>
      </c>
      <c r="AW118" s="2" t="b">
        <f t="shared" ref="AW118" si="2141">J118</f>
        <v>0</v>
      </c>
      <c r="AX118" s="2" t="b">
        <f t="shared" ref="AX118" si="2142">J118</f>
        <v>0</v>
      </c>
      <c r="AY118" s="2" t="b">
        <f t="shared" ref="AY118" si="2143">J118</f>
        <v>0</v>
      </c>
    </row>
    <row r="119" spans="2:54" ht="18" hidden="1" customHeight="1" x14ac:dyDescent="0.3">
      <c r="B119" s="416"/>
      <c r="C119" s="332"/>
      <c r="D119" s="332"/>
      <c r="E119" s="2" t="s">
        <v>235</v>
      </c>
      <c r="F119" s="2" t="str">
        <f>IF('One-Off Entries'!O34 &lt;&gt; "", LEFT('One-Off Entries'!O34, 1), "")</f>
        <v/>
      </c>
      <c r="G119" s="2" t="b">
        <f t="shared" si="2119"/>
        <v>0</v>
      </c>
      <c r="H119" s="2" t="b">
        <f t="shared" si="2120"/>
        <v>0</v>
      </c>
      <c r="I119" s="2" t="b">
        <f t="shared" si="2121"/>
        <v>0</v>
      </c>
      <c r="J119" s="2" t="b">
        <f t="shared" si="2122"/>
        <v>0</v>
      </c>
      <c r="K119" s="27" t="b">
        <f t="shared" si="2123"/>
        <v>1</v>
      </c>
      <c r="L119" s="416"/>
      <c r="O119" s="1" t="s">
        <v>387</v>
      </c>
      <c r="P119" s="1" t="b">
        <f t="shared" ref="P119" si="2144">OR(IF(D117 = 2, TRUE, FALSE), IF(D117 = 4, TRUE, FALSE))</f>
        <v>0</v>
      </c>
      <c r="Q119" s="1">
        <f t="shared" si="1187"/>
        <v>0</v>
      </c>
      <c r="T119" s="2" t="b">
        <f t="shared" ref="T119" si="2145">IF(D117 = 0, FALSE, IF(C117 = 1, CHOOSE(D117, W119, X119, Y119, Z119), IF(C117 = 2, CHOOSE(D117, AC119, AD119, AE119, AF119), IF(C117 = 3, CHOOSE(D117, AI119, AJ119, AK119), IF(C117 = 4, CHOOSE(D117, AN119, AO119), IF(C117 = 5, CHOOSE(D117, AR119, AS119, AT119), IF(C117 = 7, CHOOSE(D117, AW119, AX119, AY119), FALSE)))))))</f>
        <v>0</v>
      </c>
      <c r="W119" s="2" t="b">
        <f t="shared" si="2126"/>
        <v>0</v>
      </c>
      <c r="X119" s="2" t="b">
        <f t="shared" ref="X119" si="2146">OR(I119, J119)</f>
        <v>0</v>
      </c>
      <c r="Y119" s="2" t="b">
        <f t="shared" ref="Y119" si="2147">AND(NOT(K118), NOT(J118))</f>
        <v>0</v>
      </c>
      <c r="Z119" s="2" t="b">
        <f t="shared" ref="Z119" si="2148">J119</f>
        <v>0</v>
      </c>
      <c r="AC119" s="2" t="b">
        <f t="shared" ref="AC119" si="2149">NOT(K119)</f>
        <v>0</v>
      </c>
      <c r="AD119" s="2" t="b">
        <f t="shared" ref="AD119" si="2150">OR(I119, J119)</f>
        <v>0</v>
      </c>
      <c r="AE119" s="2" t="b">
        <f t="shared" ref="AE119" si="2151">NOT(K119)</f>
        <v>0</v>
      </c>
      <c r="AF119" s="2" t="b">
        <f t="shared" ref="AF119" si="2152">OR(I119, J119)</f>
        <v>0</v>
      </c>
      <c r="AI119" s="2" t="b">
        <f t="shared" ref="AI119" si="2153">AND(OR(I119, J119), NOT(K119))</f>
        <v>0</v>
      </c>
      <c r="AJ119" s="2" t="b">
        <f t="shared" ref="AJ119" si="2154">J119</f>
        <v>0</v>
      </c>
      <c r="AK119" s="2" t="b">
        <f t="shared" ref="AK119" si="2155">J119</f>
        <v>0</v>
      </c>
      <c r="AN119" s="2" t="b">
        <f t="shared" ref="AN119:AN120" si="2156">K119</f>
        <v>1</v>
      </c>
      <c r="AO119" s="2" t="b">
        <f t="shared" ref="AO119:AO120" si="2157">K119</f>
        <v>1</v>
      </c>
      <c r="AR119" s="2" t="b">
        <f t="shared" si="2113"/>
        <v>0</v>
      </c>
      <c r="AS119" s="2" t="b">
        <f t="shared" ref="AS119" si="2158">J119</f>
        <v>0</v>
      </c>
      <c r="AT119" s="2" t="b">
        <f t="shared" ref="AT119" si="2159">J119</f>
        <v>0</v>
      </c>
      <c r="AW119" s="2" t="b">
        <f t="shared" ref="AW119:AW120" si="2160">K119</f>
        <v>1</v>
      </c>
      <c r="AX119" s="2" t="b">
        <f t="shared" ref="AX119:AX120" si="2161">K119</f>
        <v>1</v>
      </c>
      <c r="AY119" s="2" t="b">
        <f t="shared" ref="AY119:AY120" si="2162">K119</f>
        <v>1</v>
      </c>
    </row>
    <row r="120" spans="2:54" ht="18" customHeight="1" x14ac:dyDescent="0.3">
      <c r="B120" s="412"/>
      <c r="C120" s="332"/>
      <c r="D120" s="332"/>
      <c r="E120" s="2" t="s">
        <v>236</v>
      </c>
      <c r="F120" s="2" t="str">
        <f>IF('One-Off Entries'!P34 &lt;&gt; "", LEFT('One-Off Entries'!P34, 1), "")</f>
        <v/>
      </c>
      <c r="G120" s="2" t="b">
        <f t="shared" si="2119"/>
        <v>0</v>
      </c>
      <c r="H120" s="2" t="b">
        <f t="shared" si="2120"/>
        <v>0</v>
      </c>
      <c r="I120" s="2" t="b">
        <f t="shared" si="2121"/>
        <v>0</v>
      </c>
      <c r="J120" s="2" t="b">
        <f t="shared" si="2122"/>
        <v>0</v>
      </c>
      <c r="K120" s="27" t="b">
        <f t="shared" si="2123"/>
        <v>1</v>
      </c>
      <c r="L120" s="412"/>
      <c r="O120" s="1" t="s">
        <v>388</v>
      </c>
      <c r="P120" s="1" t="b">
        <f t="shared" ref="P120" si="2163">IF(SUM(Q117:Q120) &gt; 1, TRUE, FALSE)</f>
        <v>0</v>
      </c>
      <c r="Q120" s="1">
        <f t="shared" si="1187"/>
        <v>0</v>
      </c>
      <c r="T120" s="2" t="b">
        <f>IF(D117 = 0, FALSE, IF(C117 = 1, CHOOSE(D117, W120, X120, Y120, Z120), IF(C117 = 2, IF(BB120 = "Rolex 24 at Daytona", CHOOSE(D117, AC120, AD120, AE120, AF120), K120), IF(C117 = 3, CHOOSE(D117, AI120, AJ120, AK120), IF(C117 = 4, CHOOSE(D117, AN120, AO120), IF(C117 = 5, CHOOSE(D117, AR120, AS120, AT120), IF(C117 = 7, CHOOSE(D117, AW120, AX120, AY120), FALSE)))))))</f>
        <v>0</v>
      </c>
      <c r="W120" s="2" t="b">
        <f t="shared" ref="W120" si="2164">K120</f>
        <v>1</v>
      </c>
      <c r="X120" s="2" t="b">
        <f t="shared" ref="X120" si="2165">K120</f>
        <v>1</v>
      </c>
      <c r="Y120" s="2" t="b">
        <f t="shared" ref="Y120" si="2166">K120</f>
        <v>1</v>
      </c>
      <c r="Z120" s="2" t="b">
        <f t="shared" ref="Z120" si="2167">K120</f>
        <v>1</v>
      </c>
      <c r="AC120" s="2" t="b">
        <v>1</v>
      </c>
      <c r="AD120" s="2" t="b">
        <f t="shared" ref="AD120" si="2168">NOT(K120)</f>
        <v>0</v>
      </c>
      <c r="AE120" s="2" t="b">
        <v>1</v>
      </c>
      <c r="AF120" s="2" t="b">
        <f t="shared" ref="AF120" si="2169">NOT(K120)</f>
        <v>0</v>
      </c>
      <c r="AI120" s="2" t="b">
        <f t="shared" ref="AI120" si="2170">K120</f>
        <v>1</v>
      </c>
      <c r="AJ120" s="2" t="b">
        <f t="shared" ref="AJ120" si="2171">K120</f>
        <v>1</v>
      </c>
      <c r="AK120" s="2" t="b">
        <f t="shared" ref="AK120" si="2172">K120</f>
        <v>1</v>
      </c>
      <c r="AN120" s="2" t="b">
        <f t="shared" si="2156"/>
        <v>1</v>
      </c>
      <c r="AO120" s="2" t="b">
        <f t="shared" si="2157"/>
        <v>1</v>
      </c>
      <c r="AR120" s="2" t="b">
        <f t="shared" ref="AR120" si="2173">K120</f>
        <v>1</v>
      </c>
      <c r="AS120" s="2" t="b">
        <f t="shared" ref="AS120" si="2174">K120</f>
        <v>1</v>
      </c>
      <c r="AT120" s="2" t="b">
        <f t="shared" ref="AT120" si="2175">K120</f>
        <v>1</v>
      </c>
      <c r="AW120" s="2" t="b">
        <f t="shared" si="2160"/>
        <v>1</v>
      </c>
      <c r="AX120" s="2" t="b">
        <f t="shared" si="2161"/>
        <v>1</v>
      </c>
      <c r="AY120" s="2" t="b">
        <f t="shared" si="2162"/>
        <v>1</v>
      </c>
      <c r="BB120" s="1">
        <f>'One-Off Entries'!C34</f>
        <v>0</v>
      </c>
    </row>
    <row r="121" spans="2:54" ht="18" hidden="1" customHeight="1" x14ac:dyDescent="0.3">
      <c r="B121" s="415">
        <v>30</v>
      </c>
      <c r="C121" s="332">
        <f>'One-Off Entries'!AI35</f>
        <v>0</v>
      </c>
      <c r="D121" s="332">
        <f>'One-Off Entries'!AJ35</f>
        <v>0</v>
      </c>
      <c r="E121" s="2" t="s">
        <v>233</v>
      </c>
      <c r="F121" s="2" t="str">
        <f>IF('One-Off Entries'!M35 &lt;&gt; "", LEFT('One-Off Entries'!M35, 1), "")</f>
        <v/>
      </c>
      <c r="G121" s="2" t="b">
        <f>IF(F121 = "P", TRUE, FALSE)</f>
        <v>0</v>
      </c>
      <c r="H121" s="2" t="b">
        <f>IF(F121 = "G", TRUE, FALSE)</f>
        <v>0</v>
      </c>
      <c r="I121" s="2" t="b">
        <f>IF(F121 = "S", TRUE, FALSE)</f>
        <v>0</v>
      </c>
      <c r="J121" s="2" t="b">
        <f>IF(F121 = "B", TRUE, FALSE)</f>
        <v>0</v>
      </c>
      <c r="K121" s="27" t="b">
        <f>IF(AND(IF(G121 = FALSE, TRUE, FALSE), IF(H121 = FALSE, TRUE, FALSE), IF(I121 = FALSE, TRUE, FALSE), IF(J121 = FALSE, TRUE, FALSE)) = TRUE, TRUE, FALSE)</f>
        <v>1</v>
      </c>
      <c r="L121" s="415" t="str">
        <f>IF(P121, "", IF(AND(P122, P123), AND(T121, T122, T123, T124), AND(NOT(P124), T121, T122, T123, T124)))</f>
        <v/>
      </c>
      <c r="O121" s="1" t="s">
        <v>232</v>
      </c>
      <c r="P121" s="1" t="b">
        <f t="shared" ref="P121" si="2176">AND(K121, K122, K123, K124)</f>
        <v>1</v>
      </c>
      <c r="Q121" s="1">
        <f t="shared" si="1187"/>
        <v>0</v>
      </c>
      <c r="T121" s="2" t="b">
        <f t="shared" ref="T121" si="2177">IF(D121 = 0, FALSE, IF(C121 = 1, CHOOSE(D121, W121, X121, Y121, Z121), IF(C121 = 2, CHOOSE(D121, AC121, AD121, AE121, AF121), IF(C121 = 3, CHOOSE(D121, AI121, AJ121, AK121), IF(C121 = 4, CHOOSE(D121, AN121, AO121), IF(C121 = 5, CHOOSE(D121, AR121, AS121, AT121), IF(C121 = 7, CHOOSE(D121, AW121, AX121, AY121), FALSE)))))))</f>
        <v>0</v>
      </c>
      <c r="W121" s="2" t="b">
        <f t="shared" ref="W121" si="2178">AND(NOT(I121), NOT(K121), NOT(J121))</f>
        <v>0</v>
      </c>
      <c r="X121" s="2" t="b">
        <f t="shared" ref="X121" si="2179">AND(NOT(I121), NOT(K121), NOT(J121))</f>
        <v>0</v>
      </c>
      <c r="Y121" s="2" t="b">
        <f t="shared" ref="Y121" si="2180">AND(NOT(I121), NOT(K121), NOT(J121))</f>
        <v>0</v>
      </c>
      <c r="Z121" s="2" t="b">
        <f t="shared" ref="Z121" si="2181">AND(NOT(I121), NOT(K121), NOT(J121))</f>
        <v>0</v>
      </c>
      <c r="AC121" s="2" t="b">
        <f t="shared" ref="AC121" si="2182">AND(NOT(I121), NOT(K121), NOT(J121))</f>
        <v>0</v>
      </c>
      <c r="AD121" s="2" t="b">
        <f t="shared" ref="AD121" si="2183">AND(NOT(G121), NOT(K121), NOT(J121))</f>
        <v>0</v>
      </c>
      <c r="AE121" s="2" t="b">
        <f t="shared" ref="AE121" si="2184">AND(NOT(I121), NOT(K121), NOT(J121))</f>
        <v>0</v>
      </c>
      <c r="AF121" s="2" t="b">
        <f t="shared" ref="AF121" si="2185">AND(NOT(I121), NOT(K121), NOT(J121))</f>
        <v>0</v>
      </c>
      <c r="AI121" s="2" t="b">
        <f t="shared" ref="AI121" si="2186">AND(NOT(I121), NOT(K121), NOT(J121))</f>
        <v>0</v>
      </c>
      <c r="AJ121" s="2" t="b">
        <f t="shared" ref="AJ121" si="2187">AND(NOT(J121), NOT(K121))</f>
        <v>0</v>
      </c>
      <c r="AK121" s="2" t="b">
        <f t="shared" ref="AK121" si="2188">AND(NOT(I121), NOT(K121), NOT(J121))</f>
        <v>0</v>
      </c>
      <c r="AN121" s="2" t="b">
        <f t="shared" ref="AN121" si="2189">AND(NOT(I121), NOT(K121), NOT(J121))</f>
        <v>0</v>
      </c>
      <c r="AO121" s="2" t="b">
        <f t="shared" ref="AO121" si="2190">AND(NOT(G121), NOT(J121), NOT(K121))</f>
        <v>0</v>
      </c>
      <c r="AR121" s="2" t="b">
        <f t="shared" ref="AR121:AR123" si="2191">AND(NOT(J121), NOT(K121))</f>
        <v>0</v>
      </c>
      <c r="AS121" s="2" t="b">
        <f t="shared" ref="AS121" si="2192">AND(NOT(I121), NOT(K121), NOT(J121))</f>
        <v>0</v>
      </c>
      <c r="AT121" s="2" t="b">
        <f t="shared" ref="AT121" si="2193">AND(NOT(G121), NOT(J121), NOT(K121))</f>
        <v>0</v>
      </c>
      <c r="AW121" s="2" t="b">
        <f t="shared" ref="AW121" si="2194">AND(NOT(G121), NOT(J121), NOT(K121))</f>
        <v>0</v>
      </c>
      <c r="AX121" s="2" t="b">
        <f t="shared" ref="AX121" si="2195">AND(NOT(J121), NOT(K121))</f>
        <v>0</v>
      </c>
      <c r="AY121" s="2" t="b">
        <f t="shared" ref="AY121" si="2196">AND(NOT(G121), NOT(J121), NOT(K121))</f>
        <v>0</v>
      </c>
    </row>
    <row r="122" spans="2:54" ht="18" hidden="1" customHeight="1" x14ac:dyDescent="0.3">
      <c r="B122" s="416"/>
      <c r="C122" s="332"/>
      <c r="D122" s="332"/>
      <c r="E122" s="2" t="s">
        <v>234</v>
      </c>
      <c r="F122" s="2" t="str">
        <f>IF('One-Off Entries'!N35 &lt;&gt; "", LEFT('One-Off Entries'!N35, 1), "")</f>
        <v/>
      </c>
      <c r="G122" s="2" t="b">
        <f t="shared" ref="G122:G124" si="2197">IF(F122 = "P", TRUE, FALSE)</f>
        <v>0</v>
      </c>
      <c r="H122" s="2" t="b">
        <f t="shared" ref="H122:H124" si="2198">IF(F122 = "G", TRUE, FALSE)</f>
        <v>0</v>
      </c>
      <c r="I122" s="2" t="b">
        <f t="shared" ref="I122:I124" si="2199">IF(F122 = "S", TRUE, FALSE)</f>
        <v>0</v>
      </c>
      <c r="J122" s="2" t="b">
        <f t="shared" ref="J122:J124" si="2200">IF(F122 = "B", TRUE, FALSE)</f>
        <v>0</v>
      </c>
      <c r="K122" s="27" t="b">
        <f t="shared" ref="K122:K124" si="2201">IF(AND(IF(G122 = FALSE, TRUE, FALSE), IF(H122 = FALSE, TRUE, FALSE), IF(I122 = FALSE, TRUE, FALSE), IF(J122 = FALSE, TRUE, FALSE)) = TRUE, TRUE, FALSE)</f>
        <v>1</v>
      </c>
      <c r="L122" s="416"/>
      <c r="O122" s="1" t="s">
        <v>386</v>
      </c>
      <c r="P122" s="1" t="b">
        <f t="shared" ref="P122" si="2202">OR(IF(C121 = 2, TRUE, FALSE), IF(C121 = 2.2, TRUE, FALSE))</f>
        <v>0</v>
      </c>
      <c r="Q122" s="1">
        <f t="shared" si="1187"/>
        <v>0</v>
      </c>
      <c r="T122" s="2" t="b">
        <f t="shared" ref="T122" si="2203">IF(D121 = 0, FALSE, IF(C121 = 1, CHOOSE(D121, W122, X122, Y122, Z122), IF(C121 = 2, CHOOSE(D121, AC122, AD122, AE122, AF122), IF(C121 = 3, CHOOSE(D121, AI122, AJ122, AK122), IF(C121 = 4, CHOOSE(D121, AN122, AO122), IF(C121 = 5, CHOOSE(D121, AR122, AS122, AT122), IF(C121 = 7, CHOOSE(D121, AW122, AX122, AY122), FALSE)))))))</f>
        <v>0</v>
      </c>
      <c r="W122" s="2" t="b">
        <f t="shared" ref="W122:W123" si="2204">AND(NOT(K122), NOT(J122))</f>
        <v>0</v>
      </c>
      <c r="X122" s="2" t="b">
        <f t="shared" ref="X122" si="2205">NOT(K121)</f>
        <v>0</v>
      </c>
      <c r="Y122" s="2" t="b">
        <f t="shared" ref="Y122" si="2206">AND(NOT(K122), NOT(J122))</f>
        <v>0</v>
      </c>
      <c r="Z122" s="2" t="b">
        <f t="shared" ref="Z122" si="2207">OR(I122, J122)</f>
        <v>0</v>
      </c>
      <c r="AC122" s="2" t="b">
        <f t="shared" ref="AC122" si="2208">AND(NOT(K122), NOT(J122))</f>
        <v>0</v>
      </c>
      <c r="AD122" s="2" t="b">
        <f t="shared" ref="AD122" si="2209">J122</f>
        <v>0</v>
      </c>
      <c r="AE122" s="2" t="b">
        <f t="shared" ref="AE122" si="2210">AND(NOT(K122), NOT(J122))</f>
        <v>0</v>
      </c>
      <c r="AF122" s="2" t="b">
        <f t="shared" ref="AF122" si="2211">J122</f>
        <v>0</v>
      </c>
      <c r="AI122" s="2" t="b">
        <f t="shared" ref="AI122" si="2212">AND(NOT(J122), NOT(K122))</f>
        <v>0</v>
      </c>
      <c r="AJ122" s="2" t="b">
        <f t="shared" ref="AJ122" si="2213">OR(I122, J122)</f>
        <v>0</v>
      </c>
      <c r="AK122" s="2" t="b">
        <f t="shared" ref="AK122" si="2214">OR(I122, J122)</f>
        <v>0</v>
      </c>
      <c r="AN122" s="2" t="b">
        <f t="shared" ref="AN122" si="2215">OR(I122, J122)</f>
        <v>0</v>
      </c>
      <c r="AO122" s="2" t="b">
        <f t="shared" ref="AO122" si="2216">J122</f>
        <v>0</v>
      </c>
      <c r="AR122" s="2" t="b">
        <f t="shared" si="2191"/>
        <v>0</v>
      </c>
      <c r="AS122" s="2" t="b">
        <f t="shared" ref="AS122" si="2217">OR(I122, J122)</f>
        <v>0</v>
      </c>
      <c r="AT122" s="2" t="b">
        <f t="shared" ref="AT122" si="2218">OR(I122, J122)</f>
        <v>0</v>
      </c>
      <c r="AW122" s="2" t="b">
        <f t="shared" ref="AW122" si="2219">J122</f>
        <v>0</v>
      </c>
      <c r="AX122" s="2" t="b">
        <f t="shared" ref="AX122" si="2220">J122</f>
        <v>0</v>
      </c>
      <c r="AY122" s="2" t="b">
        <f t="shared" ref="AY122" si="2221">J122</f>
        <v>0</v>
      </c>
    </row>
    <row r="123" spans="2:54" ht="18" hidden="1" customHeight="1" x14ac:dyDescent="0.3">
      <c r="B123" s="416"/>
      <c r="C123" s="332"/>
      <c r="D123" s="332"/>
      <c r="E123" s="2" t="s">
        <v>235</v>
      </c>
      <c r="F123" s="2" t="str">
        <f>IF('One-Off Entries'!O35 &lt;&gt; "", LEFT('One-Off Entries'!O35, 1), "")</f>
        <v/>
      </c>
      <c r="G123" s="2" t="b">
        <f t="shared" si="2197"/>
        <v>0</v>
      </c>
      <c r="H123" s="2" t="b">
        <f t="shared" si="2198"/>
        <v>0</v>
      </c>
      <c r="I123" s="2" t="b">
        <f t="shared" si="2199"/>
        <v>0</v>
      </c>
      <c r="J123" s="2" t="b">
        <f t="shared" si="2200"/>
        <v>0</v>
      </c>
      <c r="K123" s="27" t="b">
        <f t="shared" si="2201"/>
        <v>1</v>
      </c>
      <c r="L123" s="416"/>
      <c r="O123" s="1" t="s">
        <v>387</v>
      </c>
      <c r="P123" s="1" t="b">
        <f t="shared" ref="P123" si="2222">OR(IF(D121 = 2, TRUE, FALSE), IF(D121 = 4, TRUE, FALSE))</f>
        <v>0</v>
      </c>
      <c r="Q123" s="1">
        <f t="shared" si="1187"/>
        <v>0</v>
      </c>
      <c r="T123" s="2" t="b">
        <f t="shared" ref="T123" si="2223">IF(D121 = 0, FALSE, IF(C121 = 1, CHOOSE(D121, W123, X123, Y123, Z123), IF(C121 = 2, CHOOSE(D121, AC123, AD123, AE123, AF123), IF(C121 = 3, CHOOSE(D121, AI123, AJ123, AK123), IF(C121 = 4, CHOOSE(D121, AN123, AO123), IF(C121 = 5, CHOOSE(D121, AR123, AS123, AT123), IF(C121 = 7, CHOOSE(D121, AW123, AX123, AY123), FALSE)))))))</f>
        <v>0</v>
      </c>
      <c r="W123" s="2" t="b">
        <f t="shared" si="2204"/>
        <v>0</v>
      </c>
      <c r="X123" s="2" t="b">
        <f t="shared" ref="X123" si="2224">OR(I123, J123)</f>
        <v>0</v>
      </c>
      <c r="Y123" s="2" t="b">
        <f t="shared" ref="Y123" si="2225">AND(NOT(K122), NOT(J122))</f>
        <v>0</v>
      </c>
      <c r="Z123" s="2" t="b">
        <f t="shared" ref="Z123" si="2226">J123</f>
        <v>0</v>
      </c>
      <c r="AC123" s="2" t="b">
        <f t="shared" ref="AC123" si="2227">NOT(K123)</f>
        <v>0</v>
      </c>
      <c r="AD123" s="2" t="b">
        <f t="shared" ref="AD123" si="2228">OR(I123, J123)</f>
        <v>0</v>
      </c>
      <c r="AE123" s="2" t="b">
        <f t="shared" ref="AE123" si="2229">NOT(K123)</f>
        <v>0</v>
      </c>
      <c r="AF123" s="2" t="b">
        <f t="shared" ref="AF123" si="2230">OR(I123, J123)</f>
        <v>0</v>
      </c>
      <c r="AI123" s="2" t="b">
        <f t="shared" ref="AI123" si="2231">AND(OR(I123, J123), NOT(K123))</f>
        <v>0</v>
      </c>
      <c r="AJ123" s="2" t="b">
        <f t="shared" ref="AJ123" si="2232">J123</f>
        <v>0</v>
      </c>
      <c r="AK123" s="2" t="b">
        <f t="shared" ref="AK123" si="2233">J123</f>
        <v>0</v>
      </c>
      <c r="AN123" s="2" t="b">
        <f t="shared" ref="AN123:AN124" si="2234">K123</f>
        <v>1</v>
      </c>
      <c r="AO123" s="2" t="b">
        <f t="shared" ref="AO123:AO124" si="2235">K123</f>
        <v>1</v>
      </c>
      <c r="AR123" s="2" t="b">
        <f t="shared" si="2191"/>
        <v>0</v>
      </c>
      <c r="AS123" s="2" t="b">
        <f t="shared" ref="AS123" si="2236">J123</f>
        <v>0</v>
      </c>
      <c r="AT123" s="2" t="b">
        <f t="shared" ref="AT123" si="2237">J123</f>
        <v>0</v>
      </c>
      <c r="AW123" s="2" t="b">
        <f t="shared" ref="AW123:AW124" si="2238">K123</f>
        <v>1</v>
      </c>
      <c r="AX123" s="2" t="b">
        <f t="shared" ref="AX123:AX124" si="2239">K123</f>
        <v>1</v>
      </c>
      <c r="AY123" s="2" t="b">
        <f t="shared" ref="AY123:AY124" si="2240">K123</f>
        <v>1</v>
      </c>
    </row>
    <row r="124" spans="2:54" ht="18" customHeight="1" x14ac:dyDescent="0.3">
      <c r="B124" s="412"/>
      <c r="C124" s="332"/>
      <c r="D124" s="332"/>
      <c r="E124" s="2" t="s">
        <v>236</v>
      </c>
      <c r="F124" s="2" t="str">
        <f>IF('One-Off Entries'!P35 &lt;&gt; "", LEFT('One-Off Entries'!P35, 1), "")</f>
        <v/>
      </c>
      <c r="G124" s="2" t="b">
        <f t="shared" si="2197"/>
        <v>0</v>
      </c>
      <c r="H124" s="2" t="b">
        <f t="shared" si="2198"/>
        <v>0</v>
      </c>
      <c r="I124" s="2" t="b">
        <f t="shared" si="2199"/>
        <v>0</v>
      </c>
      <c r="J124" s="2" t="b">
        <f t="shared" si="2200"/>
        <v>0</v>
      </c>
      <c r="K124" s="27" t="b">
        <f t="shared" si="2201"/>
        <v>1</v>
      </c>
      <c r="L124" s="412"/>
      <c r="O124" s="1" t="s">
        <v>388</v>
      </c>
      <c r="P124" s="1" t="b">
        <f t="shared" ref="P124" si="2241">IF(SUM(Q121:Q124) &gt; 1, TRUE, FALSE)</f>
        <v>0</v>
      </c>
      <c r="Q124" s="1">
        <f t="shared" si="1187"/>
        <v>0</v>
      </c>
      <c r="T124" s="2" t="b">
        <f>IF(D121 = 0, FALSE, IF(C121 = 1, CHOOSE(D121, W124, X124, Y124, Z124), IF(C121 = 2, IF(BB124 = "Rolex 24 at Daytona", CHOOSE(D121, AC124, AD124, AE124, AF124), K124), IF(C121 = 3, CHOOSE(D121, AI124, AJ124, AK124), IF(C121 = 4, CHOOSE(D121, AN124, AO124), IF(C121 = 5, CHOOSE(D121, AR124, AS124, AT124), IF(C121 = 7, CHOOSE(D121, AW124, AX124, AY124), FALSE)))))))</f>
        <v>0</v>
      </c>
      <c r="W124" s="2" t="b">
        <f t="shared" ref="W124" si="2242">K124</f>
        <v>1</v>
      </c>
      <c r="X124" s="2" t="b">
        <f t="shared" ref="X124" si="2243">K124</f>
        <v>1</v>
      </c>
      <c r="Y124" s="2" t="b">
        <f t="shared" ref="Y124" si="2244">K124</f>
        <v>1</v>
      </c>
      <c r="Z124" s="2" t="b">
        <f t="shared" ref="Z124" si="2245">K124</f>
        <v>1</v>
      </c>
      <c r="AC124" s="2" t="b">
        <v>1</v>
      </c>
      <c r="AD124" s="2" t="b">
        <f t="shared" ref="AD124" si="2246">NOT(K124)</f>
        <v>0</v>
      </c>
      <c r="AE124" s="2" t="b">
        <v>1</v>
      </c>
      <c r="AF124" s="2" t="b">
        <f t="shared" ref="AF124" si="2247">NOT(K124)</f>
        <v>0</v>
      </c>
      <c r="AI124" s="2" t="b">
        <f t="shared" ref="AI124" si="2248">K124</f>
        <v>1</v>
      </c>
      <c r="AJ124" s="2" t="b">
        <f t="shared" ref="AJ124" si="2249">K124</f>
        <v>1</v>
      </c>
      <c r="AK124" s="2" t="b">
        <f t="shared" ref="AK124" si="2250">K124</f>
        <v>1</v>
      </c>
      <c r="AN124" s="2" t="b">
        <f t="shared" si="2234"/>
        <v>1</v>
      </c>
      <c r="AO124" s="2" t="b">
        <f t="shared" si="2235"/>
        <v>1</v>
      </c>
      <c r="AR124" s="2" t="b">
        <f t="shared" ref="AR124" si="2251">K124</f>
        <v>1</v>
      </c>
      <c r="AS124" s="2" t="b">
        <f t="shared" ref="AS124" si="2252">K124</f>
        <v>1</v>
      </c>
      <c r="AT124" s="2" t="b">
        <f t="shared" ref="AT124" si="2253">K124</f>
        <v>1</v>
      </c>
      <c r="AW124" s="2" t="b">
        <f t="shared" si="2238"/>
        <v>1</v>
      </c>
      <c r="AX124" s="2" t="b">
        <f t="shared" si="2239"/>
        <v>1</v>
      </c>
      <c r="AY124" s="2" t="b">
        <f t="shared" si="2240"/>
        <v>1</v>
      </c>
      <c r="BB124" s="1">
        <f>'One-Off Entries'!C35</f>
        <v>0</v>
      </c>
    </row>
    <row r="125" spans="2:54" ht="18" hidden="1" customHeight="1" x14ac:dyDescent="0.3">
      <c r="B125" s="415">
        <v>31</v>
      </c>
      <c r="C125" s="332">
        <f>'One-Off Entries'!AI36</f>
        <v>0</v>
      </c>
      <c r="D125" s="332">
        <f>'One-Off Entries'!AJ36</f>
        <v>0</v>
      </c>
      <c r="E125" s="2" t="s">
        <v>233</v>
      </c>
      <c r="F125" s="2" t="str">
        <f>IF('One-Off Entries'!M36 &lt;&gt; "", LEFT('One-Off Entries'!M36, 1), "")</f>
        <v/>
      </c>
      <c r="G125" s="2" t="b">
        <f>IF(F125 = "P", TRUE, FALSE)</f>
        <v>0</v>
      </c>
      <c r="H125" s="2" t="b">
        <f>IF(F125 = "G", TRUE, FALSE)</f>
        <v>0</v>
      </c>
      <c r="I125" s="2" t="b">
        <f>IF(F125 = "S", TRUE, FALSE)</f>
        <v>0</v>
      </c>
      <c r="J125" s="2" t="b">
        <f>IF(F125 = "B", TRUE, FALSE)</f>
        <v>0</v>
      </c>
      <c r="K125" s="27" t="b">
        <f>IF(AND(IF(G125 = FALSE, TRUE, FALSE), IF(H125 = FALSE, TRUE, FALSE), IF(I125 = FALSE, TRUE, FALSE), IF(J125 = FALSE, TRUE, FALSE)) = TRUE, TRUE, FALSE)</f>
        <v>1</v>
      </c>
      <c r="L125" s="415" t="str">
        <f>IF(P125, "", IF(AND(P126, P127), AND(T125, T126, T127, T128), AND(NOT(P128), T125, T126, T127, T128)))</f>
        <v/>
      </c>
      <c r="O125" s="1" t="s">
        <v>232</v>
      </c>
      <c r="P125" s="1" t="b">
        <f t="shared" ref="P125" si="2254">AND(K125, K126, K127, K128)</f>
        <v>1</v>
      </c>
      <c r="Q125" s="1">
        <f t="shared" si="1187"/>
        <v>0</v>
      </c>
      <c r="T125" s="2" t="b">
        <f t="shared" ref="T125" si="2255">IF(D125 = 0, FALSE, IF(C125 = 1, CHOOSE(D125, W125, X125, Y125, Z125), IF(C125 = 2, CHOOSE(D125, AC125, AD125, AE125, AF125), IF(C125 = 3, CHOOSE(D125, AI125, AJ125, AK125), IF(C125 = 4, CHOOSE(D125, AN125, AO125), IF(C125 = 5, CHOOSE(D125, AR125, AS125, AT125), IF(C125 = 7, CHOOSE(D125, AW125, AX125, AY125), FALSE)))))))</f>
        <v>0</v>
      </c>
      <c r="W125" s="2" t="b">
        <f t="shared" ref="W125" si="2256">AND(NOT(I125), NOT(K125), NOT(J125))</f>
        <v>0</v>
      </c>
      <c r="X125" s="2" t="b">
        <f t="shared" ref="X125" si="2257">AND(NOT(I125), NOT(K125), NOT(J125))</f>
        <v>0</v>
      </c>
      <c r="Y125" s="2" t="b">
        <f t="shared" ref="Y125" si="2258">AND(NOT(I125), NOT(K125), NOT(J125))</f>
        <v>0</v>
      </c>
      <c r="Z125" s="2" t="b">
        <f t="shared" ref="Z125" si="2259">AND(NOT(I125), NOT(K125), NOT(J125))</f>
        <v>0</v>
      </c>
      <c r="AC125" s="2" t="b">
        <f t="shared" ref="AC125" si="2260">AND(NOT(I125), NOT(K125), NOT(J125))</f>
        <v>0</v>
      </c>
      <c r="AD125" s="2" t="b">
        <f t="shared" ref="AD125" si="2261">AND(NOT(G125), NOT(K125), NOT(J125))</f>
        <v>0</v>
      </c>
      <c r="AE125" s="2" t="b">
        <f t="shared" ref="AE125" si="2262">AND(NOT(I125), NOT(K125), NOT(J125))</f>
        <v>0</v>
      </c>
      <c r="AF125" s="2" t="b">
        <f t="shared" ref="AF125" si="2263">AND(NOT(I125), NOT(K125), NOT(J125))</f>
        <v>0</v>
      </c>
      <c r="AI125" s="2" t="b">
        <f t="shared" ref="AI125" si="2264">AND(NOT(I125), NOT(K125), NOT(J125))</f>
        <v>0</v>
      </c>
      <c r="AJ125" s="2" t="b">
        <f t="shared" ref="AJ125" si="2265">AND(NOT(J125), NOT(K125))</f>
        <v>0</v>
      </c>
      <c r="AK125" s="2" t="b">
        <f t="shared" ref="AK125" si="2266">AND(NOT(I125), NOT(K125), NOT(J125))</f>
        <v>0</v>
      </c>
      <c r="AN125" s="2" t="b">
        <f t="shared" ref="AN125" si="2267">AND(NOT(I125), NOT(K125), NOT(J125))</f>
        <v>0</v>
      </c>
      <c r="AO125" s="2" t="b">
        <f t="shared" ref="AO125" si="2268">AND(NOT(G125), NOT(J125), NOT(K125))</f>
        <v>0</v>
      </c>
      <c r="AR125" s="2" t="b">
        <f t="shared" ref="AR125:AR127" si="2269">AND(NOT(J125), NOT(K125))</f>
        <v>0</v>
      </c>
      <c r="AS125" s="2" t="b">
        <f t="shared" ref="AS125" si="2270">AND(NOT(I125), NOT(K125), NOT(J125))</f>
        <v>0</v>
      </c>
      <c r="AT125" s="2" t="b">
        <f t="shared" ref="AT125" si="2271">AND(NOT(G125), NOT(J125), NOT(K125))</f>
        <v>0</v>
      </c>
      <c r="AW125" s="2" t="b">
        <f t="shared" ref="AW125" si="2272">AND(NOT(G125), NOT(J125), NOT(K125))</f>
        <v>0</v>
      </c>
      <c r="AX125" s="2" t="b">
        <f t="shared" ref="AX125" si="2273">AND(NOT(J125), NOT(K125))</f>
        <v>0</v>
      </c>
      <c r="AY125" s="2" t="b">
        <f t="shared" ref="AY125" si="2274">AND(NOT(G125), NOT(J125), NOT(K125))</f>
        <v>0</v>
      </c>
    </row>
    <row r="126" spans="2:54" ht="18" hidden="1" customHeight="1" x14ac:dyDescent="0.3">
      <c r="B126" s="416"/>
      <c r="C126" s="332"/>
      <c r="D126" s="332"/>
      <c r="E126" s="2" t="s">
        <v>234</v>
      </c>
      <c r="F126" s="2" t="str">
        <f>IF('One-Off Entries'!N36 &lt;&gt; "", LEFT('One-Off Entries'!N36, 1), "")</f>
        <v/>
      </c>
      <c r="G126" s="2" t="b">
        <f t="shared" ref="G126:G128" si="2275">IF(F126 = "P", TRUE, FALSE)</f>
        <v>0</v>
      </c>
      <c r="H126" s="2" t="b">
        <f t="shared" ref="H126:H128" si="2276">IF(F126 = "G", TRUE, FALSE)</f>
        <v>0</v>
      </c>
      <c r="I126" s="2" t="b">
        <f t="shared" ref="I126:I128" si="2277">IF(F126 = "S", TRUE, FALSE)</f>
        <v>0</v>
      </c>
      <c r="J126" s="2" t="b">
        <f t="shared" ref="J126:J128" si="2278">IF(F126 = "B", TRUE, FALSE)</f>
        <v>0</v>
      </c>
      <c r="K126" s="27" t="b">
        <f t="shared" ref="K126:K128" si="2279">IF(AND(IF(G126 = FALSE, TRUE, FALSE), IF(H126 = FALSE, TRUE, FALSE), IF(I126 = FALSE, TRUE, FALSE), IF(J126 = FALSE, TRUE, FALSE)) = TRUE, TRUE, FALSE)</f>
        <v>1</v>
      </c>
      <c r="L126" s="416"/>
      <c r="O126" s="1" t="s">
        <v>386</v>
      </c>
      <c r="P126" s="1" t="b">
        <f t="shared" ref="P126" si="2280">OR(IF(C125 = 2, TRUE, FALSE), IF(C125 = 2.2, TRUE, FALSE))</f>
        <v>0</v>
      </c>
      <c r="Q126" s="1">
        <f t="shared" si="1187"/>
        <v>0</v>
      </c>
      <c r="T126" s="2" t="b">
        <f t="shared" ref="T126" si="2281">IF(D125 = 0, FALSE, IF(C125 = 1, CHOOSE(D125, W126, X126, Y126, Z126), IF(C125 = 2, CHOOSE(D125, AC126, AD126, AE126, AF126), IF(C125 = 3, CHOOSE(D125, AI126, AJ126, AK126), IF(C125 = 4, CHOOSE(D125, AN126, AO126), IF(C125 = 5, CHOOSE(D125, AR126, AS126, AT126), IF(C125 = 7, CHOOSE(D125, AW126, AX126, AY126), FALSE)))))))</f>
        <v>0</v>
      </c>
      <c r="W126" s="2" t="b">
        <f t="shared" ref="W126:W127" si="2282">AND(NOT(K126), NOT(J126))</f>
        <v>0</v>
      </c>
      <c r="X126" s="2" t="b">
        <f t="shared" ref="X126" si="2283">NOT(K125)</f>
        <v>0</v>
      </c>
      <c r="Y126" s="2" t="b">
        <f t="shared" ref="Y126" si="2284">AND(NOT(K126), NOT(J126))</f>
        <v>0</v>
      </c>
      <c r="Z126" s="2" t="b">
        <f t="shared" ref="Z126" si="2285">OR(I126, J126)</f>
        <v>0</v>
      </c>
      <c r="AC126" s="2" t="b">
        <f t="shared" ref="AC126" si="2286">AND(NOT(K126), NOT(J126))</f>
        <v>0</v>
      </c>
      <c r="AD126" s="2" t="b">
        <f t="shared" ref="AD126" si="2287">J126</f>
        <v>0</v>
      </c>
      <c r="AE126" s="2" t="b">
        <f t="shared" ref="AE126" si="2288">AND(NOT(K126), NOT(J126))</f>
        <v>0</v>
      </c>
      <c r="AF126" s="2" t="b">
        <f t="shared" ref="AF126" si="2289">J126</f>
        <v>0</v>
      </c>
      <c r="AI126" s="2" t="b">
        <f t="shared" ref="AI126" si="2290">AND(NOT(J126), NOT(K126))</f>
        <v>0</v>
      </c>
      <c r="AJ126" s="2" t="b">
        <f t="shared" ref="AJ126" si="2291">OR(I126, J126)</f>
        <v>0</v>
      </c>
      <c r="AK126" s="2" t="b">
        <f t="shared" ref="AK126" si="2292">OR(I126, J126)</f>
        <v>0</v>
      </c>
      <c r="AN126" s="2" t="b">
        <f t="shared" ref="AN126" si="2293">OR(I126, J126)</f>
        <v>0</v>
      </c>
      <c r="AO126" s="2" t="b">
        <f t="shared" ref="AO126" si="2294">J126</f>
        <v>0</v>
      </c>
      <c r="AR126" s="2" t="b">
        <f t="shared" si="2269"/>
        <v>0</v>
      </c>
      <c r="AS126" s="2" t="b">
        <f t="shared" ref="AS126" si="2295">OR(I126, J126)</f>
        <v>0</v>
      </c>
      <c r="AT126" s="2" t="b">
        <f t="shared" ref="AT126" si="2296">OR(I126, J126)</f>
        <v>0</v>
      </c>
      <c r="AW126" s="2" t="b">
        <f t="shared" ref="AW126" si="2297">J126</f>
        <v>0</v>
      </c>
      <c r="AX126" s="2" t="b">
        <f t="shared" ref="AX126" si="2298">J126</f>
        <v>0</v>
      </c>
      <c r="AY126" s="2" t="b">
        <f t="shared" ref="AY126" si="2299">J126</f>
        <v>0</v>
      </c>
    </row>
    <row r="127" spans="2:54" ht="18" hidden="1" customHeight="1" x14ac:dyDescent="0.3">
      <c r="B127" s="416"/>
      <c r="C127" s="332"/>
      <c r="D127" s="332"/>
      <c r="E127" s="2" t="s">
        <v>235</v>
      </c>
      <c r="F127" s="2" t="str">
        <f>IF('One-Off Entries'!O36 &lt;&gt; "", LEFT('One-Off Entries'!O36, 1), "")</f>
        <v/>
      </c>
      <c r="G127" s="2" t="b">
        <f t="shared" si="2275"/>
        <v>0</v>
      </c>
      <c r="H127" s="2" t="b">
        <f t="shared" si="2276"/>
        <v>0</v>
      </c>
      <c r="I127" s="2" t="b">
        <f t="shared" si="2277"/>
        <v>0</v>
      </c>
      <c r="J127" s="2" t="b">
        <f t="shared" si="2278"/>
        <v>0</v>
      </c>
      <c r="K127" s="27" t="b">
        <f t="shared" si="2279"/>
        <v>1</v>
      </c>
      <c r="L127" s="416"/>
      <c r="O127" s="1" t="s">
        <v>387</v>
      </c>
      <c r="P127" s="1" t="b">
        <f t="shared" ref="P127" si="2300">OR(IF(D125 = 2, TRUE, FALSE), IF(D125 = 4, TRUE, FALSE))</f>
        <v>0</v>
      </c>
      <c r="Q127" s="1">
        <f t="shared" si="1187"/>
        <v>0</v>
      </c>
      <c r="T127" s="2" t="b">
        <f t="shared" ref="T127" si="2301">IF(D125 = 0, FALSE, IF(C125 = 1, CHOOSE(D125, W127, X127, Y127, Z127), IF(C125 = 2, CHOOSE(D125, AC127, AD127, AE127, AF127), IF(C125 = 3, CHOOSE(D125, AI127, AJ127, AK127), IF(C125 = 4, CHOOSE(D125, AN127, AO127), IF(C125 = 5, CHOOSE(D125, AR127, AS127, AT127), IF(C125 = 7, CHOOSE(D125, AW127, AX127, AY127), FALSE)))))))</f>
        <v>0</v>
      </c>
      <c r="W127" s="2" t="b">
        <f t="shared" si="2282"/>
        <v>0</v>
      </c>
      <c r="X127" s="2" t="b">
        <f t="shared" ref="X127" si="2302">OR(I127, J127)</f>
        <v>0</v>
      </c>
      <c r="Y127" s="2" t="b">
        <f t="shared" ref="Y127" si="2303">AND(NOT(K126), NOT(J126))</f>
        <v>0</v>
      </c>
      <c r="Z127" s="2" t="b">
        <f t="shared" ref="Z127" si="2304">J127</f>
        <v>0</v>
      </c>
      <c r="AC127" s="2" t="b">
        <f t="shared" ref="AC127" si="2305">NOT(K127)</f>
        <v>0</v>
      </c>
      <c r="AD127" s="2" t="b">
        <f t="shared" ref="AD127" si="2306">OR(I127, J127)</f>
        <v>0</v>
      </c>
      <c r="AE127" s="2" t="b">
        <f t="shared" ref="AE127" si="2307">NOT(K127)</f>
        <v>0</v>
      </c>
      <c r="AF127" s="2" t="b">
        <f t="shared" ref="AF127" si="2308">OR(I127, J127)</f>
        <v>0</v>
      </c>
      <c r="AI127" s="2" t="b">
        <f t="shared" ref="AI127" si="2309">AND(OR(I127, J127), NOT(K127))</f>
        <v>0</v>
      </c>
      <c r="AJ127" s="2" t="b">
        <f t="shared" ref="AJ127" si="2310">J127</f>
        <v>0</v>
      </c>
      <c r="AK127" s="2" t="b">
        <f t="shared" ref="AK127" si="2311">J127</f>
        <v>0</v>
      </c>
      <c r="AN127" s="2" t="b">
        <f t="shared" ref="AN127:AN128" si="2312">K127</f>
        <v>1</v>
      </c>
      <c r="AO127" s="2" t="b">
        <f t="shared" ref="AO127:AO128" si="2313">K127</f>
        <v>1</v>
      </c>
      <c r="AR127" s="2" t="b">
        <f t="shared" si="2269"/>
        <v>0</v>
      </c>
      <c r="AS127" s="2" t="b">
        <f t="shared" ref="AS127" si="2314">J127</f>
        <v>0</v>
      </c>
      <c r="AT127" s="2" t="b">
        <f t="shared" ref="AT127" si="2315">J127</f>
        <v>0</v>
      </c>
      <c r="AW127" s="2" t="b">
        <f t="shared" ref="AW127:AW128" si="2316">K127</f>
        <v>1</v>
      </c>
      <c r="AX127" s="2" t="b">
        <f t="shared" ref="AX127:AX128" si="2317">K127</f>
        <v>1</v>
      </c>
      <c r="AY127" s="2" t="b">
        <f t="shared" ref="AY127:AY128" si="2318">K127</f>
        <v>1</v>
      </c>
    </row>
    <row r="128" spans="2:54" ht="18" customHeight="1" x14ac:dyDescent="0.3">
      <c r="B128" s="412"/>
      <c r="C128" s="332"/>
      <c r="D128" s="332"/>
      <c r="E128" s="2" t="s">
        <v>236</v>
      </c>
      <c r="F128" s="2" t="str">
        <f>IF('One-Off Entries'!P36 &lt;&gt; "", LEFT('One-Off Entries'!P36, 1), "")</f>
        <v/>
      </c>
      <c r="G128" s="2" t="b">
        <f t="shared" si="2275"/>
        <v>0</v>
      </c>
      <c r="H128" s="2" t="b">
        <f t="shared" si="2276"/>
        <v>0</v>
      </c>
      <c r="I128" s="2" t="b">
        <f t="shared" si="2277"/>
        <v>0</v>
      </c>
      <c r="J128" s="2" t="b">
        <f t="shared" si="2278"/>
        <v>0</v>
      </c>
      <c r="K128" s="27" t="b">
        <f t="shared" si="2279"/>
        <v>1</v>
      </c>
      <c r="L128" s="412"/>
      <c r="O128" s="1" t="s">
        <v>388</v>
      </c>
      <c r="P128" s="1" t="b">
        <f t="shared" ref="P128" si="2319">IF(SUM(Q125:Q128) &gt; 1, TRUE, FALSE)</f>
        <v>0</v>
      </c>
      <c r="Q128" s="1">
        <f t="shared" si="1187"/>
        <v>0</v>
      </c>
      <c r="T128" s="2" t="b">
        <f>IF(D125 = 0, FALSE, IF(C125 = 1, CHOOSE(D125, W128, X128, Y128, Z128), IF(C125 = 2, IF(BB128 = "Rolex 24 at Daytona", CHOOSE(D125, AC128, AD128, AE128, AF128), K128), IF(C125 = 3, CHOOSE(D125, AI128, AJ128, AK128), IF(C125 = 4, CHOOSE(D125, AN128, AO128), IF(C125 = 5, CHOOSE(D125, AR128, AS128, AT128), IF(C125 = 7, CHOOSE(D125, AW128, AX128, AY128), FALSE)))))))</f>
        <v>0</v>
      </c>
      <c r="W128" s="2" t="b">
        <f t="shared" ref="W128" si="2320">K128</f>
        <v>1</v>
      </c>
      <c r="X128" s="2" t="b">
        <f t="shared" ref="X128" si="2321">K128</f>
        <v>1</v>
      </c>
      <c r="Y128" s="2" t="b">
        <f t="shared" ref="Y128" si="2322">K128</f>
        <v>1</v>
      </c>
      <c r="Z128" s="2" t="b">
        <f t="shared" ref="Z128" si="2323">K128</f>
        <v>1</v>
      </c>
      <c r="AC128" s="2" t="b">
        <v>1</v>
      </c>
      <c r="AD128" s="2" t="b">
        <f t="shared" ref="AD128" si="2324">NOT(K128)</f>
        <v>0</v>
      </c>
      <c r="AE128" s="2" t="b">
        <v>1</v>
      </c>
      <c r="AF128" s="2" t="b">
        <f t="shared" ref="AF128" si="2325">NOT(K128)</f>
        <v>0</v>
      </c>
      <c r="AI128" s="2" t="b">
        <f t="shared" ref="AI128" si="2326">K128</f>
        <v>1</v>
      </c>
      <c r="AJ128" s="2" t="b">
        <f t="shared" ref="AJ128" si="2327">K128</f>
        <v>1</v>
      </c>
      <c r="AK128" s="2" t="b">
        <f t="shared" ref="AK128" si="2328">K128</f>
        <v>1</v>
      </c>
      <c r="AN128" s="2" t="b">
        <f t="shared" si="2312"/>
        <v>1</v>
      </c>
      <c r="AO128" s="2" t="b">
        <f t="shared" si="2313"/>
        <v>1</v>
      </c>
      <c r="AR128" s="2" t="b">
        <f t="shared" ref="AR128" si="2329">K128</f>
        <v>1</v>
      </c>
      <c r="AS128" s="2" t="b">
        <f t="shared" ref="AS128" si="2330">K128</f>
        <v>1</v>
      </c>
      <c r="AT128" s="2" t="b">
        <f t="shared" ref="AT128" si="2331">K128</f>
        <v>1</v>
      </c>
      <c r="AW128" s="2" t="b">
        <f t="shared" si="2316"/>
        <v>1</v>
      </c>
      <c r="AX128" s="2" t="b">
        <f t="shared" si="2317"/>
        <v>1</v>
      </c>
      <c r="AY128" s="2" t="b">
        <f t="shared" si="2318"/>
        <v>1</v>
      </c>
      <c r="BB128" s="1">
        <f>'One-Off Entries'!C36</f>
        <v>0</v>
      </c>
    </row>
    <row r="129" spans="2:54" ht="18" hidden="1" customHeight="1" x14ac:dyDescent="0.3">
      <c r="B129" s="415">
        <v>32</v>
      </c>
      <c r="C129" s="332">
        <f>'One-Off Entries'!AI37</f>
        <v>0</v>
      </c>
      <c r="D129" s="332">
        <f>'One-Off Entries'!AJ37</f>
        <v>0</v>
      </c>
      <c r="E129" s="2" t="s">
        <v>233</v>
      </c>
      <c r="F129" s="2" t="str">
        <f>IF('One-Off Entries'!M37 &lt;&gt; "", LEFT('One-Off Entries'!M37, 1), "")</f>
        <v/>
      </c>
      <c r="G129" s="2" t="b">
        <f>IF(F129 = "P", TRUE, FALSE)</f>
        <v>0</v>
      </c>
      <c r="H129" s="2" t="b">
        <f>IF(F129 = "G", TRUE, FALSE)</f>
        <v>0</v>
      </c>
      <c r="I129" s="2" t="b">
        <f>IF(F129 = "S", TRUE, FALSE)</f>
        <v>0</v>
      </c>
      <c r="J129" s="2" t="b">
        <f>IF(F129 = "B", TRUE, FALSE)</f>
        <v>0</v>
      </c>
      <c r="K129" s="27" t="b">
        <f>IF(AND(IF(G129 = FALSE, TRUE, FALSE), IF(H129 = FALSE, TRUE, FALSE), IF(I129 = FALSE, TRUE, FALSE), IF(J129 = FALSE, TRUE, FALSE)) = TRUE, TRUE, FALSE)</f>
        <v>1</v>
      </c>
      <c r="L129" s="415" t="str">
        <f>IF(P129, "", IF(AND(P130, P131), AND(T129, T130, T131, T132), AND(NOT(P132), T129, T130, T131, T132)))</f>
        <v/>
      </c>
      <c r="O129" s="1" t="s">
        <v>232</v>
      </c>
      <c r="P129" s="1" t="b">
        <f t="shared" ref="P129" si="2332">AND(K129, K130, K131, K132)</f>
        <v>1</v>
      </c>
      <c r="Q129" s="1">
        <f t="shared" si="1187"/>
        <v>0</v>
      </c>
      <c r="T129" s="2" t="b">
        <f t="shared" ref="T129" si="2333">IF(D129 = 0, FALSE, IF(C129 = 1, CHOOSE(D129, W129, X129, Y129, Z129), IF(C129 = 2, CHOOSE(D129, AC129, AD129, AE129, AF129), IF(C129 = 3, CHOOSE(D129, AI129, AJ129, AK129), IF(C129 = 4, CHOOSE(D129, AN129, AO129), IF(C129 = 5, CHOOSE(D129, AR129, AS129, AT129), IF(C129 = 7, CHOOSE(D129, AW129, AX129, AY129), FALSE)))))))</f>
        <v>0</v>
      </c>
      <c r="W129" s="2" t="b">
        <f t="shared" ref="W129" si="2334">AND(NOT(I129), NOT(K129), NOT(J129))</f>
        <v>0</v>
      </c>
      <c r="X129" s="2" t="b">
        <f t="shared" ref="X129" si="2335">AND(NOT(I129), NOT(K129), NOT(J129))</f>
        <v>0</v>
      </c>
      <c r="Y129" s="2" t="b">
        <f t="shared" ref="Y129" si="2336">AND(NOT(I129), NOT(K129), NOT(J129))</f>
        <v>0</v>
      </c>
      <c r="Z129" s="2" t="b">
        <f t="shared" ref="Z129" si="2337">AND(NOT(I129), NOT(K129), NOT(J129))</f>
        <v>0</v>
      </c>
      <c r="AC129" s="2" t="b">
        <f t="shared" ref="AC129" si="2338">AND(NOT(I129), NOT(K129), NOT(J129))</f>
        <v>0</v>
      </c>
      <c r="AD129" s="2" t="b">
        <f t="shared" ref="AD129" si="2339">AND(NOT(G129), NOT(K129), NOT(J129))</f>
        <v>0</v>
      </c>
      <c r="AE129" s="2" t="b">
        <f t="shared" ref="AE129" si="2340">AND(NOT(I129), NOT(K129), NOT(J129))</f>
        <v>0</v>
      </c>
      <c r="AF129" s="2" t="b">
        <f t="shared" ref="AF129" si="2341">AND(NOT(I129), NOT(K129), NOT(J129))</f>
        <v>0</v>
      </c>
      <c r="AI129" s="2" t="b">
        <f t="shared" ref="AI129" si="2342">AND(NOT(I129), NOT(K129), NOT(J129))</f>
        <v>0</v>
      </c>
      <c r="AJ129" s="2" t="b">
        <f t="shared" ref="AJ129" si="2343">AND(NOT(J129), NOT(K129))</f>
        <v>0</v>
      </c>
      <c r="AK129" s="2" t="b">
        <f t="shared" ref="AK129" si="2344">AND(NOT(I129), NOT(K129), NOT(J129))</f>
        <v>0</v>
      </c>
      <c r="AN129" s="2" t="b">
        <f t="shared" ref="AN129" si="2345">AND(NOT(I129), NOT(K129), NOT(J129))</f>
        <v>0</v>
      </c>
      <c r="AO129" s="2" t="b">
        <f t="shared" ref="AO129" si="2346">AND(NOT(G129), NOT(J129), NOT(K129))</f>
        <v>0</v>
      </c>
      <c r="AR129" s="2" t="b">
        <f t="shared" ref="AR129:AR131" si="2347">AND(NOT(J129), NOT(K129))</f>
        <v>0</v>
      </c>
      <c r="AS129" s="2" t="b">
        <f t="shared" ref="AS129" si="2348">AND(NOT(I129), NOT(K129), NOT(J129))</f>
        <v>0</v>
      </c>
      <c r="AT129" s="2" t="b">
        <f t="shared" ref="AT129" si="2349">AND(NOT(G129), NOT(J129), NOT(K129))</f>
        <v>0</v>
      </c>
      <c r="AW129" s="2" t="b">
        <f t="shared" ref="AW129" si="2350">AND(NOT(G129), NOT(J129), NOT(K129))</f>
        <v>0</v>
      </c>
      <c r="AX129" s="2" t="b">
        <f t="shared" ref="AX129" si="2351">AND(NOT(J129), NOT(K129))</f>
        <v>0</v>
      </c>
      <c r="AY129" s="2" t="b">
        <f t="shared" ref="AY129" si="2352">AND(NOT(G129), NOT(J129), NOT(K129))</f>
        <v>0</v>
      </c>
    </row>
    <row r="130" spans="2:54" ht="18" hidden="1" customHeight="1" x14ac:dyDescent="0.3">
      <c r="B130" s="416"/>
      <c r="C130" s="332"/>
      <c r="D130" s="332"/>
      <c r="E130" s="2" t="s">
        <v>234</v>
      </c>
      <c r="F130" s="2" t="str">
        <f>IF('One-Off Entries'!N37 &lt;&gt; "", LEFT('One-Off Entries'!N37, 1), "")</f>
        <v/>
      </c>
      <c r="G130" s="2" t="b">
        <f t="shared" ref="G130:G132" si="2353">IF(F130 = "P", TRUE, FALSE)</f>
        <v>0</v>
      </c>
      <c r="H130" s="2" t="b">
        <f t="shared" ref="H130:H132" si="2354">IF(F130 = "G", TRUE, FALSE)</f>
        <v>0</v>
      </c>
      <c r="I130" s="2" t="b">
        <f t="shared" ref="I130:I132" si="2355">IF(F130 = "S", TRUE, FALSE)</f>
        <v>0</v>
      </c>
      <c r="J130" s="2" t="b">
        <f t="shared" ref="J130:J132" si="2356">IF(F130 = "B", TRUE, FALSE)</f>
        <v>0</v>
      </c>
      <c r="K130" s="27" t="b">
        <f t="shared" ref="K130:K132" si="2357">IF(AND(IF(G130 = FALSE, TRUE, FALSE), IF(H130 = FALSE, TRUE, FALSE), IF(I130 = FALSE, TRUE, FALSE), IF(J130 = FALSE, TRUE, FALSE)) = TRUE, TRUE, FALSE)</f>
        <v>1</v>
      </c>
      <c r="L130" s="416"/>
      <c r="O130" s="1" t="s">
        <v>386</v>
      </c>
      <c r="P130" s="1" t="b">
        <f t="shared" ref="P130" si="2358">OR(IF(C129 = 2, TRUE, FALSE), IF(C129 = 2.2, TRUE, FALSE))</f>
        <v>0</v>
      </c>
      <c r="Q130" s="1">
        <f t="shared" si="1187"/>
        <v>0</v>
      </c>
      <c r="T130" s="2" t="b">
        <f t="shared" ref="T130" si="2359">IF(D129 = 0, FALSE, IF(C129 = 1, CHOOSE(D129, W130, X130, Y130, Z130), IF(C129 = 2, CHOOSE(D129, AC130, AD130, AE130, AF130), IF(C129 = 3, CHOOSE(D129, AI130, AJ130, AK130), IF(C129 = 4, CHOOSE(D129, AN130, AO130), IF(C129 = 5, CHOOSE(D129, AR130, AS130, AT130), IF(C129 = 7, CHOOSE(D129, AW130, AX130, AY130), FALSE)))))))</f>
        <v>0</v>
      </c>
      <c r="W130" s="2" t="b">
        <f t="shared" ref="W130:W131" si="2360">AND(NOT(K130), NOT(J130))</f>
        <v>0</v>
      </c>
      <c r="X130" s="2" t="b">
        <f t="shared" ref="X130" si="2361">NOT(K129)</f>
        <v>0</v>
      </c>
      <c r="Y130" s="2" t="b">
        <f t="shared" ref="Y130" si="2362">AND(NOT(K130), NOT(J130))</f>
        <v>0</v>
      </c>
      <c r="Z130" s="2" t="b">
        <f t="shared" ref="Z130" si="2363">OR(I130, J130)</f>
        <v>0</v>
      </c>
      <c r="AC130" s="2" t="b">
        <f t="shared" ref="AC130" si="2364">AND(NOT(K130), NOT(J130))</f>
        <v>0</v>
      </c>
      <c r="AD130" s="2" t="b">
        <f t="shared" ref="AD130" si="2365">J130</f>
        <v>0</v>
      </c>
      <c r="AE130" s="2" t="b">
        <f t="shared" ref="AE130" si="2366">AND(NOT(K130), NOT(J130))</f>
        <v>0</v>
      </c>
      <c r="AF130" s="2" t="b">
        <f t="shared" ref="AF130" si="2367">J130</f>
        <v>0</v>
      </c>
      <c r="AI130" s="2" t="b">
        <f t="shared" ref="AI130" si="2368">AND(NOT(J130), NOT(K130))</f>
        <v>0</v>
      </c>
      <c r="AJ130" s="2" t="b">
        <f t="shared" ref="AJ130" si="2369">OR(I130, J130)</f>
        <v>0</v>
      </c>
      <c r="AK130" s="2" t="b">
        <f t="shared" ref="AK130" si="2370">OR(I130, J130)</f>
        <v>0</v>
      </c>
      <c r="AN130" s="2" t="b">
        <f t="shared" ref="AN130" si="2371">OR(I130, J130)</f>
        <v>0</v>
      </c>
      <c r="AO130" s="2" t="b">
        <f t="shared" ref="AO130" si="2372">J130</f>
        <v>0</v>
      </c>
      <c r="AR130" s="2" t="b">
        <f t="shared" si="2347"/>
        <v>0</v>
      </c>
      <c r="AS130" s="2" t="b">
        <f t="shared" ref="AS130" si="2373">OR(I130, J130)</f>
        <v>0</v>
      </c>
      <c r="AT130" s="2" t="b">
        <f t="shared" ref="AT130" si="2374">OR(I130, J130)</f>
        <v>0</v>
      </c>
      <c r="AW130" s="2" t="b">
        <f t="shared" ref="AW130" si="2375">J130</f>
        <v>0</v>
      </c>
      <c r="AX130" s="2" t="b">
        <f t="shared" ref="AX130" si="2376">J130</f>
        <v>0</v>
      </c>
      <c r="AY130" s="2" t="b">
        <f t="shared" ref="AY130" si="2377">J130</f>
        <v>0</v>
      </c>
    </row>
    <row r="131" spans="2:54" ht="18" hidden="1" customHeight="1" x14ac:dyDescent="0.3">
      <c r="B131" s="416"/>
      <c r="C131" s="332"/>
      <c r="D131" s="332"/>
      <c r="E131" s="2" t="s">
        <v>235</v>
      </c>
      <c r="F131" s="2" t="str">
        <f>IF('One-Off Entries'!O37 &lt;&gt; "", LEFT('One-Off Entries'!O37, 1), "")</f>
        <v/>
      </c>
      <c r="G131" s="2" t="b">
        <f t="shared" si="2353"/>
        <v>0</v>
      </c>
      <c r="H131" s="2" t="b">
        <f t="shared" si="2354"/>
        <v>0</v>
      </c>
      <c r="I131" s="2" t="b">
        <f t="shared" si="2355"/>
        <v>0</v>
      </c>
      <c r="J131" s="2" t="b">
        <f t="shared" si="2356"/>
        <v>0</v>
      </c>
      <c r="K131" s="27" t="b">
        <f t="shared" si="2357"/>
        <v>1</v>
      </c>
      <c r="L131" s="416"/>
      <c r="O131" s="1" t="s">
        <v>387</v>
      </c>
      <c r="P131" s="1" t="b">
        <f t="shared" ref="P131" si="2378">OR(IF(D129 = 2, TRUE, FALSE), IF(D129 = 4, TRUE, FALSE))</f>
        <v>0</v>
      </c>
      <c r="Q131" s="1">
        <f t="shared" si="1187"/>
        <v>0</v>
      </c>
      <c r="T131" s="2" t="b">
        <f t="shared" ref="T131" si="2379">IF(D129 = 0, FALSE, IF(C129 = 1, CHOOSE(D129, W131, X131, Y131, Z131), IF(C129 = 2, CHOOSE(D129, AC131, AD131, AE131, AF131), IF(C129 = 3, CHOOSE(D129, AI131, AJ131, AK131), IF(C129 = 4, CHOOSE(D129, AN131, AO131), IF(C129 = 5, CHOOSE(D129, AR131, AS131, AT131), IF(C129 = 7, CHOOSE(D129, AW131, AX131, AY131), FALSE)))))))</f>
        <v>0</v>
      </c>
      <c r="W131" s="2" t="b">
        <f t="shared" si="2360"/>
        <v>0</v>
      </c>
      <c r="X131" s="2" t="b">
        <f t="shared" ref="X131" si="2380">OR(I131, J131)</f>
        <v>0</v>
      </c>
      <c r="Y131" s="2" t="b">
        <f t="shared" ref="Y131" si="2381">AND(NOT(K130), NOT(J130))</f>
        <v>0</v>
      </c>
      <c r="Z131" s="2" t="b">
        <f t="shared" ref="Z131" si="2382">J131</f>
        <v>0</v>
      </c>
      <c r="AC131" s="2" t="b">
        <f t="shared" ref="AC131" si="2383">NOT(K131)</f>
        <v>0</v>
      </c>
      <c r="AD131" s="2" t="b">
        <f t="shared" ref="AD131" si="2384">OR(I131, J131)</f>
        <v>0</v>
      </c>
      <c r="AE131" s="2" t="b">
        <f t="shared" ref="AE131" si="2385">NOT(K131)</f>
        <v>0</v>
      </c>
      <c r="AF131" s="2" t="b">
        <f t="shared" ref="AF131" si="2386">OR(I131, J131)</f>
        <v>0</v>
      </c>
      <c r="AI131" s="2" t="b">
        <f t="shared" ref="AI131" si="2387">AND(OR(I131, J131), NOT(K131))</f>
        <v>0</v>
      </c>
      <c r="AJ131" s="2" t="b">
        <f t="shared" ref="AJ131" si="2388">J131</f>
        <v>0</v>
      </c>
      <c r="AK131" s="2" t="b">
        <f t="shared" ref="AK131" si="2389">J131</f>
        <v>0</v>
      </c>
      <c r="AN131" s="2" t="b">
        <f t="shared" ref="AN131:AN132" si="2390">K131</f>
        <v>1</v>
      </c>
      <c r="AO131" s="2" t="b">
        <f t="shared" ref="AO131:AO132" si="2391">K131</f>
        <v>1</v>
      </c>
      <c r="AR131" s="2" t="b">
        <f t="shared" si="2347"/>
        <v>0</v>
      </c>
      <c r="AS131" s="2" t="b">
        <f t="shared" ref="AS131" si="2392">J131</f>
        <v>0</v>
      </c>
      <c r="AT131" s="2" t="b">
        <f t="shared" ref="AT131" si="2393">J131</f>
        <v>0</v>
      </c>
      <c r="AW131" s="2" t="b">
        <f t="shared" ref="AW131:AW132" si="2394">K131</f>
        <v>1</v>
      </c>
      <c r="AX131" s="2" t="b">
        <f t="shared" ref="AX131:AX132" si="2395">K131</f>
        <v>1</v>
      </c>
      <c r="AY131" s="2" t="b">
        <f t="shared" ref="AY131:AY132" si="2396">K131</f>
        <v>1</v>
      </c>
    </row>
    <row r="132" spans="2:54" ht="18" customHeight="1" x14ac:dyDescent="0.3">
      <c r="B132" s="412"/>
      <c r="C132" s="332"/>
      <c r="D132" s="332"/>
      <c r="E132" s="2" t="s">
        <v>236</v>
      </c>
      <c r="F132" s="2" t="str">
        <f>IF('One-Off Entries'!P37 &lt;&gt; "", LEFT('One-Off Entries'!P37, 1), "")</f>
        <v/>
      </c>
      <c r="G132" s="2" t="b">
        <f t="shared" si="2353"/>
        <v>0</v>
      </c>
      <c r="H132" s="2" t="b">
        <f t="shared" si="2354"/>
        <v>0</v>
      </c>
      <c r="I132" s="2" t="b">
        <f t="shared" si="2355"/>
        <v>0</v>
      </c>
      <c r="J132" s="2" t="b">
        <f t="shared" si="2356"/>
        <v>0</v>
      </c>
      <c r="K132" s="27" t="b">
        <f t="shared" si="2357"/>
        <v>1</v>
      </c>
      <c r="L132" s="412"/>
      <c r="O132" s="1" t="s">
        <v>388</v>
      </c>
      <c r="P132" s="1" t="b">
        <f t="shared" ref="P132" si="2397">IF(SUM(Q129:Q132) &gt; 1, TRUE, FALSE)</f>
        <v>0</v>
      </c>
      <c r="Q132" s="1">
        <f t="shared" si="1187"/>
        <v>0</v>
      </c>
      <c r="T132" s="2" t="b">
        <f>IF(D129 = 0, FALSE, IF(C129 = 1, CHOOSE(D129, W132, X132, Y132, Z132), IF(C129 = 2, IF(BB132 = "Rolex 24 at Daytona", CHOOSE(D129, AC132, AD132, AE132, AF132), K132), IF(C129 = 3, CHOOSE(D129, AI132, AJ132, AK132), IF(C129 = 4, CHOOSE(D129, AN132, AO132), IF(C129 = 5, CHOOSE(D129, AR132, AS132, AT132), IF(C129 = 7, CHOOSE(D129, AW132, AX132, AY132), FALSE)))))))</f>
        <v>0</v>
      </c>
      <c r="W132" s="2" t="b">
        <f t="shared" ref="W132" si="2398">K132</f>
        <v>1</v>
      </c>
      <c r="X132" s="2" t="b">
        <f t="shared" ref="X132" si="2399">K132</f>
        <v>1</v>
      </c>
      <c r="Y132" s="2" t="b">
        <f t="shared" ref="Y132" si="2400">K132</f>
        <v>1</v>
      </c>
      <c r="Z132" s="2" t="b">
        <f t="shared" ref="Z132" si="2401">K132</f>
        <v>1</v>
      </c>
      <c r="AC132" s="2" t="b">
        <v>1</v>
      </c>
      <c r="AD132" s="2" t="b">
        <f t="shared" ref="AD132" si="2402">NOT(K132)</f>
        <v>0</v>
      </c>
      <c r="AE132" s="2" t="b">
        <v>1</v>
      </c>
      <c r="AF132" s="2" t="b">
        <f t="shared" ref="AF132" si="2403">NOT(K132)</f>
        <v>0</v>
      </c>
      <c r="AI132" s="2" t="b">
        <f t="shared" ref="AI132" si="2404">K132</f>
        <v>1</v>
      </c>
      <c r="AJ132" s="2" t="b">
        <f t="shared" ref="AJ132" si="2405">K132</f>
        <v>1</v>
      </c>
      <c r="AK132" s="2" t="b">
        <f t="shared" ref="AK132" si="2406">K132</f>
        <v>1</v>
      </c>
      <c r="AN132" s="2" t="b">
        <f t="shared" si="2390"/>
        <v>1</v>
      </c>
      <c r="AO132" s="2" t="b">
        <f t="shared" si="2391"/>
        <v>1</v>
      </c>
      <c r="AR132" s="2" t="b">
        <f t="shared" ref="AR132" si="2407">K132</f>
        <v>1</v>
      </c>
      <c r="AS132" s="2" t="b">
        <f t="shared" ref="AS132" si="2408">K132</f>
        <v>1</v>
      </c>
      <c r="AT132" s="2" t="b">
        <f t="shared" ref="AT132" si="2409">K132</f>
        <v>1</v>
      </c>
      <c r="AW132" s="2" t="b">
        <f t="shared" si="2394"/>
        <v>1</v>
      </c>
      <c r="AX132" s="2" t="b">
        <f t="shared" si="2395"/>
        <v>1</v>
      </c>
      <c r="AY132" s="2" t="b">
        <f t="shared" si="2396"/>
        <v>1</v>
      </c>
      <c r="BB132" s="1">
        <f>'One-Off Entries'!C37</f>
        <v>0</v>
      </c>
    </row>
    <row r="133" spans="2:54" ht="18" hidden="1" customHeight="1" x14ac:dyDescent="0.3">
      <c r="B133" s="415">
        <v>33</v>
      </c>
      <c r="C133" s="332">
        <f>'One-Off Entries'!AI38</f>
        <v>0</v>
      </c>
      <c r="D133" s="332">
        <f>'One-Off Entries'!AJ38</f>
        <v>0</v>
      </c>
      <c r="E133" s="2" t="s">
        <v>233</v>
      </c>
      <c r="F133" s="2" t="str">
        <f>IF('One-Off Entries'!M38 &lt;&gt; "", LEFT('One-Off Entries'!M38, 1), "")</f>
        <v/>
      </c>
      <c r="G133" s="2" t="b">
        <f>IF(F133 = "P", TRUE, FALSE)</f>
        <v>0</v>
      </c>
      <c r="H133" s="2" t="b">
        <f>IF(F133 = "G", TRUE, FALSE)</f>
        <v>0</v>
      </c>
      <c r="I133" s="2" t="b">
        <f>IF(F133 = "S", TRUE, FALSE)</f>
        <v>0</v>
      </c>
      <c r="J133" s="2" t="b">
        <f>IF(F133 = "B", TRUE, FALSE)</f>
        <v>0</v>
      </c>
      <c r="K133" s="27" t="b">
        <f>IF(AND(IF(G133 = FALSE, TRUE, FALSE), IF(H133 = FALSE, TRUE, FALSE), IF(I133 = FALSE, TRUE, FALSE), IF(J133 = FALSE, TRUE, FALSE)) = TRUE, TRUE, FALSE)</f>
        <v>1</v>
      </c>
      <c r="L133" s="415" t="str">
        <f>IF(P133, "", IF(AND(P134, P135), AND(T133, T134, T135, T136), AND(NOT(P136), T133, T134, T135, T136)))</f>
        <v/>
      </c>
      <c r="O133" s="1" t="s">
        <v>232</v>
      </c>
      <c r="P133" s="1" t="b">
        <f t="shared" ref="P133" si="2410">AND(K133, K134, K135, K136)</f>
        <v>1</v>
      </c>
      <c r="Q133" s="1">
        <f t="shared" si="1187"/>
        <v>0</v>
      </c>
      <c r="T133" s="2" t="b">
        <f t="shared" ref="T133" si="2411">IF(D133 = 0, FALSE, IF(C133 = 1, CHOOSE(D133, W133, X133, Y133, Z133), IF(C133 = 2, CHOOSE(D133, AC133, AD133, AE133, AF133), IF(C133 = 3, CHOOSE(D133, AI133, AJ133, AK133), IF(C133 = 4, CHOOSE(D133, AN133, AO133), IF(C133 = 5, CHOOSE(D133, AR133, AS133, AT133), IF(C133 = 7, CHOOSE(D133, AW133, AX133, AY133), FALSE)))))))</f>
        <v>0</v>
      </c>
      <c r="W133" s="2" t="b">
        <f t="shared" ref="W133" si="2412">AND(NOT(I133), NOT(K133), NOT(J133))</f>
        <v>0</v>
      </c>
      <c r="X133" s="2" t="b">
        <f t="shared" ref="X133" si="2413">AND(NOT(I133), NOT(K133), NOT(J133))</f>
        <v>0</v>
      </c>
      <c r="Y133" s="2" t="b">
        <f t="shared" ref="Y133" si="2414">AND(NOT(I133), NOT(K133), NOT(J133))</f>
        <v>0</v>
      </c>
      <c r="Z133" s="2" t="b">
        <f t="shared" ref="Z133" si="2415">AND(NOT(I133), NOT(K133), NOT(J133))</f>
        <v>0</v>
      </c>
      <c r="AC133" s="2" t="b">
        <f t="shared" ref="AC133" si="2416">AND(NOT(I133), NOT(K133), NOT(J133))</f>
        <v>0</v>
      </c>
      <c r="AD133" s="2" t="b">
        <f t="shared" ref="AD133" si="2417">AND(NOT(G133), NOT(K133), NOT(J133))</f>
        <v>0</v>
      </c>
      <c r="AE133" s="2" t="b">
        <f t="shared" ref="AE133" si="2418">AND(NOT(I133), NOT(K133), NOT(J133))</f>
        <v>0</v>
      </c>
      <c r="AF133" s="2" t="b">
        <f t="shared" ref="AF133" si="2419">AND(NOT(I133), NOT(K133), NOT(J133))</f>
        <v>0</v>
      </c>
      <c r="AI133" s="2" t="b">
        <f t="shared" ref="AI133" si="2420">AND(NOT(I133), NOT(K133), NOT(J133))</f>
        <v>0</v>
      </c>
      <c r="AJ133" s="2" t="b">
        <f t="shared" ref="AJ133" si="2421">AND(NOT(J133), NOT(K133))</f>
        <v>0</v>
      </c>
      <c r="AK133" s="2" t="b">
        <f t="shared" ref="AK133" si="2422">AND(NOT(I133), NOT(K133), NOT(J133))</f>
        <v>0</v>
      </c>
      <c r="AN133" s="2" t="b">
        <f t="shared" ref="AN133" si="2423">AND(NOT(I133), NOT(K133), NOT(J133))</f>
        <v>0</v>
      </c>
      <c r="AO133" s="2" t="b">
        <f t="shared" ref="AO133" si="2424">AND(NOT(G133), NOT(J133), NOT(K133))</f>
        <v>0</v>
      </c>
      <c r="AR133" s="2" t="b">
        <f t="shared" ref="AR133:AR135" si="2425">AND(NOT(J133), NOT(K133))</f>
        <v>0</v>
      </c>
      <c r="AS133" s="2" t="b">
        <f t="shared" ref="AS133" si="2426">AND(NOT(I133), NOT(K133), NOT(J133))</f>
        <v>0</v>
      </c>
      <c r="AT133" s="2" t="b">
        <f t="shared" ref="AT133" si="2427">AND(NOT(G133), NOT(J133), NOT(K133))</f>
        <v>0</v>
      </c>
      <c r="AW133" s="2" t="b">
        <f t="shared" ref="AW133" si="2428">AND(NOT(G133), NOT(J133), NOT(K133))</f>
        <v>0</v>
      </c>
      <c r="AX133" s="2" t="b">
        <f t="shared" ref="AX133" si="2429">AND(NOT(J133), NOT(K133))</f>
        <v>0</v>
      </c>
      <c r="AY133" s="2" t="b">
        <f t="shared" ref="AY133" si="2430">AND(NOT(G133), NOT(J133), NOT(K133))</f>
        <v>0</v>
      </c>
    </row>
    <row r="134" spans="2:54" ht="18" hidden="1" customHeight="1" x14ac:dyDescent="0.3">
      <c r="B134" s="416"/>
      <c r="C134" s="332"/>
      <c r="D134" s="332"/>
      <c r="E134" s="2" t="s">
        <v>234</v>
      </c>
      <c r="F134" s="2" t="str">
        <f>IF('One-Off Entries'!N38 &lt;&gt; "", LEFT('One-Off Entries'!N38, 1), "")</f>
        <v/>
      </c>
      <c r="G134" s="2" t="b">
        <f t="shared" ref="G134:G136" si="2431">IF(F134 = "P", TRUE, FALSE)</f>
        <v>0</v>
      </c>
      <c r="H134" s="2" t="b">
        <f t="shared" ref="H134:H136" si="2432">IF(F134 = "G", TRUE, FALSE)</f>
        <v>0</v>
      </c>
      <c r="I134" s="2" t="b">
        <f t="shared" ref="I134:I136" si="2433">IF(F134 = "S", TRUE, FALSE)</f>
        <v>0</v>
      </c>
      <c r="J134" s="2" t="b">
        <f t="shared" ref="J134:J136" si="2434">IF(F134 = "B", TRUE, FALSE)</f>
        <v>0</v>
      </c>
      <c r="K134" s="27" t="b">
        <f t="shared" ref="K134:K136" si="2435">IF(AND(IF(G134 = FALSE, TRUE, FALSE), IF(H134 = FALSE, TRUE, FALSE), IF(I134 = FALSE, TRUE, FALSE), IF(J134 = FALSE, TRUE, FALSE)) = TRUE, TRUE, FALSE)</f>
        <v>1</v>
      </c>
      <c r="L134" s="416"/>
      <c r="O134" s="1" t="s">
        <v>386</v>
      </c>
      <c r="P134" s="1" t="b">
        <f t="shared" ref="P134" si="2436">OR(IF(C133 = 2, TRUE, FALSE), IF(C133 = 2.2, TRUE, FALSE))</f>
        <v>0</v>
      </c>
      <c r="Q134" s="1">
        <f t="shared" ref="Q134:Q144" si="2437">IF(J134, 1, 0)</f>
        <v>0</v>
      </c>
      <c r="T134" s="2" t="b">
        <f t="shared" ref="T134" si="2438">IF(D133 = 0, FALSE, IF(C133 = 1, CHOOSE(D133, W134, X134, Y134, Z134), IF(C133 = 2, CHOOSE(D133, AC134, AD134, AE134, AF134), IF(C133 = 3, CHOOSE(D133, AI134, AJ134, AK134), IF(C133 = 4, CHOOSE(D133, AN134, AO134), IF(C133 = 5, CHOOSE(D133, AR134, AS134, AT134), IF(C133 = 7, CHOOSE(D133, AW134, AX134, AY134), FALSE)))))))</f>
        <v>0</v>
      </c>
      <c r="W134" s="2" t="b">
        <f t="shared" ref="W134:W135" si="2439">AND(NOT(K134), NOT(J134))</f>
        <v>0</v>
      </c>
      <c r="X134" s="2" t="b">
        <f t="shared" ref="X134" si="2440">NOT(K133)</f>
        <v>0</v>
      </c>
      <c r="Y134" s="2" t="b">
        <f t="shared" ref="Y134" si="2441">AND(NOT(K134), NOT(J134))</f>
        <v>0</v>
      </c>
      <c r="Z134" s="2" t="b">
        <f t="shared" ref="Z134" si="2442">OR(I134, J134)</f>
        <v>0</v>
      </c>
      <c r="AC134" s="2" t="b">
        <f t="shared" ref="AC134" si="2443">AND(NOT(K134), NOT(J134))</f>
        <v>0</v>
      </c>
      <c r="AD134" s="2" t="b">
        <f t="shared" ref="AD134" si="2444">J134</f>
        <v>0</v>
      </c>
      <c r="AE134" s="2" t="b">
        <f t="shared" ref="AE134" si="2445">AND(NOT(K134), NOT(J134))</f>
        <v>0</v>
      </c>
      <c r="AF134" s="2" t="b">
        <f t="shared" ref="AF134" si="2446">J134</f>
        <v>0</v>
      </c>
      <c r="AI134" s="2" t="b">
        <f t="shared" ref="AI134" si="2447">AND(NOT(J134), NOT(K134))</f>
        <v>0</v>
      </c>
      <c r="AJ134" s="2" t="b">
        <f t="shared" ref="AJ134" si="2448">OR(I134, J134)</f>
        <v>0</v>
      </c>
      <c r="AK134" s="2" t="b">
        <f t="shared" ref="AK134" si="2449">OR(I134, J134)</f>
        <v>0</v>
      </c>
      <c r="AN134" s="2" t="b">
        <f t="shared" ref="AN134" si="2450">OR(I134, J134)</f>
        <v>0</v>
      </c>
      <c r="AO134" s="2" t="b">
        <f t="shared" ref="AO134" si="2451">J134</f>
        <v>0</v>
      </c>
      <c r="AR134" s="2" t="b">
        <f t="shared" si="2425"/>
        <v>0</v>
      </c>
      <c r="AS134" s="2" t="b">
        <f t="shared" ref="AS134" si="2452">OR(I134, J134)</f>
        <v>0</v>
      </c>
      <c r="AT134" s="2" t="b">
        <f t="shared" ref="AT134" si="2453">OR(I134, J134)</f>
        <v>0</v>
      </c>
      <c r="AW134" s="2" t="b">
        <f t="shared" ref="AW134" si="2454">J134</f>
        <v>0</v>
      </c>
      <c r="AX134" s="2" t="b">
        <f t="shared" ref="AX134" si="2455">J134</f>
        <v>0</v>
      </c>
      <c r="AY134" s="2" t="b">
        <f t="shared" ref="AY134" si="2456">J134</f>
        <v>0</v>
      </c>
    </row>
    <row r="135" spans="2:54" ht="18" hidden="1" customHeight="1" x14ac:dyDescent="0.3">
      <c r="B135" s="416"/>
      <c r="C135" s="332"/>
      <c r="D135" s="332"/>
      <c r="E135" s="2" t="s">
        <v>235</v>
      </c>
      <c r="F135" s="2" t="str">
        <f>IF('One-Off Entries'!O38 &lt;&gt; "", LEFT('One-Off Entries'!O38, 1), "")</f>
        <v/>
      </c>
      <c r="G135" s="2" t="b">
        <f t="shared" si="2431"/>
        <v>0</v>
      </c>
      <c r="H135" s="2" t="b">
        <f t="shared" si="2432"/>
        <v>0</v>
      </c>
      <c r="I135" s="2" t="b">
        <f t="shared" si="2433"/>
        <v>0</v>
      </c>
      <c r="J135" s="2" t="b">
        <f t="shared" si="2434"/>
        <v>0</v>
      </c>
      <c r="K135" s="27" t="b">
        <f t="shared" si="2435"/>
        <v>1</v>
      </c>
      <c r="L135" s="416"/>
      <c r="O135" s="1" t="s">
        <v>387</v>
      </c>
      <c r="P135" s="1" t="b">
        <f t="shared" ref="P135" si="2457">OR(IF(D133 = 2, TRUE, FALSE), IF(D133 = 4, TRUE, FALSE))</f>
        <v>0</v>
      </c>
      <c r="Q135" s="1">
        <f t="shared" si="2437"/>
        <v>0</v>
      </c>
      <c r="T135" s="2" t="b">
        <f t="shared" ref="T135" si="2458">IF(D133 = 0, FALSE, IF(C133 = 1, CHOOSE(D133, W135, X135, Y135, Z135), IF(C133 = 2, CHOOSE(D133, AC135, AD135, AE135, AF135), IF(C133 = 3, CHOOSE(D133, AI135, AJ135, AK135), IF(C133 = 4, CHOOSE(D133, AN135, AO135), IF(C133 = 5, CHOOSE(D133, AR135, AS135, AT135), IF(C133 = 7, CHOOSE(D133, AW135, AX135, AY135), FALSE)))))))</f>
        <v>0</v>
      </c>
      <c r="W135" s="2" t="b">
        <f t="shared" si="2439"/>
        <v>0</v>
      </c>
      <c r="X135" s="2" t="b">
        <f t="shared" ref="X135" si="2459">OR(I135, J135)</f>
        <v>0</v>
      </c>
      <c r="Y135" s="2" t="b">
        <f t="shared" ref="Y135" si="2460">AND(NOT(K134), NOT(J134))</f>
        <v>0</v>
      </c>
      <c r="Z135" s="2" t="b">
        <f t="shared" ref="Z135" si="2461">J135</f>
        <v>0</v>
      </c>
      <c r="AC135" s="2" t="b">
        <f t="shared" ref="AC135" si="2462">NOT(K135)</f>
        <v>0</v>
      </c>
      <c r="AD135" s="2" t="b">
        <f t="shared" ref="AD135" si="2463">OR(I135, J135)</f>
        <v>0</v>
      </c>
      <c r="AE135" s="2" t="b">
        <f t="shared" ref="AE135" si="2464">NOT(K135)</f>
        <v>0</v>
      </c>
      <c r="AF135" s="2" t="b">
        <f t="shared" ref="AF135" si="2465">OR(I135, J135)</f>
        <v>0</v>
      </c>
      <c r="AI135" s="2" t="b">
        <f t="shared" ref="AI135" si="2466">AND(OR(I135, J135), NOT(K135))</f>
        <v>0</v>
      </c>
      <c r="AJ135" s="2" t="b">
        <f t="shared" ref="AJ135" si="2467">J135</f>
        <v>0</v>
      </c>
      <c r="AK135" s="2" t="b">
        <f t="shared" ref="AK135" si="2468">J135</f>
        <v>0</v>
      </c>
      <c r="AN135" s="2" t="b">
        <f t="shared" ref="AN135:AN136" si="2469">K135</f>
        <v>1</v>
      </c>
      <c r="AO135" s="2" t="b">
        <f t="shared" ref="AO135:AO136" si="2470">K135</f>
        <v>1</v>
      </c>
      <c r="AR135" s="2" t="b">
        <f t="shared" si="2425"/>
        <v>0</v>
      </c>
      <c r="AS135" s="2" t="b">
        <f t="shared" ref="AS135" si="2471">J135</f>
        <v>0</v>
      </c>
      <c r="AT135" s="2" t="b">
        <f t="shared" ref="AT135" si="2472">J135</f>
        <v>0</v>
      </c>
      <c r="AW135" s="2" t="b">
        <f t="shared" ref="AW135:AW136" si="2473">K135</f>
        <v>1</v>
      </c>
      <c r="AX135" s="2" t="b">
        <f t="shared" ref="AX135:AX136" si="2474">K135</f>
        <v>1</v>
      </c>
      <c r="AY135" s="2" t="b">
        <f t="shared" ref="AY135:AY136" si="2475">K135</f>
        <v>1</v>
      </c>
    </row>
    <row r="136" spans="2:54" ht="18" customHeight="1" x14ac:dyDescent="0.3">
      <c r="B136" s="412"/>
      <c r="C136" s="332"/>
      <c r="D136" s="332"/>
      <c r="E136" s="2" t="s">
        <v>236</v>
      </c>
      <c r="F136" s="2" t="str">
        <f>IF('One-Off Entries'!P38 &lt;&gt; "", LEFT('One-Off Entries'!P38, 1), "")</f>
        <v/>
      </c>
      <c r="G136" s="2" t="b">
        <f t="shared" si="2431"/>
        <v>0</v>
      </c>
      <c r="H136" s="2" t="b">
        <f t="shared" si="2432"/>
        <v>0</v>
      </c>
      <c r="I136" s="2" t="b">
        <f t="shared" si="2433"/>
        <v>0</v>
      </c>
      <c r="J136" s="2" t="b">
        <f t="shared" si="2434"/>
        <v>0</v>
      </c>
      <c r="K136" s="27" t="b">
        <f t="shared" si="2435"/>
        <v>1</v>
      </c>
      <c r="L136" s="412"/>
      <c r="O136" s="1" t="s">
        <v>388</v>
      </c>
      <c r="P136" s="1" t="b">
        <f t="shared" ref="P136" si="2476">IF(SUM(Q133:Q136) &gt; 1, TRUE, FALSE)</f>
        <v>0</v>
      </c>
      <c r="Q136" s="1">
        <f t="shared" si="2437"/>
        <v>0</v>
      </c>
      <c r="T136" s="2" t="b">
        <f>IF(D133 = 0, FALSE, IF(C133 = 1, CHOOSE(D133, W136, X136, Y136, Z136), IF(C133 = 2, IF(BB136 = "Rolex 24 at Daytona", CHOOSE(D133, AC136, AD136, AE136, AF136), K136), IF(C133 = 3, CHOOSE(D133, AI136, AJ136, AK136), IF(C133 = 4, CHOOSE(D133, AN136, AO136), IF(C133 = 5, CHOOSE(D133, AR136, AS136, AT136), IF(C133 = 7, CHOOSE(D133, AW136, AX136, AY136), FALSE)))))))</f>
        <v>0</v>
      </c>
      <c r="W136" s="2" t="b">
        <f t="shared" ref="W136" si="2477">K136</f>
        <v>1</v>
      </c>
      <c r="X136" s="2" t="b">
        <f t="shared" ref="X136" si="2478">K136</f>
        <v>1</v>
      </c>
      <c r="Y136" s="2" t="b">
        <f t="shared" ref="Y136" si="2479">K136</f>
        <v>1</v>
      </c>
      <c r="Z136" s="2" t="b">
        <f t="shared" ref="Z136" si="2480">K136</f>
        <v>1</v>
      </c>
      <c r="AC136" s="2" t="b">
        <v>1</v>
      </c>
      <c r="AD136" s="2" t="b">
        <f t="shared" ref="AD136" si="2481">NOT(K136)</f>
        <v>0</v>
      </c>
      <c r="AE136" s="2" t="b">
        <v>1</v>
      </c>
      <c r="AF136" s="2" t="b">
        <f t="shared" ref="AF136" si="2482">NOT(K136)</f>
        <v>0</v>
      </c>
      <c r="AI136" s="2" t="b">
        <f t="shared" ref="AI136" si="2483">K136</f>
        <v>1</v>
      </c>
      <c r="AJ136" s="2" t="b">
        <f t="shared" ref="AJ136" si="2484">K136</f>
        <v>1</v>
      </c>
      <c r="AK136" s="2" t="b">
        <f t="shared" ref="AK136" si="2485">K136</f>
        <v>1</v>
      </c>
      <c r="AN136" s="2" t="b">
        <f t="shared" si="2469"/>
        <v>1</v>
      </c>
      <c r="AO136" s="2" t="b">
        <f t="shared" si="2470"/>
        <v>1</v>
      </c>
      <c r="AR136" s="2" t="b">
        <f t="shared" ref="AR136" si="2486">K136</f>
        <v>1</v>
      </c>
      <c r="AS136" s="2" t="b">
        <f t="shared" ref="AS136" si="2487">K136</f>
        <v>1</v>
      </c>
      <c r="AT136" s="2" t="b">
        <f t="shared" ref="AT136" si="2488">K136</f>
        <v>1</v>
      </c>
      <c r="AW136" s="2" t="b">
        <f t="shared" si="2473"/>
        <v>1</v>
      </c>
      <c r="AX136" s="2" t="b">
        <f t="shared" si="2474"/>
        <v>1</v>
      </c>
      <c r="AY136" s="2" t="b">
        <f t="shared" si="2475"/>
        <v>1</v>
      </c>
      <c r="BB136" s="1">
        <f>'One-Off Entries'!C38</f>
        <v>0</v>
      </c>
    </row>
    <row r="137" spans="2:54" ht="18" hidden="1" customHeight="1" x14ac:dyDescent="0.3">
      <c r="B137" s="415">
        <v>34</v>
      </c>
      <c r="C137" s="332">
        <f>'One-Off Entries'!AI39</f>
        <v>0</v>
      </c>
      <c r="D137" s="332">
        <f>'One-Off Entries'!AJ39</f>
        <v>0</v>
      </c>
      <c r="E137" s="2" t="s">
        <v>233</v>
      </c>
      <c r="F137" s="2" t="str">
        <f>IF('One-Off Entries'!M39 &lt;&gt; "", LEFT('One-Off Entries'!M39, 1), "")</f>
        <v/>
      </c>
      <c r="G137" s="2" t="b">
        <f>IF(F137 = "P", TRUE, FALSE)</f>
        <v>0</v>
      </c>
      <c r="H137" s="2" t="b">
        <f>IF(F137 = "G", TRUE, FALSE)</f>
        <v>0</v>
      </c>
      <c r="I137" s="2" t="b">
        <f>IF(F137 = "S", TRUE, FALSE)</f>
        <v>0</v>
      </c>
      <c r="J137" s="2" t="b">
        <f>IF(F137 = "B", TRUE, FALSE)</f>
        <v>0</v>
      </c>
      <c r="K137" s="27" t="b">
        <f>IF(AND(IF(G137 = FALSE, TRUE, FALSE), IF(H137 = FALSE, TRUE, FALSE), IF(I137 = FALSE, TRUE, FALSE), IF(J137 = FALSE, TRUE, FALSE)) = TRUE, TRUE, FALSE)</f>
        <v>1</v>
      </c>
      <c r="L137" s="415" t="str">
        <f>IF(P137, "", IF(AND(P138, P139), AND(T137, T138, T139, T140), AND(NOT(P140), T137, T138, T139, T140)))</f>
        <v/>
      </c>
      <c r="O137" s="1" t="s">
        <v>232</v>
      </c>
      <c r="P137" s="1" t="b">
        <f t="shared" ref="P137" si="2489">AND(K137, K138, K139, K140)</f>
        <v>1</v>
      </c>
      <c r="Q137" s="1">
        <f t="shared" si="2437"/>
        <v>0</v>
      </c>
      <c r="T137" s="2" t="b">
        <f t="shared" ref="T137" si="2490">IF(D137 = 0, FALSE, IF(C137 = 1, CHOOSE(D137, W137, X137, Y137, Z137), IF(C137 = 2, CHOOSE(D137, AC137, AD137, AE137, AF137), IF(C137 = 3, CHOOSE(D137, AI137, AJ137, AK137), IF(C137 = 4, CHOOSE(D137, AN137, AO137), IF(C137 = 5, CHOOSE(D137, AR137, AS137, AT137), IF(C137 = 7, CHOOSE(D137, AW137, AX137, AY137), FALSE)))))))</f>
        <v>0</v>
      </c>
      <c r="W137" s="2" t="b">
        <f t="shared" ref="W137" si="2491">AND(NOT(I137), NOT(K137), NOT(J137))</f>
        <v>0</v>
      </c>
      <c r="X137" s="2" t="b">
        <f t="shared" ref="X137" si="2492">AND(NOT(I137), NOT(K137), NOT(J137))</f>
        <v>0</v>
      </c>
      <c r="Y137" s="2" t="b">
        <f t="shared" ref="Y137" si="2493">AND(NOT(I137), NOT(K137), NOT(J137))</f>
        <v>0</v>
      </c>
      <c r="Z137" s="2" t="b">
        <f t="shared" ref="Z137" si="2494">AND(NOT(I137), NOT(K137), NOT(J137))</f>
        <v>0</v>
      </c>
      <c r="AC137" s="2" t="b">
        <f t="shared" ref="AC137" si="2495">AND(NOT(I137), NOT(K137), NOT(J137))</f>
        <v>0</v>
      </c>
      <c r="AD137" s="2" t="b">
        <f t="shared" ref="AD137" si="2496">AND(NOT(G137), NOT(K137), NOT(J137))</f>
        <v>0</v>
      </c>
      <c r="AE137" s="2" t="b">
        <f t="shared" ref="AE137" si="2497">AND(NOT(I137), NOT(K137), NOT(J137))</f>
        <v>0</v>
      </c>
      <c r="AF137" s="2" t="b">
        <f t="shared" ref="AF137" si="2498">AND(NOT(I137), NOT(K137), NOT(J137))</f>
        <v>0</v>
      </c>
      <c r="AI137" s="2" t="b">
        <f t="shared" ref="AI137" si="2499">AND(NOT(I137), NOT(K137), NOT(J137))</f>
        <v>0</v>
      </c>
      <c r="AJ137" s="2" t="b">
        <f t="shared" ref="AJ137" si="2500">AND(NOT(J137), NOT(K137))</f>
        <v>0</v>
      </c>
      <c r="AK137" s="2" t="b">
        <f t="shared" ref="AK137" si="2501">AND(NOT(I137), NOT(K137), NOT(J137))</f>
        <v>0</v>
      </c>
      <c r="AN137" s="2" t="b">
        <f t="shared" ref="AN137" si="2502">AND(NOT(I137), NOT(K137), NOT(J137))</f>
        <v>0</v>
      </c>
      <c r="AO137" s="2" t="b">
        <f t="shared" ref="AO137" si="2503">AND(NOT(G137), NOT(J137), NOT(K137))</f>
        <v>0</v>
      </c>
      <c r="AR137" s="2" t="b">
        <f t="shared" ref="AR137:AR139" si="2504">AND(NOT(J137), NOT(K137))</f>
        <v>0</v>
      </c>
      <c r="AS137" s="2" t="b">
        <f t="shared" ref="AS137" si="2505">AND(NOT(I137), NOT(K137), NOT(J137))</f>
        <v>0</v>
      </c>
      <c r="AT137" s="2" t="b">
        <f t="shared" ref="AT137" si="2506">AND(NOT(G137), NOT(J137), NOT(K137))</f>
        <v>0</v>
      </c>
      <c r="AW137" s="2" t="b">
        <f t="shared" ref="AW137" si="2507">AND(NOT(G137), NOT(J137), NOT(K137))</f>
        <v>0</v>
      </c>
      <c r="AX137" s="2" t="b">
        <f t="shared" ref="AX137" si="2508">AND(NOT(J137), NOT(K137))</f>
        <v>0</v>
      </c>
      <c r="AY137" s="2" t="b">
        <f t="shared" ref="AY137" si="2509">AND(NOT(G137), NOT(J137), NOT(K137))</f>
        <v>0</v>
      </c>
    </row>
    <row r="138" spans="2:54" ht="18" hidden="1" customHeight="1" x14ac:dyDescent="0.3">
      <c r="B138" s="416"/>
      <c r="C138" s="332"/>
      <c r="D138" s="332"/>
      <c r="E138" s="2" t="s">
        <v>234</v>
      </c>
      <c r="F138" s="2" t="str">
        <f>IF('One-Off Entries'!N39 &lt;&gt; "", LEFT('One-Off Entries'!N39, 1), "")</f>
        <v/>
      </c>
      <c r="G138" s="2" t="b">
        <f t="shared" ref="G138:G140" si="2510">IF(F138 = "P", TRUE, FALSE)</f>
        <v>0</v>
      </c>
      <c r="H138" s="2" t="b">
        <f t="shared" ref="H138:H140" si="2511">IF(F138 = "G", TRUE, FALSE)</f>
        <v>0</v>
      </c>
      <c r="I138" s="2" t="b">
        <f t="shared" ref="I138:I140" si="2512">IF(F138 = "S", TRUE, FALSE)</f>
        <v>0</v>
      </c>
      <c r="J138" s="2" t="b">
        <f t="shared" ref="J138:J140" si="2513">IF(F138 = "B", TRUE, FALSE)</f>
        <v>0</v>
      </c>
      <c r="K138" s="27" t="b">
        <f t="shared" ref="K138:K140" si="2514">IF(AND(IF(G138 = FALSE, TRUE, FALSE), IF(H138 = FALSE, TRUE, FALSE), IF(I138 = FALSE, TRUE, FALSE), IF(J138 = FALSE, TRUE, FALSE)) = TRUE, TRUE, FALSE)</f>
        <v>1</v>
      </c>
      <c r="L138" s="416"/>
      <c r="O138" s="1" t="s">
        <v>386</v>
      </c>
      <c r="P138" s="1" t="b">
        <f t="shared" ref="P138" si="2515">OR(IF(C137 = 2, TRUE, FALSE), IF(C137 = 2.2, TRUE, FALSE))</f>
        <v>0</v>
      </c>
      <c r="Q138" s="1">
        <f t="shared" si="2437"/>
        <v>0</v>
      </c>
      <c r="T138" s="2" t="b">
        <f t="shared" ref="T138" si="2516">IF(D137 = 0, FALSE, IF(C137 = 1, CHOOSE(D137, W138, X138, Y138, Z138), IF(C137 = 2, CHOOSE(D137, AC138, AD138, AE138, AF138), IF(C137 = 3, CHOOSE(D137, AI138, AJ138, AK138), IF(C137 = 4, CHOOSE(D137, AN138, AO138), IF(C137 = 5, CHOOSE(D137, AR138, AS138, AT138), IF(C137 = 7, CHOOSE(D137, AW138, AX138, AY138), FALSE)))))))</f>
        <v>0</v>
      </c>
      <c r="W138" s="2" t="b">
        <f t="shared" ref="W138:W139" si="2517">AND(NOT(K138), NOT(J138))</f>
        <v>0</v>
      </c>
      <c r="X138" s="2" t="b">
        <f t="shared" ref="X138" si="2518">NOT(K137)</f>
        <v>0</v>
      </c>
      <c r="Y138" s="2" t="b">
        <f t="shared" ref="Y138" si="2519">AND(NOT(K138), NOT(J138))</f>
        <v>0</v>
      </c>
      <c r="Z138" s="2" t="b">
        <f t="shared" ref="Z138" si="2520">OR(I138, J138)</f>
        <v>0</v>
      </c>
      <c r="AC138" s="2" t="b">
        <f t="shared" ref="AC138" si="2521">AND(NOT(K138), NOT(J138))</f>
        <v>0</v>
      </c>
      <c r="AD138" s="2" t="b">
        <f t="shared" ref="AD138" si="2522">J138</f>
        <v>0</v>
      </c>
      <c r="AE138" s="2" t="b">
        <f t="shared" ref="AE138" si="2523">AND(NOT(K138), NOT(J138))</f>
        <v>0</v>
      </c>
      <c r="AF138" s="2" t="b">
        <f t="shared" ref="AF138" si="2524">J138</f>
        <v>0</v>
      </c>
      <c r="AI138" s="2" t="b">
        <f t="shared" ref="AI138" si="2525">AND(NOT(J138), NOT(K138))</f>
        <v>0</v>
      </c>
      <c r="AJ138" s="2" t="b">
        <f t="shared" ref="AJ138" si="2526">OR(I138, J138)</f>
        <v>0</v>
      </c>
      <c r="AK138" s="2" t="b">
        <f t="shared" ref="AK138" si="2527">OR(I138, J138)</f>
        <v>0</v>
      </c>
      <c r="AN138" s="2" t="b">
        <f t="shared" ref="AN138" si="2528">OR(I138, J138)</f>
        <v>0</v>
      </c>
      <c r="AO138" s="2" t="b">
        <f t="shared" ref="AO138" si="2529">J138</f>
        <v>0</v>
      </c>
      <c r="AR138" s="2" t="b">
        <f t="shared" si="2504"/>
        <v>0</v>
      </c>
      <c r="AS138" s="2" t="b">
        <f t="shared" ref="AS138" si="2530">OR(I138, J138)</f>
        <v>0</v>
      </c>
      <c r="AT138" s="2" t="b">
        <f t="shared" ref="AT138" si="2531">OR(I138, J138)</f>
        <v>0</v>
      </c>
      <c r="AW138" s="2" t="b">
        <f t="shared" ref="AW138" si="2532">J138</f>
        <v>0</v>
      </c>
      <c r="AX138" s="2" t="b">
        <f t="shared" ref="AX138" si="2533">J138</f>
        <v>0</v>
      </c>
      <c r="AY138" s="2" t="b">
        <f t="shared" ref="AY138" si="2534">J138</f>
        <v>0</v>
      </c>
    </row>
    <row r="139" spans="2:54" ht="18" hidden="1" customHeight="1" x14ac:dyDescent="0.3">
      <c r="B139" s="416"/>
      <c r="C139" s="332"/>
      <c r="D139" s="332"/>
      <c r="E139" s="2" t="s">
        <v>235</v>
      </c>
      <c r="F139" s="2" t="str">
        <f>IF('One-Off Entries'!O39 &lt;&gt; "", LEFT('One-Off Entries'!O39, 1), "")</f>
        <v/>
      </c>
      <c r="G139" s="2" t="b">
        <f t="shared" si="2510"/>
        <v>0</v>
      </c>
      <c r="H139" s="2" t="b">
        <f t="shared" si="2511"/>
        <v>0</v>
      </c>
      <c r="I139" s="2" t="b">
        <f t="shared" si="2512"/>
        <v>0</v>
      </c>
      <c r="J139" s="2" t="b">
        <f t="shared" si="2513"/>
        <v>0</v>
      </c>
      <c r="K139" s="27" t="b">
        <f t="shared" si="2514"/>
        <v>1</v>
      </c>
      <c r="L139" s="416"/>
      <c r="O139" s="1" t="s">
        <v>387</v>
      </c>
      <c r="P139" s="1" t="b">
        <f t="shared" ref="P139" si="2535">OR(IF(D137 = 2, TRUE, FALSE), IF(D137 = 4, TRUE, FALSE))</f>
        <v>0</v>
      </c>
      <c r="Q139" s="1">
        <f t="shared" si="2437"/>
        <v>0</v>
      </c>
      <c r="T139" s="2" t="b">
        <f t="shared" ref="T139" si="2536">IF(D137 = 0, FALSE, IF(C137 = 1, CHOOSE(D137, W139, X139, Y139, Z139), IF(C137 = 2, CHOOSE(D137, AC139, AD139, AE139, AF139), IF(C137 = 3, CHOOSE(D137, AI139, AJ139, AK139), IF(C137 = 4, CHOOSE(D137, AN139, AO139), IF(C137 = 5, CHOOSE(D137, AR139, AS139, AT139), IF(C137 = 7, CHOOSE(D137, AW139, AX139, AY139), FALSE)))))))</f>
        <v>0</v>
      </c>
      <c r="W139" s="2" t="b">
        <f t="shared" si="2517"/>
        <v>0</v>
      </c>
      <c r="X139" s="2" t="b">
        <f t="shared" ref="X139" si="2537">OR(I139, J139)</f>
        <v>0</v>
      </c>
      <c r="Y139" s="2" t="b">
        <f t="shared" ref="Y139" si="2538">AND(NOT(K138), NOT(J138))</f>
        <v>0</v>
      </c>
      <c r="Z139" s="2" t="b">
        <f t="shared" ref="Z139" si="2539">J139</f>
        <v>0</v>
      </c>
      <c r="AC139" s="2" t="b">
        <f t="shared" ref="AC139" si="2540">NOT(K139)</f>
        <v>0</v>
      </c>
      <c r="AD139" s="2" t="b">
        <f t="shared" ref="AD139" si="2541">OR(I139, J139)</f>
        <v>0</v>
      </c>
      <c r="AE139" s="2" t="b">
        <f t="shared" ref="AE139" si="2542">NOT(K139)</f>
        <v>0</v>
      </c>
      <c r="AF139" s="2" t="b">
        <f t="shared" ref="AF139" si="2543">OR(I139, J139)</f>
        <v>0</v>
      </c>
      <c r="AI139" s="2" t="b">
        <f t="shared" ref="AI139" si="2544">AND(OR(I139, J139), NOT(K139))</f>
        <v>0</v>
      </c>
      <c r="AJ139" s="2" t="b">
        <f t="shared" ref="AJ139" si="2545">J139</f>
        <v>0</v>
      </c>
      <c r="AK139" s="2" t="b">
        <f t="shared" ref="AK139" si="2546">J139</f>
        <v>0</v>
      </c>
      <c r="AN139" s="2" t="b">
        <f t="shared" ref="AN139:AN140" si="2547">K139</f>
        <v>1</v>
      </c>
      <c r="AO139" s="2" t="b">
        <f t="shared" ref="AO139:AO140" si="2548">K139</f>
        <v>1</v>
      </c>
      <c r="AR139" s="2" t="b">
        <f t="shared" si="2504"/>
        <v>0</v>
      </c>
      <c r="AS139" s="2" t="b">
        <f t="shared" ref="AS139" si="2549">J139</f>
        <v>0</v>
      </c>
      <c r="AT139" s="2" t="b">
        <f t="shared" ref="AT139" si="2550">J139</f>
        <v>0</v>
      </c>
      <c r="AW139" s="2" t="b">
        <f t="shared" ref="AW139:AW140" si="2551">K139</f>
        <v>1</v>
      </c>
      <c r="AX139" s="2" t="b">
        <f t="shared" ref="AX139:AX140" si="2552">K139</f>
        <v>1</v>
      </c>
      <c r="AY139" s="2" t="b">
        <f t="shared" ref="AY139:AY140" si="2553">K139</f>
        <v>1</v>
      </c>
    </row>
    <row r="140" spans="2:54" ht="18" customHeight="1" x14ac:dyDescent="0.3">
      <c r="B140" s="412"/>
      <c r="C140" s="332"/>
      <c r="D140" s="332"/>
      <c r="E140" s="2" t="s">
        <v>236</v>
      </c>
      <c r="F140" s="2" t="str">
        <f>IF('One-Off Entries'!P39 &lt;&gt; "", LEFT('One-Off Entries'!P39, 1), "")</f>
        <v/>
      </c>
      <c r="G140" s="2" t="b">
        <f t="shared" si="2510"/>
        <v>0</v>
      </c>
      <c r="H140" s="2" t="b">
        <f t="shared" si="2511"/>
        <v>0</v>
      </c>
      <c r="I140" s="2" t="b">
        <f t="shared" si="2512"/>
        <v>0</v>
      </c>
      <c r="J140" s="2" t="b">
        <f t="shared" si="2513"/>
        <v>0</v>
      </c>
      <c r="K140" s="27" t="b">
        <f t="shared" si="2514"/>
        <v>1</v>
      </c>
      <c r="L140" s="412"/>
      <c r="O140" s="1" t="s">
        <v>388</v>
      </c>
      <c r="P140" s="1" t="b">
        <f t="shared" ref="P140" si="2554">IF(SUM(Q137:Q140) &gt; 1, TRUE, FALSE)</f>
        <v>0</v>
      </c>
      <c r="Q140" s="1">
        <f t="shared" si="2437"/>
        <v>0</v>
      </c>
      <c r="T140" s="2" t="b">
        <f>IF(D137 = 0, FALSE, IF(C137 = 1, CHOOSE(D137, W140, X140, Y140, Z140), IF(C137 = 2, IF(BB140 = "Rolex 24 at Daytona", CHOOSE(D137, AC140, AD140, AE140, AF140), K140), IF(C137 = 3, CHOOSE(D137, AI140, AJ140, AK140), IF(C137 = 4, CHOOSE(D137, AN140, AO140), IF(C137 = 5, CHOOSE(D137, AR140, AS140, AT140), IF(C137 = 7, CHOOSE(D137, AW140, AX140, AY140), FALSE)))))))</f>
        <v>0</v>
      </c>
      <c r="W140" s="2" t="b">
        <f t="shared" ref="W140" si="2555">K140</f>
        <v>1</v>
      </c>
      <c r="X140" s="2" t="b">
        <f t="shared" ref="X140" si="2556">K140</f>
        <v>1</v>
      </c>
      <c r="Y140" s="2" t="b">
        <f t="shared" ref="Y140" si="2557">K140</f>
        <v>1</v>
      </c>
      <c r="Z140" s="2" t="b">
        <f t="shared" ref="Z140" si="2558">K140</f>
        <v>1</v>
      </c>
      <c r="AC140" s="2" t="b">
        <v>1</v>
      </c>
      <c r="AD140" s="2" t="b">
        <f t="shared" ref="AD140" si="2559">NOT(K140)</f>
        <v>0</v>
      </c>
      <c r="AE140" s="2" t="b">
        <v>1</v>
      </c>
      <c r="AF140" s="2" t="b">
        <f t="shared" ref="AF140" si="2560">NOT(K140)</f>
        <v>0</v>
      </c>
      <c r="AI140" s="2" t="b">
        <f t="shared" ref="AI140" si="2561">K140</f>
        <v>1</v>
      </c>
      <c r="AJ140" s="2" t="b">
        <f t="shared" ref="AJ140" si="2562">K140</f>
        <v>1</v>
      </c>
      <c r="AK140" s="2" t="b">
        <f t="shared" ref="AK140" si="2563">K140</f>
        <v>1</v>
      </c>
      <c r="AN140" s="2" t="b">
        <f t="shared" si="2547"/>
        <v>1</v>
      </c>
      <c r="AO140" s="2" t="b">
        <f t="shared" si="2548"/>
        <v>1</v>
      </c>
      <c r="AR140" s="2" t="b">
        <f t="shared" ref="AR140" si="2564">K140</f>
        <v>1</v>
      </c>
      <c r="AS140" s="2" t="b">
        <f t="shared" ref="AS140" si="2565">K140</f>
        <v>1</v>
      </c>
      <c r="AT140" s="2" t="b">
        <f t="shared" ref="AT140" si="2566">K140</f>
        <v>1</v>
      </c>
      <c r="AW140" s="2" t="b">
        <f t="shared" si="2551"/>
        <v>1</v>
      </c>
      <c r="AX140" s="2" t="b">
        <f t="shared" si="2552"/>
        <v>1</v>
      </c>
      <c r="AY140" s="2" t="b">
        <f t="shared" si="2553"/>
        <v>1</v>
      </c>
      <c r="BB140" s="1">
        <f>'One-Off Entries'!C39</f>
        <v>0</v>
      </c>
    </row>
    <row r="141" spans="2:54" ht="18" hidden="1" customHeight="1" x14ac:dyDescent="0.3">
      <c r="B141" s="415">
        <v>35</v>
      </c>
      <c r="C141" s="332">
        <f>'One-Off Entries'!AI40</f>
        <v>0</v>
      </c>
      <c r="D141" s="332">
        <f>'One-Off Entries'!AJ40</f>
        <v>0</v>
      </c>
      <c r="E141" s="2" t="s">
        <v>233</v>
      </c>
      <c r="F141" s="2" t="str">
        <f>IF('One-Off Entries'!M40 &lt;&gt; "", LEFT('One-Off Entries'!M40, 1), "")</f>
        <v/>
      </c>
      <c r="G141" s="2" t="b">
        <f>IF(F141 = "P", TRUE, FALSE)</f>
        <v>0</v>
      </c>
      <c r="H141" s="2" t="b">
        <f>IF(F141 = "G", TRUE, FALSE)</f>
        <v>0</v>
      </c>
      <c r="I141" s="2" t="b">
        <f>IF(F141 = "S", TRUE, FALSE)</f>
        <v>0</v>
      </c>
      <c r="J141" s="2" t="b">
        <f>IF(F141 = "B", TRUE, FALSE)</f>
        <v>0</v>
      </c>
      <c r="K141" s="27" t="b">
        <f>IF(AND(IF(G141 = FALSE, TRUE, FALSE), IF(H141 = FALSE, TRUE, FALSE), IF(I141 = FALSE, TRUE, FALSE), IF(J141 = FALSE, TRUE, FALSE)) = TRUE, TRUE, FALSE)</f>
        <v>1</v>
      </c>
      <c r="L141" s="415" t="str">
        <f>IF(P141, "", IF(AND(P142, P143), AND(T141, T142, T143, T144), AND(NOT(P144), T141, T142, T143, T144)))</f>
        <v/>
      </c>
      <c r="O141" s="1" t="s">
        <v>232</v>
      </c>
      <c r="P141" s="1" t="b">
        <f t="shared" ref="P141" si="2567">AND(K141, K142, K143, K144)</f>
        <v>1</v>
      </c>
      <c r="Q141" s="1">
        <f t="shared" si="2437"/>
        <v>0</v>
      </c>
      <c r="T141" s="2" t="b">
        <f t="shared" ref="T141" si="2568">IF(D141 = 0, FALSE, IF(C141 = 1, CHOOSE(D141, W141, X141, Y141, Z141), IF(C141 = 2, CHOOSE(D141, AC141, AD141, AE141, AF141), IF(C141 = 3, CHOOSE(D141, AI141, AJ141, AK141), IF(C141 = 4, CHOOSE(D141, AN141, AO141), IF(C141 = 5, CHOOSE(D141, AR141, AS141, AT141), IF(C141 = 7, CHOOSE(D141, AW141, AX141, AY141), FALSE)))))))</f>
        <v>0</v>
      </c>
      <c r="W141" s="2" t="b">
        <f t="shared" ref="W141" si="2569">AND(NOT(I141), NOT(K141), NOT(J141))</f>
        <v>0</v>
      </c>
      <c r="X141" s="2" t="b">
        <f t="shared" ref="X141" si="2570">AND(NOT(I141), NOT(K141), NOT(J141))</f>
        <v>0</v>
      </c>
      <c r="Y141" s="2" t="b">
        <f t="shared" ref="Y141" si="2571">AND(NOT(I141), NOT(K141), NOT(J141))</f>
        <v>0</v>
      </c>
      <c r="Z141" s="2" t="b">
        <f t="shared" ref="Z141" si="2572">AND(NOT(I141), NOT(K141), NOT(J141))</f>
        <v>0</v>
      </c>
      <c r="AC141" s="2" t="b">
        <f t="shared" ref="AC141" si="2573">AND(NOT(I141), NOT(K141), NOT(J141))</f>
        <v>0</v>
      </c>
      <c r="AD141" s="2" t="b">
        <f t="shared" ref="AD141" si="2574">AND(NOT(G141), NOT(K141), NOT(J141))</f>
        <v>0</v>
      </c>
      <c r="AE141" s="2" t="b">
        <f t="shared" ref="AE141" si="2575">AND(NOT(I141), NOT(K141), NOT(J141))</f>
        <v>0</v>
      </c>
      <c r="AF141" s="2" t="b">
        <f t="shared" ref="AF141" si="2576">AND(NOT(I141), NOT(K141), NOT(J141))</f>
        <v>0</v>
      </c>
      <c r="AI141" s="2" t="b">
        <f t="shared" ref="AI141" si="2577">AND(NOT(I141), NOT(K141), NOT(J141))</f>
        <v>0</v>
      </c>
      <c r="AJ141" s="2" t="b">
        <f t="shared" ref="AJ141" si="2578">AND(NOT(J141), NOT(K141))</f>
        <v>0</v>
      </c>
      <c r="AK141" s="2" t="b">
        <f t="shared" ref="AK141" si="2579">AND(NOT(I141), NOT(K141), NOT(J141))</f>
        <v>0</v>
      </c>
      <c r="AN141" s="2" t="b">
        <f t="shared" ref="AN141" si="2580">AND(NOT(I141), NOT(K141), NOT(J141))</f>
        <v>0</v>
      </c>
      <c r="AO141" s="2" t="b">
        <f t="shared" ref="AO141" si="2581">AND(NOT(G141), NOT(J141), NOT(K141))</f>
        <v>0</v>
      </c>
      <c r="AR141" s="2" t="b">
        <f t="shared" ref="AR141:AR143" si="2582">AND(NOT(J141), NOT(K141))</f>
        <v>0</v>
      </c>
      <c r="AS141" s="2" t="b">
        <f t="shared" ref="AS141" si="2583">AND(NOT(I141), NOT(K141), NOT(J141))</f>
        <v>0</v>
      </c>
      <c r="AT141" s="2" t="b">
        <f t="shared" ref="AT141" si="2584">AND(NOT(G141), NOT(J141), NOT(K141))</f>
        <v>0</v>
      </c>
      <c r="AW141" s="2" t="b">
        <f t="shared" ref="AW141" si="2585">AND(NOT(G141), NOT(J141), NOT(K141))</f>
        <v>0</v>
      </c>
      <c r="AX141" s="2" t="b">
        <f t="shared" ref="AX141" si="2586">AND(NOT(J141), NOT(K141))</f>
        <v>0</v>
      </c>
      <c r="AY141" s="2" t="b">
        <f t="shared" ref="AY141" si="2587">AND(NOT(G141), NOT(J141), NOT(K141))</f>
        <v>0</v>
      </c>
    </row>
    <row r="142" spans="2:54" ht="18" hidden="1" customHeight="1" x14ac:dyDescent="0.3">
      <c r="B142" s="416"/>
      <c r="C142" s="332"/>
      <c r="D142" s="332"/>
      <c r="E142" s="2" t="s">
        <v>234</v>
      </c>
      <c r="F142" s="2" t="str">
        <f>IF('One-Off Entries'!N40 &lt;&gt; "", LEFT('One-Off Entries'!N40, 1), "")</f>
        <v/>
      </c>
      <c r="G142" s="2" t="b">
        <f t="shared" ref="G142:G144" si="2588">IF(F142 = "P", TRUE, FALSE)</f>
        <v>0</v>
      </c>
      <c r="H142" s="2" t="b">
        <f t="shared" ref="H142:H144" si="2589">IF(F142 = "G", TRUE, FALSE)</f>
        <v>0</v>
      </c>
      <c r="I142" s="2" t="b">
        <f t="shared" ref="I142:I144" si="2590">IF(F142 = "S", TRUE, FALSE)</f>
        <v>0</v>
      </c>
      <c r="J142" s="2" t="b">
        <f t="shared" ref="J142:J144" si="2591">IF(F142 = "B", TRUE, FALSE)</f>
        <v>0</v>
      </c>
      <c r="K142" s="27" t="b">
        <f t="shared" ref="K142:K144" si="2592">IF(AND(IF(G142 = FALSE, TRUE, FALSE), IF(H142 = FALSE, TRUE, FALSE), IF(I142 = FALSE, TRUE, FALSE), IF(J142 = FALSE, TRUE, FALSE)) = TRUE, TRUE, FALSE)</f>
        <v>1</v>
      </c>
      <c r="L142" s="416"/>
      <c r="O142" s="1" t="s">
        <v>386</v>
      </c>
      <c r="P142" s="1" t="b">
        <f t="shared" ref="P142" si="2593">OR(IF(C141 = 2, TRUE, FALSE), IF(C141 = 2.2, TRUE, FALSE))</f>
        <v>0</v>
      </c>
      <c r="Q142" s="1">
        <f t="shared" si="2437"/>
        <v>0</v>
      </c>
      <c r="T142" s="2" t="b">
        <f t="shared" ref="T142" si="2594">IF(D141 = 0, FALSE, IF(C141 = 1, CHOOSE(D141, W142, X142, Y142, Z142), IF(C141 = 2, CHOOSE(D141, AC142, AD142, AE142, AF142), IF(C141 = 3, CHOOSE(D141, AI142, AJ142, AK142), IF(C141 = 4, CHOOSE(D141, AN142, AO142), IF(C141 = 5, CHOOSE(D141, AR142, AS142, AT142), IF(C141 = 7, CHOOSE(D141, AW142, AX142, AY142), FALSE)))))))</f>
        <v>0</v>
      </c>
      <c r="W142" s="2" t="b">
        <f t="shared" ref="W142:W143" si="2595">AND(NOT(K142), NOT(J142))</f>
        <v>0</v>
      </c>
      <c r="X142" s="2" t="b">
        <f t="shared" ref="X142" si="2596">NOT(K141)</f>
        <v>0</v>
      </c>
      <c r="Y142" s="2" t="b">
        <f t="shared" ref="Y142" si="2597">AND(NOT(K142), NOT(J142))</f>
        <v>0</v>
      </c>
      <c r="Z142" s="2" t="b">
        <f t="shared" ref="Z142" si="2598">OR(I142, J142)</f>
        <v>0</v>
      </c>
      <c r="AC142" s="2" t="b">
        <f t="shared" ref="AC142" si="2599">AND(NOT(K142), NOT(J142))</f>
        <v>0</v>
      </c>
      <c r="AD142" s="2" t="b">
        <f t="shared" ref="AD142" si="2600">J142</f>
        <v>0</v>
      </c>
      <c r="AE142" s="2" t="b">
        <f t="shared" ref="AE142" si="2601">AND(NOT(K142), NOT(J142))</f>
        <v>0</v>
      </c>
      <c r="AF142" s="2" t="b">
        <f t="shared" ref="AF142" si="2602">J142</f>
        <v>0</v>
      </c>
      <c r="AI142" s="2" t="b">
        <f t="shared" ref="AI142" si="2603">AND(NOT(J142), NOT(K142))</f>
        <v>0</v>
      </c>
      <c r="AJ142" s="2" t="b">
        <f t="shared" ref="AJ142" si="2604">OR(I142, J142)</f>
        <v>0</v>
      </c>
      <c r="AK142" s="2" t="b">
        <f t="shared" ref="AK142" si="2605">OR(I142, J142)</f>
        <v>0</v>
      </c>
      <c r="AN142" s="2" t="b">
        <f t="shared" ref="AN142" si="2606">OR(I142, J142)</f>
        <v>0</v>
      </c>
      <c r="AO142" s="2" t="b">
        <f t="shared" ref="AO142" si="2607">J142</f>
        <v>0</v>
      </c>
      <c r="AR142" s="2" t="b">
        <f t="shared" si="2582"/>
        <v>0</v>
      </c>
      <c r="AS142" s="2" t="b">
        <f t="shared" ref="AS142" si="2608">OR(I142, J142)</f>
        <v>0</v>
      </c>
      <c r="AT142" s="2" t="b">
        <f t="shared" ref="AT142" si="2609">OR(I142, J142)</f>
        <v>0</v>
      </c>
      <c r="AW142" s="2" t="b">
        <f t="shared" ref="AW142" si="2610">J142</f>
        <v>0</v>
      </c>
      <c r="AX142" s="2" t="b">
        <f t="shared" ref="AX142" si="2611">J142</f>
        <v>0</v>
      </c>
      <c r="AY142" s="2" t="b">
        <f t="shared" ref="AY142" si="2612">J142</f>
        <v>0</v>
      </c>
    </row>
    <row r="143" spans="2:54" ht="18" hidden="1" customHeight="1" x14ac:dyDescent="0.3">
      <c r="B143" s="416"/>
      <c r="C143" s="332"/>
      <c r="D143" s="332"/>
      <c r="E143" s="2" t="s">
        <v>235</v>
      </c>
      <c r="F143" s="2" t="str">
        <f>IF('One-Off Entries'!O40 &lt;&gt; "", LEFT('One-Off Entries'!O40, 1), "")</f>
        <v/>
      </c>
      <c r="G143" s="2" t="b">
        <f t="shared" si="2588"/>
        <v>0</v>
      </c>
      <c r="H143" s="2" t="b">
        <f t="shared" si="2589"/>
        <v>0</v>
      </c>
      <c r="I143" s="2" t="b">
        <f t="shared" si="2590"/>
        <v>0</v>
      </c>
      <c r="J143" s="2" t="b">
        <f t="shared" si="2591"/>
        <v>0</v>
      </c>
      <c r="K143" s="27" t="b">
        <f t="shared" si="2592"/>
        <v>1</v>
      </c>
      <c r="L143" s="416"/>
      <c r="O143" s="1" t="s">
        <v>387</v>
      </c>
      <c r="P143" s="1" t="b">
        <f t="shared" ref="P143" si="2613">OR(IF(D141 = 2, TRUE, FALSE), IF(D141 = 4, TRUE, FALSE))</f>
        <v>0</v>
      </c>
      <c r="Q143" s="1">
        <f t="shared" si="2437"/>
        <v>0</v>
      </c>
      <c r="T143" s="2" t="b">
        <f t="shared" ref="T143" si="2614">IF(D141 = 0, FALSE, IF(C141 = 1, CHOOSE(D141, W143, X143, Y143, Z143), IF(C141 = 2, CHOOSE(D141, AC143, AD143, AE143, AF143), IF(C141 = 3, CHOOSE(D141, AI143, AJ143, AK143), IF(C141 = 4, CHOOSE(D141, AN143, AO143), IF(C141 = 5, CHOOSE(D141, AR143, AS143, AT143), IF(C141 = 7, CHOOSE(D141, AW143, AX143, AY143), FALSE)))))))</f>
        <v>0</v>
      </c>
      <c r="W143" s="2" t="b">
        <f t="shared" si="2595"/>
        <v>0</v>
      </c>
      <c r="X143" s="2" t="b">
        <f t="shared" ref="X143" si="2615">OR(I143, J143)</f>
        <v>0</v>
      </c>
      <c r="Y143" s="2" t="b">
        <f t="shared" ref="Y143" si="2616">AND(NOT(K142), NOT(J142))</f>
        <v>0</v>
      </c>
      <c r="Z143" s="2" t="b">
        <f t="shared" ref="Z143" si="2617">J143</f>
        <v>0</v>
      </c>
      <c r="AC143" s="2" t="b">
        <f t="shared" ref="AC143" si="2618">NOT(K143)</f>
        <v>0</v>
      </c>
      <c r="AD143" s="2" t="b">
        <f t="shared" ref="AD143" si="2619">OR(I143, J143)</f>
        <v>0</v>
      </c>
      <c r="AE143" s="2" t="b">
        <f t="shared" ref="AE143" si="2620">NOT(K143)</f>
        <v>0</v>
      </c>
      <c r="AF143" s="2" t="b">
        <f t="shared" ref="AF143" si="2621">OR(I143, J143)</f>
        <v>0</v>
      </c>
      <c r="AI143" s="2" t="b">
        <f t="shared" ref="AI143" si="2622">AND(OR(I143, J143), NOT(K143))</f>
        <v>0</v>
      </c>
      <c r="AJ143" s="2" t="b">
        <f t="shared" ref="AJ143" si="2623">J143</f>
        <v>0</v>
      </c>
      <c r="AK143" s="2" t="b">
        <f t="shared" ref="AK143" si="2624">J143</f>
        <v>0</v>
      </c>
      <c r="AN143" s="2" t="b">
        <f t="shared" ref="AN143:AN144" si="2625">K143</f>
        <v>1</v>
      </c>
      <c r="AO143" s="2" t="b">
        <f t="shared" ref="AO143:AO144" si="2626">K143</f>
        <v>1</v>
      </c>
      <c r="AR143" s="2" t="b">
        <f t="shared" si="2582"/>
        <v>0</v>
      </c>
      <c r="AS143" s="2" t="b">
        <f t="shared" ref="AS143" si="2627">J143</f>
        <v>0</v>
      </c>
      <c r="AT143" s="2" t="b">
        <f t="shared" ref="AT143" si="2628">J143</f>
        <v>0</v>
      </c>
      <c r="AW143" s="2" t="b">
        <f t="shared" ref="AW143:AW144" si="2629">K143</f>
        <v>1</v>
      </c>
      <c r="AX143" s="2" t="b">
        <f t="shared" ref="AX143:AX144" si="2630">K143</f>
        <v>1</v>
      </c>
      <c r="AY143" s="2" t="b">
        <f t="shared" ref="AY143:AY144" si="2631">K143</f>
        <v>1</v>
      </c>
    </row>
    <row r="144" spans="2:54" ht="18" customHeight="1" x14ac:dyDescent="0.3">
      <c r="B144" s="412"/>
      <c r="C144" s="332"/>
      <c r="D144" s="332"/>
      <c r="E144" s="2" t="s">
        <v>236</v>
      </c>
      <c r="F144" s="2" t="str">
        <f>IF('One-Off Entries'!P40 &lt;&gt; "", LEFT('One-Off Entries'!P40, 1), "")</f>
        <v/>
      </c>
      <c r="G144" s="2" t="b">
        <f t="shared" si="2588"/>
        <v>0</v>
      </c>
      <c r="H144" s="2" t="b">
        <f t="shared" si="2589"/>
        <v>0</v>
      </c>
      <c r="I144" s="2" t="b">
        <f t="shared" si="2590"/>
        <v>0</v>
      </c>
      <c r="J144" s="2" t="b">
        <f t="shared" si="2591"/>
        <v>0</v>
      </c>
      <c r="K144" s="27" t="b">
        <f t="shared" si="2592"/>
        <v>1</v>
      </c>
      <c r="L144" s="412"/>
      <c r="O144" s="1" t="s">
        <v>388</v>
      </c>
      <c r="P144" s="1" t="b">
        <f t="shared" ref="P144" si="2632">IF(SUM(Q141:Q144) &gt; 1, TRUE, FALSE)</f>
        <v>0</v>
      </c>
      <c r="Q144" s="1">
        <f t="shared" si="2437"/>
        <v>0</v>
      </c>
      <c r="T144" s="2" t="b">
        <f>IF(D141 = 0, FALSE, IF(C141 = 1, CHOOSE(D141, W144, X144, Y144, Z144), IF(C141 = 2, IF(BB144 = "Rolex 24 at Daytona", CHOOSE(D141, AC144, AD144, AE144, AF144), K144), IF(C141 = 3, CHOOSE(D141, AI144, AJ144, AK144), IF(C141 = 4, CHOOSE(D141, AN144, AO144), IF(C141 = 5, CHOOSE(D141, AR144, AS144, AT144), IF(C141 = 7, CHOOSE(D141, AW144, AX144, AY144), FALSE)))))))</f>
        <v>0</v>
      </c>
      <c r="W144" s="2" t="b">
        <f t="shared" ref="W144" si="2633">K144</f>
        <v>1</v>
      </c>
      <c r="X144" s="2" t="b">
        <f t="shared" ref="X144" si="2634">K144</f>
        <v>1</v>
      </c>
      <c r="Y144" s="2" t="b">
        <f t="shared" ref="Y144" si="2635">K144</f>
        <v>1</v>
      </c>
      <c r="Z144" s="2" t="b">
        <f t="shared" ref="Z144" si="2636">K144</f>
        <v>1</v>
      </c>
      <c r="AC144" s="2" t="b">
        <v>1</v>
      </c>
      <c r="AD144" s="2" t="b">
        <f t="shared" ref="AD144" si="2637">NOT(K144)</f>
        <v>0</v>
      </c>
      <c r="AE144" s="2" t="b">
        <v>1</v>
      </c>
      <c r="AF144" s="2" t="b">
        <f t="shared" ref="AF144" si="2638">NOT(K144)</f>
        <v>0</v>
      </c>
      <c r="AI144" s="2" t="b">
        <f t="shared" ref="AI144" si="2639">K144</f>
        <v>1</v>
      </c>
      <c r="AJ144" s="2" t="b">
        <f t="shared" ref="AJ144" si="2640">K144</f>
        <v>1</v>
      </c>
      <c r="AK144" s="2" t="b">
        <f t="shared" ref="AK144" si="2641">K144</f>
        <v>1</v>
      </c>
      <c r="AN144" s="2" t="b">
        <f t="shared" si="2625"/>
        <v>1</v>
      </c>
      <c r="AO144" s="2" t="b">
        <f t="shared" si="2626"/>
        <v>1</v>
      </c>
      <c r="AR144" s="2" t="b">
        <f t="shared" ref="AR144" si="2642">K144</f>
        <v>1</v>
      </c>
      <c r="AS144" s="2" t="b">
        <f t="shared" ref="AS144" si="2643">K144</f>
        <v>1</v>
      </c>
      <c r="AT144" s="2" t="b">
        <f t="shared" ref="AT144" si="2644">K144</f>
        <v>1</v>
      </c>
      <c r="AW144" s="2" t="b">
        <f t="shared" si="2629"/>
        <v>1</v>
      </c>
      <c r="AX144" s="2" t="b">
        <f t="shared" si="2630"/>
        <v>1</v>
      </c>
      <c r="AY144" s="2" t="b">
        <f t="shared" si="2631"/>
        <v>1</v>
      </c>
      <c r="BB144" s="1">
        <f>'One-Off Entries'!C40</f>
        <v>0</v>
      </c>
    </row>
  </sheetData>
  <mergeCells count="150">
    <mergeCell ref="B2:L2"/>
    <mergeCell ref="B3:L3"/>
    <mergeCell ref="W3:Z3"/>
    <mergeCell ref="AC3:AF3"/>
    <mergeCell ref="AI3:AK3"/>
    <mergeCell ref="AN3:AO3"/>
    <mergeCell ref="AR3:AT3"/>
    <mergeCell ref="AW3:AY3"/>
    <mergeCell ref="B9:B12"/>
    <mergeCell ref="C9:C12"/>
    <mergeCell ref="D9:D12"/>
    <mergeCell ref="L9:L12"/>
    <mergeCell ref="C4:D4"/>
    <mergeCell ref="E4:F4"/>
    <mergeCell ref="B5:B8"/>
    <mergeCell ref="C5:C8"/>
    <mergeCell ref="D5:D8"/>
    <mergeCell ref="L5:L8"/>
    <mergeCell ref="B13:B16"/>
    <mergeCell ref="C13:C16"/>
    <mergeCell ref="D13:D16"/>
    <mergeCell ref="L13:L16"/>
    <mergeCell ref="B25:B28"/>
    <mergeCell ref="C25:C28"/>
    <mergeCell ref="D25:D28"/>
    <mergeCell ref="L25:L28"/>
    <mergeCell ref="B29:B32"/>
    <mergeCell ref="C29:C32"/>
    <mergeCell ref="D29:D32"/>
    <mergeCell ref="L29:L32"/>
    <mergeCell ref="B17:B20"/>
    <mergeCell ref="C17:C20"/>
    <mergeCell ref="D17:D20"/>
    <mergeCell ref="L17:L20"/>
    <mergeCell ref="B21:B24"/>
    <mergeCell ref="C21:C24"/>
    <mergeCell ref="D21:D24"/>
    <mergeCell ref="L21:L24"/>
    <mergeCell ref="B41:B44"/>
    <mergeCell ref="C41:C44"/>
    <mergeCell ref="D41:D44"/>
    <mergeCell ref="L41:L44"/>
    <mergeCell ref="B45:B48"/>
    <mergeCell ref="C45:C48"/>
    <mergeCell ref="D45:D48"/>
    <mergeCell ref="L45:L48"/>
    <mergeCell ref="B33:B36"/>
    <mergeCell ref="C33:C36"/>
    <mergeCell ref="D33:D36"/>
    <mergeCell ref="L33:L36"/>
    <mergeCell ref="B37:B40"/>
    <mergeCell ref="C37:C40"/>
    <mergeCell ref="D37:D40"/>
    <mergeCell ref="L37:L40"/>
    <mergeCell ref="B57:B60"/>
    <mergeCell ref="C57:C60"/>
    <mergeCell ref="D57:D60"/>
    <mergeCell ref="L57:L60"/>
    <mergeCell ref="B61:B64"/>
    <mergeCell ref="C61:C64"/>
    <mergeCell ref="D61:D64"/>
    <mergeCell ref="L61:L64"/>
    <mergeCell ref="B49:B52"/>
    <mergeCell ref="C49:C52"/>
    <mergeCell ref="D49:D52"/>
    <mergeCell ref="L49:L52"/>
    <mergeCell ref="B53:B56"/>
    <mergeCell ref="C53:C56"/>
    <mergeCell ref="D53:D56"/>
    <mergeCell ref="L53:L56"/>
    <mergeCell ref="B73:B76"/>
    <mergeCell ref="C73:C76"/>
    <mergeCell ref="D73:D76"/>
    <mergeCell ref="L73:L76"/>
    <mergeCell ref="B77:B80"/>
    <mergeCell ref="C77:C80"/>
    <mergeCell ref="D77:D80"/>
    <mergeCell ref="L77:L80"/>
    <mergeCell ref="B65:B68"/>
    <mergeCell ref="C65:C68"/>
    <mergeCell ref="D65:D68"/>
    <mergeCell ref="L65:L68"/>
    <mergeCell ref="B69:B72"/>
    <mergeCell ref="C69:C72"/>
    <mergeCell ref="D69:D72"/>
    <mergeCell ref="L69:L72"/>
    <mergeCell ref="B89:B92"/>
    <mergeCell ref="C89:C92"/>
    <mergeCell ref="D89:D92"/>
    <mergeCell ref="L89:L92"/>
    <mergeCell ref="B93:B96"/>
    <mergeCell ref="C93:C96"/>
    <mergeCell ref="D93:D96"/>
    <mergeCell ref="L93:L96"/>
    <mergeCell ref="B81:B84"/>
    <mergeCell ref="C81:C84"/>
    <mergeCell ref="D81:D84"/>
    <mergeCell ref="L81:L84"/>
    <mergeCell ref="B85:B88"/>
    <mergeCell ref="C85:C88"/>
    <mergeCell ref="D85:D88"/>
    <mergeCell ref="L85:L88"/>
    <mergeCell ref="B105:B108"/>
    <mergeCell ref="C105:C108"/>
    <mergeCell ref="D105:D108"/>
    <mergeCell ref="L105:L108"/>
    <mergeCell ref="B109:B112"/>
    <mergeCell ref="C109:C112"/>
    <mergeCell ref="D109:D112"/>
    <mergeCell ref="L109:L112"/>
    <mergeCell ref="B97:B100"/>
    <mergeCell ref="C97:C100"/>
    <mergeCell ref="D97:D100"/>
    <mergeCell ref="L97:L100"/>
    <mergeCell ref="B101:B104"/>
    <mergeCell ref="C101:C104"/>
    <mergeCell ref="D101:D104"/>
    <mergeCell ref="L101:L104"/>
    <mergeCell ref="B121:B124"/>
    <mergeCell ref="C121:C124"/>
    <mergeCell ref="D121:D124"/>
    <mergeCell ref="L121:L124"/>
    <mergeCell ref="B125:B128"/>
    <mergeCell ref="C125:C128"/>
    <mergeCell ref="D125:D128"/>
    <mergeCell ref="L125:L128"/>
    <mergeCell ref="B113:B116"/>
    <mergeCell ref="C113:C116"/>
    <mergeCell ref="D113:D116"/>
    <mergeCell ref="L113:L116"/>
    <mergeCell ref="B117:B120"/>
    <mergeCell ref="C117:C120"/>
    <mergeCell ref="D117:D120"/>
    <mergeCell ref="L117:L120"/>
    <mergeCell ref="B137:B140"/>
    <mergeCell ref="C137:C140"/>
    <mergeCell ref="D137:D140"/>
    <mergeCell ref="L137:L140"/>
    <mergeCell ref="B141:B144"/>
    <mergeCell ref="C141:C144"/>
    <mergeCell ref="D141:D144"/>
    <mergeCell ref="L141:L144"/>
    <mergeCell ref="B129:B132"/>
    <mergeCell ref="C129:C132"/>
    <mergeCell ref="D129:D132"/>
    <mergeCell ref="L129:L132"/>
    <mergeCell ref="B133:B136"/>
    <mergeCell ref="C133:C136"/>
    <mergeCell ref="D133:D136"/>
    <mergeCell ref="L133:L136"/>
  </mergeCells>
  <conditionalFormatting sqref="F5:F144">
    <cfRule type="cellIs" dxfId="9" priority="3" operator="equal">
      <formula>"P"</formula>
    </cfRule>
    <cfRule type="cellIs" dxfId="8" priority="4" operator="equal">
      <formula>"G"</formula>
    </cfRule>
    <cfRule type="cellIs" dxfId="7" priority="5" operator="equal">
      <formula>"S"</formula>
    </cfRule>
    <cfRule type="cellIs" dxfId="6" priority="6" operator="equal">
      <formula>"B"</formula>
    </cfRule>
  </conditionalFormatting>
  <conditionalFormatting sqref="G5:L144">
    <cfRule type="cellIs" dxfId="5" priority="1" operator="equal">
      <formula>TRUE</formula>
    </cfRule>
    <cfRule type="cellIs" dxfId="4" priority="2" operator="equal">
      <formula>FALSE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8C4B-BA78-4741-B9D4-7EE92548D32B}">
  <dimension ref="B2:Y21"/>
  <sheetViews>
    <sheetView tabSelected="1" workbookViewId="0">
      <selection activeCell="B14" sqref="B14"/>
    </sheetView>
  </sheetViews>
  <sheetFormatPr defaultColWidth="8.77734375" defaultRowHeight="18" customHeight="1" x14ac:dyDescent="0.3"/>
  <cols>
    <col min="1" max="1" width="3.33203125" style="1" customWidth="1"/>
    <col min="2" max="2" width="11.109375" style="1" customWidth="1"/>
    <col min="3" max="3" width="10" style="1" customWidth="1"/>
    <col min="4" max="4" width="10" style="1" hidden="1" customWidth="1"/>
    <col min="5" max="5" width="12.21875" style="1" customWidth="1"/>
    <col min="6" max="7" width="3.33203125" style="1" customWidth="1"/>
    <col min="8" max="10" width="10" style="1" customWidth="1"/>
    <col min="11" max="12" width="3.33203125" style="1" customWidth="1"/>
    <col min="13" max="15" width="10" style="1" customWidth="1"/>
    <col min="16" max="17" width="3.33203125" style="1" customWidth="1"/>
    <col min="18" max="20" width="10" style="1" customWidth="1"/>
    <col min="21" max="22" width="3.33203125" style="1" customWidth="1"/>
    <col min="23" max="25" width="10" style="1" customWidth="1"/>
    <col min="26" max="26" width="3.33203125" style="1" customWidth="1"/>
    <col min="27" max="16384" width="8.77734375" style="1"/>
  </cols>
  <sheetData>
    <row r="2" spans="2:25" ht="18" customHeight="1" x14ac:dyDescent="0.3">
      <c r="B2" s="332" t="s">
        <v>401</v>
      </c>
      <c r="C2" s="332"/>
      <c r="D2" s="332"/>
      <c r="E2" s="332"/>
      <c r="H2" s="332" t="s">
        <v>401</v>
      </c>
      <c r="I2" s="332"/>
      <c r="J2" s="332"/>
      <c r="M2" s="332" t="s">
        <v>401</v>
      </c>
      <c r="N2" s="332"/>
      <c r="O2" s="332"/>
      <c r="R2" s="332" t="s">
        <v>401</v>
      </c>
      <c r="S2" s="332"/>
      <c r="T2" s="332"/>
      <c r="W2" s="332" t="s">
        <v>401</v>
      </c>
      <c r="X2" s="332"/>
      <c r="Y2" s="332"/>
    </row>
    <row r="3" spans="2:25" ht="18" customHeight="1" x14ac:dyDescent="0.3">
      <c r="B3" s="332" t="s">
        <v>489</v>
      </c>
      <c r="C3" s="332"/>
      <c r="D3" s="332"/>
      <c r="E3" s="332"/>
      <c r="H3" s="332" t="s">
        <v>482</v>
      </c>
      <c r="I3" s="332"/>
      <c r="J3" s="332"/>
      <c r="M3" s="332" t="s">
        <v>484</v>
      </c>
      <c r="N3" s="332"/>
      <c r="O3" s="332"/>
      <c r="R3" s="332" t="s">
        <v>486</v>
      </c>
      <c r="S3" s="332"/>
      <c r="T3" s="332"/>
      <c r="W3" s="332" t="s">
        <v>486</v>
      </c>
      <c r="X3" s="332"/>
      <c r="Y3" s="332"/>
    </row>
    <row r="4" spans="2:25" ht="18" customHeight="1" x14ac:dyDescent="0.3">
      <c r="B4" s="2" t="s">
        <v>403</v>
      </c>
      <c r="C4" s="2" t="s">
        <v>402</v>
      </c>
      <c r="D4" s="2" t="s">
        <v>478</v>
      </c>
      <c r="E4" s="2" t="s">
        <v>50</v>
      </c>
      <c r="H4" s="2" t="s">
        <v>402</v>
      </c>
      <c r="I4" s="2" t="s">
        <v>403</v>
      </c>
      <c r="J4" s="2" t="s">
        <v>50</v>
      </c>
      <c r="M4" s="2" t="s">
        <v>402</v>
      </c>
      <c r="N4" s="2" t="s">
        <v>403</v>
      </c>
      <c r="O4" s="2" t="s">
        <v>50</v>
      </c>
      <c r="R4" s="2" t="s">
        <v>402</v>
      </c>
      <c r="S4" s="2" t="s">
        <v>403</v>
      </c>
      <c r="T4" s="2" t="s">
        <v>50</v>
      </c>
      <c r="W4" s="2" t="s">
        <v>402</v>
      </c>
      <c r="X4" s="2" t="s">
        <v>403</v>
      </c>
      <c r="Y4" s="2" t="s">
        <v>50</v>
      </c>
    </row>
    <row r="5" spans="2:25" ht="18" customHeight="1" x14ac:dyDescent="0.3">
      <c r="B5" s="2" t="s">
        <v>398</v>
      </c>
      <c r="C5" s="2"/>
      <c r="D5" s="2">
        <f>IF(C5 &lt;&gt; "", VLOOKUP(C5, setupCostsGeneral, 2, FALSE), 0)</f>
        <v>0</v>
      </c>
      <c r="E5" s="2" t="str">
        <f>IF(C5 &lt;&gt; "", VLOOKUP(C5, H5:J7, 3, FALSE), "$0")</f>
        <v>$0</v>
      </c>
      <c r="H5" s="2" t="s">
        <v>395</v>
      </c>
      <c r="I5" s="27" t="s">
        <v>455</v>
      </c>
      <c r="J5" s="2" t="str">
        <f>IF(Miscellaneous!AX4 &gt;= 1, CONCATENATE("$", Miscellaneous!AX4, "m"), CONCATENATE("$", Miscellaneous!AX4 * 1000, "k"))</f>
        <v>$500k</v>
      </c>
      <c r="M5" s="2" t="s">
        <v>395</v>
      </c>
      <c r="N5" s="27" t="s">
        <v>452</v>
      </c>
      <c r="O5" s="2" t="str">
        <f>IF(Miscellaneous!AX14 &gt;= 1, CONCATENATE("$", Miscellaneous!AX14, "m"), CONCATENATE("$", Miscellaneous!AX14 * 1000, "k"))</f>
        <v>$200k</v>
      </c>
      <c r="R5" s="2" t="s">
        <v>395</v>
      </c>
      <c r="S5" s="2" t="s">
        <v>455</v>
      </c>
      <c r="T5" s="2" t="str">
        <f>IF(Miscellaneous!AX24 &gt;= 1, CONCATENATE("$", Miscellaneous!AX24, "m"), CONCATENATE("$", Miscellaneous!AX24 * 1000, "k"))</f>
        <v>$300k</v>
      </c>
      <c r="W5" s="2" t="s">
        <v>395</v>
      </c>
      <c r="X5" s="27" t="s">
        <v>452</v>
      </c>
      <c r="Y5" s="2" t="str">
        <f>IF(Miscellaneous!AX34 &gt;= 1, CONCATENATE("$", Miscellaneous!AX34, "m"), CONCATENATE("$", Miscellaneous!AX34 * 1000, "k"))</f>
        <v>$200k</v>
      </c>
    </row>
    <row r="6" spans="2:25" ht="18" customHeight="1" x14ac:dyDescent="0.3">
      <c r="B6" s="2" t="s">
        <v>399</v>
      </c>
      <c r="C6" s="2"/>
      <c r="D6" s="2">
        <f>IF(C6 &lt;&gt; "", VLOOKUP(C6, setupCostsAero, 2, FALSE), 0)</f>
        <v>0</v>
      </c>
      <c r="E6" s="2" t="str">
        <f>IF(C6 &lt;&gt; "", VLOOKUP(C6, H13:J15, 3, FALSE), "$0")</f>
        <v>$0</v>
      </c>
      <c r="H6" s="2" t="s">
        <v>396</v>
      </c>
      <c r="I6" s="27" t="s">
        <v>457</v>
      </c>
      <c r="J6" s="2" t="str">
        <f>IF(Miscellaneous!AX5 &gt;= 1, CONCATENATE("$", Miscellaneous!AX5, "m"), CONCATENATE("$", Miscellaneous!AX5 * 1000, "k"))</f>
        <v>$800k</v>
      </c>
      <c r="M6" s="2" t="s">
        <v>396</v>
      </c>
      <c r="N6" s="2" t="s">
        <v>457</v>
      </c>
      <c r="O6" s="2" t="str">
        <f>IF(Miscellaneous!AX15 &gt;= 1, CONCATENATE("$", Miscellaneous!AX15, "m"), CONCATENATE("$", Miscellaneous!AX15 * 1000, "k"))</f>
        <v>$450k</v>
      </c>
      <c r="R6" s="2" t="s">
        <v>396</v>
      </c>
      <c r="S6" s="2" t="s">
        <v>457</v>
      </c>
      <c r="T6" s="2" t="str">
        <f>IF(Miscellaneous!AX25 &gt;= 1, CONCATENATE("$", Miscellaneous!AX25, "m"), CONCATENATE("$", Miscellaneous!AX25 * 1000, "k"))</f>
        <v>$500k</v>
      </c>
      <c r="W6" s="2" t="s">
        <v>396</v>
      </c>
      <c r="X6" s="27" t="s">
        <v>453</v>
      </c>
      <c r="Y6" s="2" t="str">
        <f>IF(Miscellaneous!AX35 &gt;= 1, CONCATENATE("$", Miscellaneous!AX35, "m"), CONCATENATE("$", Miscellaneous!AX35 * 1000, "k"))</f>
        <v>$400k</v>
      </c>
    </row>
    <row r="7" spans="2:25" ht="18" customHeight="1" x14ac:dyDescent="0.3">
      <c r="B7" s="2" t="s">
        <v>200</v>
      </c>
      <c r="C7" s="2"/>
      <c r="D7" s="2">
        <f>IF(C7 &lt;&gt; "", VLOOKUP(C7, setupCostsChassis, 2, FALSE), 0)</f>
        <v>0</v>
      </c>
      <c r="E7" s="2" t="str">
        <f>IF(C7 &lt;&gt; "", VLOOKUP(C7, R5:T7, 3, FALSE), "$0")</f>
        <v>$0</v>
      </c>
      <c r="H7" s="2" t="s">
        <v>397</v>
      </c>
      <c r="I7" s="27" t="s">
        <v>456</v>
      </c>
      <c r="J7" s="2" t="str">
        <f>IF(Miscellaneous!AX6 &gt;= 1, CONCATENATE("$", Miscellaneous!AX6, "m"), CONCATENATE("$", Miscellaneous!AX6 * 1000, "k"))</f>
        <v>$1.5m</v>
      </c>
      <c r="M7" s="2" t="s">
        <v>397</v>
      </c>
      <c r="N7" s="27" t="s">
        <v>467</v>
      </c>
      <c r="O7" s="2" t="str">
        <f>IF(Miscellaneous!AX16 &gt;= 1, CONCATENATE("$", Miscellaneous!AX16, "m"), CONCATENATE("$", Miscellaneous!AX16 * 1000, "k"))</f>
        <v>$800k</v>
      </c>
      <c r="R7" s="2" t="s">
        <v>397</v>
      </c>
      <c r="S7" s="2" t="s">
        <v>456</v>
      </c>
      <c r="T7" s="2" t="str">
        <f>IF(Miscellaneous!AX26 &gt;= 1, CONCATENATE("$", Miscellaneous!AX26, "m"), CONCATENATE("$", Miscellaneous!AX26 * 1000, "k"))</f>
        <v>$850k</v>
      </c>
      <c r="W7" s="2" t="s">
        <v>397</v>
      </c>
      <c r="X7" s="27" t="s">
        <v>454</v>
      </c>
      <c r="Y7" s="2" t="str">
        <f>IF(Miscellaneous!AX36 &gt;= 1, CONCATENATE("$", Miscellaneous!AX36, "m"), CONCATENATE("$", Miscellaneous!AX36 * 1000, "k"))</f>
        <v>$600k</v>
      </c>
    </row>
    <row r="8" spans="2:25" ht="18" customHeight="1" x14ac:dyDescent="0.3">
      <c r="B8" s="2" t="s">
        <v>445</v>
      </c>
      <c r="C8" s="2"/>
      <c r="D8" s="2">
        <f>IF(C8 &lt;&gt; "", VLOOKUP(C8, setupCostsFrontSusp, 2, FALSE), 0)</f>
        <v>0</v>
      </c>
      <c r="E8" s="2" t="str">
        <f>IF(C8 &lt;&gt; "", VLOOKUP(C8, M5:O7, 3, FALSE), "$0")</f>
        <v>$0</v>
      </c>
      <c r="W8" s="2" t="s">
        <v>479</v>
      </c>
      <c r="X8" s="27" t="s">
        <v>470</v>
      </c>
      <c r="Y8" s="2" t="str">
        <f>IF(Miscellaneous!AX37 &gt;= 1, CONCATENATE("$", Miscellaneous!AX37, "m"), CONCATENATE("$", Miscellaneous!AX37 * 1000, "k"))</f>
        <v>$850k</v>
      </c>
    </row>
    <row r="9" spans="2:25" ht="18" customHeight="1" x14ac:dyDescent="0.3">
      <c r="B9" s="2" t="s">
        <v>446</v>
      </c>
      <c r="C9" s="2"/>
      <c r="D9" s="2">
        <f>IF(C9 &lt;&gt; "", VLOOKUP(C9, setupCostsRearSusp, 2, FALSE), 0)</f>
        <v>0</v>
      </c>
      <c r="E9" s="2" t="str">
        <f>IF(C9 &lt;&gt; "", VLOOKUP(C9, M13:O15, 3, FALSE), "$0")</f>
        <v>$0</v>
      </c>
      <c r="W9" s="2" t="s">
        <v>480</v>
      </c>
      <c r="X9" s="27" t="s">
        <v>471</v>
      </c>
      <c r="Y9" s="2" t="str">
        <f>IF(Miscellaneous!AX38 &gt;= 1, CONCATENATE("$", Miscellaneous!AX38, "m"), CONCATENATE("$", Miscellaneous!AX38 * 1000, "k"))</f>
        <v>$1.1m</v>
      </c>
    </row>
    <row r="10" spans="2:25" ht="18" customHeight="1" x14ac:dyDescent="0.3">
      <c r="B10" s="2" t="s">
        <v>34</v>
      </c>
      <c r="C10" s="2"/>
      <c r="D10" s="2">
        <f>IF(C10 &lt;&gt; "", VLOOKUP(C10, setupCostsTyres, 2, FALSE), 0)</f>
        <v>0</v>
      </c>
      <c r="E10" s="2" t="str">
        <f>IF(C10 &lt;&gt; "", VLOOKUP(C10, R13:T15, 3, FALSE), "$0")</f>
        <v>$0</v>
      </c>
      <c r="H10" s="332" t="s">
        <v>401</v>
      </c>
      <c r="I10" s="332"/>
      <c r="J10" s="332"/>
      <c r="M10" s="332" t="s">
        <v>401</v>
      </c>
      <c r="N10" s="332"/>
      <c r="O10" s="332"/>
      <c r="R10" s="332" t="s">
        <v>401</v>
      </c>
      <c r="S10" s="332"/>
      <c r="T10" s="332"/>
    </row>
    <row r="11" spans="2:25" ht="18" customHeight="1" x14ac:dyDescent="0.3">
      <c r="B11" s="2" t="s">
        <v>393</v>
      </c>
      <c r="C11" s="2"/>
      <c r="D11" s="2">
        <f>IF(C11 &lt;&gt; "", VLOOKUP(C11, setupCostsReliability, 2, FALSE), 0)</f>
        <v>0</v>
      </c>
      <c r="E11" s="2" t="str">
        <f>IF(C11 &lt;&gt; "", VLOOKUP(C11, W5:Y9, 3, FALSE), "$0")</f>
        <v>$0</v>
      </c>
      <c r="H11" s="332" t="s">
        <v>483</v>
      </c>
      <c r="I11" s="332"/>
      <c r="J11" s="332"/>
      <c r="M11" s="332" t="s">
        <v>485</v>
      </c>
      <c r="N11" s="332"/>
      <c r="O11" s="332"/>
      <c r="R11" s="332" t="s">
        <v>487</v>
      </c>
      <c r="S11" s="332"/>
      <c r="T11" s="332"/>
    </row>
    <row r="12" spans="2:25" ht="18" customHeight="1" x14ac:dyDescent="0.3">
      <c r="B12" s="358" t="s">
        <v>477</v>
      </c>
      <c r="C12" s="430"/>
      <c r="D12" s="188">
        <f>SUM(D5:D11)</f>
        <v>0</v>
      </c>
      <c r="E12" s="2" t="str">
        <f>CONCATENATE("$", D12, "m")</f>
        <v>$0m</v>
      </c>
      <c r="H12" s="2" t="s">
        <v>402</v>
      </c>
      <c r="I12" s="2" t="s">
        <v>403</v>
      </c>
      <c r="J12" s="2" t="s">
        <v>50</v>
      </c>
      <c r="M12" s="2" t="s">
        <v>402</v>
      </c>
      <c r="N12" s="2" t="s">
        <v>403</v>
      </c>
      <c r="O12" s="2" t="s">
        <v>50</v>
      </c>
      <c r="R12" s="2" t="s">
        <v>402</v>
      </c>
      <c r="S12" s="2" t="s">
        <v>403</v>
      </c>
      <c r="T12" s="2" t="s">
        <v>50</v>
      </c>
    </row>
    <row r="13" spans="2:25" ht="18" customHeight="1" x14ac:dyDescent="0.3">
      <c r="H13" s="2" t="s">
        <v>395</v>
      </c>
      <c r="I13" s="2" t="s">
        <v>455</v>
      </c>
      <c r="J13" s="2" t="str">
        <f>IF(Miscellaneous!AX9 &gt;= 1, CONCATENATE("$", Miscellaneous!AX9, "m"), CONCATENATE("$", Miscellaneous!AX9 * 1000, "k"))</f>
        <v>$300k</v>
      </c>
      <c r="M13" s="2" t="s">
        <v>395</v>
      </c>
      <c r="N13" s="2" t="s">
        <v>452</v>
      </c>
      <c r="O13" s="2" t="str">
        <f>IF(Miscellaneous!AX19 &gt;= 1, CONCATENATE("$", Miscellaneous!AX19, "m"), CONCATENATE("$", Miscellaneous!AX19 * 1000, "k"))</f>
        <v>$200k</v>
      </c>
      <c r="R13" s="2" t="s">
        <v>395</v>
      </c>
      <c r="S13" s="27" t="s">
        <v>452</v>
      </c>
      <c r="T13" s="2" t="str">
        <f>IF(Miscellaneous!AX29 &gt;= 1, CONCATENATE("$", Miscellaneous!AX29, "m"), CONCATENATE("$", Miscellaneous!AX29 * 1000, "k"))</f>
        <v>$350k</v>
      </c>
    </row>
    <row r="14" spans="2:25" ht="18" customHeight="1" x14ac:dyDescent="0.3">
      <c r="H14" s="2" t="s">
        <v>396</v>
      </c>
      <c r="I14" s="2" t="s">
        <v>457</v>
      </c>
      <c r="J14" s="2" t="str">
        <f>IF(Miscellaneous!AX10 &gt;= 1, CONCATENATE("$", Miscellaneous!AX10, "m"), CONCATENATE("$", Miscellaneous!AX10 * 1000, "k"))</f>
        <v>$500k</v>
      </c>
      <c r="M14" s="2" t="s">
        <v>396</v>
      </c>
      <c r="N14" s="2" t="s">
        <v>457</v>
      </c>
      <c r="O14" s="2" t="str">
        <f>IF(Miscellaneous!AX20 &gt;= 1, CONCATENATE("$", Miscellaneous!AX20, "m"), CONCATENATE("$", Miscellaneous!AX20 * 1000, "k"))</f>
        <v>$450k</v>
      </c>
      <c r="R14" s="2" t="s">
        <v>396</v>
      </c>
      <c r="S14" s="27" t="s">
        <v>453</v>
      </c>
      <c r="T14" s="2" t="str">
        <f>IF(Miscellaneous!AX30 &gt;= 1, CONCATENATE("$", Miscellaneous!AX30, "m"), CONCATENATE("$", Miscellaneous!AX30 * 1000, "k"))</f>
        <v>$600k</v>
      </c>
    </row>
    <row r="15" spans="2:25" ht="18" customHeight="1" x14ac:dyDescent="0.3">
      <c r="H15" s="2" t="s">
        <v>397</v>
      </c>
      <c r="I15" s="2" t="s">
        <v>456</v>
      </c>
      <c r="J15" s="2" t="str">
        <f>IF(Miscellaneous!AX11 &gt;= 1, CONCATENATE("$", Miscellaneous!AX11, "m"), CONCATENATE("$", Miscellaneous!AX11 * 1000, "k"))</f>
        <v>$850k</v>
      </c>
      <c r="M15" s="2" t="s">
        <v>397</v>
      </c>
      <c r="N15" s="2" t="s">
        <v>467</v>
      </c>
      <c r="O15" s="2" t="str">
        <f>IF(Miscellaneous!AX21 &gt;= 1, CONCATENATE("$", Miscellaneous!AX21, "m"), CONCATENATE("$", Miscellaneous!AX21 * 1000, "k"))</f>
        <v>$800k</v>
      </c>
      <c r="R15" s="2" t="s">
        <v>397</v>
      </c>
      <c r="S15" s="27" t="s">
        <v>461</v>
      </c>
      <c r="T15" s="2" t="str">
        <f>IF(Miscellaneous!AX31 &gt;= 1, CONCATENATE("$", Miscellaneous!AX31, "m"), CONCATENATE("$", Miscellaneous!AX31 * 1000, "k"))</f>
        <v>$1m</v>
      </c>
    </row>
    <row r="18" spans="2:2" ht="18" customHeight="1" x14ac:dyDescent="0.3">
      <c r="B18" s="226" t="s">
        <v>490</v>
      </c>
    </row>
    <row r="19" spans="2:2" ht="18" customHeight="1" x14ac:dyDescent="0.3">
      <c r="B19" s="226" t="s">
        <v>474</v>
      </c>
    </row>
    <row r="20" spans="2:2" ht="18" customHeight="1" x14ac:dyDescent="0.3">
      <c r="B20" s="226" t="s">
        <v>475</v>
      </c>
    </row>
    <row r="21" spans="2:2" ht="18" customHeight="1" x14ac:dyDescent="0.3">
      <c r="B21" s="226" t="s">
        <v>476</v>
      </c>
    </row>
  </sheetData>
  <protectedRanges>
    <protectedRange sqref="C5:C11" name="Editable Bonuses"/>
  </protectedRanges>
  <mergeCells count="17">
    <mergeCell ref="W2:Y2"/>
    <mergeCell ref="W3:Y3"/>
    <mergeCell ref="H11:J11"/>
    <mergeCell ref="M2:O2"/>
    <mergeCell ref="M3:O3"/>
    <mergeCell ref="M10:O10"/>
    <mergeCell ref="M11:O11"/>
    <mergeCell ref="H2:J2"/>
    <mergeCell ref="H3:J3"/>
    <mergeCell ref="H10:J10"/>
    <mergeCell ref="B12:C12"/>
    <mergeCell ref="R2:T2"/>
    <mergeCell ref="R3:T3"/>
    <mergeCell ref="R10:T10"/>
    <mergeCell ref="R11:T11"/>
    <mergeCell ref="B2:E2"/>
    <mergeCell ref="B3:E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7EFF-17B0-4EDB-9ABF-965B57CABEB6}">
  <dimension ref="B1:CK49"/>
  <sheetViews>
    <sheetView workbookViewId="0">
      <selection activeCell="D15" sqref="D15"/>
    </sheetView>
  </sheetViews>
  <sheetFormatPr defaultColWidth="8.88671875" defaultRowHeight="18" customHeight="1" x14ac:dyDescent="0.3"/>
  <cols>
    <col min="1" max="1" width="3.33203125" style="1" customWidth="1"/>
    <col min="2" max="2" width="20" style="1" customWidth="1"/>
    <col min="3" max="3" width="8.88671875" style="1" hidden="1" customWidth="1"/>
    <col min="4" max="4" width="15.5546875" style="1" customWidth="1"/>
    <col min="5" max="6" width="3.33203125" style="1" customWidth="1"/>
    <col min="7" max="7" width="11.109375" style="1" customWidth="1"/>
    <col min="8" max="8" width="11.109375" style="1" hidden="1" customWidth="1"/>
    <col min="9" max="10" width="11.109375" style="1" customWidth="1"/>
    <col min="11" max="12" width="3.33203125" style="1" customWidth="1"/>
    <col min="13" max="15" width="11.109375" style="1" customWidth="1"/>
    <col min="16" max="22" width="8.88671875" style="1"/>
    <col min="23" max="23" width="3.33203125" style="1" customWidth="1"/>
    <col min="24" max="24" width="3.33203125" style="1" hidden="1" customWidth="1"/>
    <col min="25" max="27" width="11.109375" style="1" hidden="1" customWidth="1"/>
    <col min="28" max="28" width="3.33203125" style="1" hidden="1" customWidth="1"/>
    <col min="29" max="32" width="11.109375" style="1" hidden="1" customWidth="1"/>
    <col min="33" max="33" width="3.33203125" style="1" hidden="1" customWidth="1"/>
    <col min="34" max="34" width="11.109375" style="1" hidden="1" customWidth="1"/>
    <col min="35" max="35" width="3.33203125" style="1" hidden="1" customWidth="1"/>
    <col min="36" max="39" width="11.109375" style="1" hidden="1" customWidth="1"/>
    <col min="40" max="40" width="3.33203125" style="1" hidden="1" customWidth="1"/>
    <col min="41" max="41" width="11.109375" style="1" hidden="1" customWidth="1"/>
    <col min="42" max="42" width="3.33203125" style="1" hidden="1" customWidth="1"/>
    <col min="43" max="49" width="12.21875" style="1" hidden="1" customWidth="1"/>
    <col min="50" max="50" width="3.33203125" style="1" hidden="1" customWidth="1"/>
    <col min="51" max="51" width="3.33203125" style="1" customWidth="1"/>
    <col min="52" max="54" width="11.109375" style="1" customWidth="1"/>
    <col min="55" max="61" width="8.88671875" style="1"/>
    <col min="62" max="62" width="3.33203125" style="1" customWidth="1"/>
    <col min="63" max="63" width="3.33203125" style="1" hidden="1" customWidth="1"/>
    <col min="64" max="65" width="11.109375" style="1" hidden="1" customWidth="1"/>
    <col min="66" max="66" width="3.33203125" style="1" hidden="1" customWidth="1"/>
    <col min="67" max="70" width="11.109375" style="1" hidden="1" customWidth="1"/>
    <col min="71" max="71" width="3.33203125" style="1" hidden="1" customWidth="1"/>
    <col min="72" max="72" width="11.109375" style="1" hidden="1" customWidth="1"/>
    <col min="73" max="73" width="3.33203125" style="1" hidden="1" customWidth="1"/>
    <col min="74" max="74" width="11.109375" style="1" hidden="1" customWidth="1"/>
    <col min="75" max="75" width="3.33203125" style="1" hidden="1" customWidth="1"/>
    <col min="76" max="79" width="11.109375" style="1" hidden="1" customWidth="1"/>
    <col min="80" max="80" width="3.33203125" style="1" hidden="1" customWidth="1"/>
    <col min="81" max="81" width="11.109375" style="1" hidden="1" customWidth="1"/>
    <col min="82" max="88" width="12.21875" style="1" hidden="1" customWidth="1"/>
    <col min="89" max="89" width="3.33203125" style="1" hidden="1" customWidth="1"/>
    <col min="90" max="90" width="3.33203125" style="1" customWidth="1"/>
    <col min="91" max="16384" width="8.88671875" style="1"/>
  </cols>
  <sheetData>
    <row r="1" spans="2:88" ht="18" customHeight="1" thickBot="1" x14ac:dyDescent="0.35"/>
    <row r="2" spans="2:88" ht="18" customHeight="1" thickBot="1" x14ac:dyDescent="0.35">
      <c r="B2" s="281" t="s">
        <v>401</v>
      </c>
      <c r="C2" s="282"/>
      <c r="D2" s="283"/>
      <c r="G2" s="269" t="s">
        <v>401</v>
      </c>
      <c r="H2" s="270"/>
      <c r="I2" s="270"/>
      <c r="J2" s="271"/>
      <c r="M2" s="281" t="s">
        <v>401</v>
      </c>
      <c r="N2" s="282"/>
      <c r="O2" s="282"/>
      <c r="P2" s="282"/>
      <c r="Q2" s="282"/>
      <c r="R2" s="282"/>
      <c r="S2" s="282"/>
      <c r="T2" s="282"/>
      <c r="U2" s="282"/>
      <c r="V2" s="283"/>
      <c r="AZ2" s="281" t="s">
        <v>401</v>
      </c>
      <c r="BA2" s="282"/>
      <c r="BB2" s="282"/>
      <c r="BC2" s="282"/>
      <c r="BD2" s="282"/>
      <c r="BE2" s="282"/>
      <c r="BF2" s="282"/>
      <c r="BG2" s="282"/>
      <c r="BH2" s="282"/>
      <c r="BI2" s="283"/>
    </row>
    <row r="3" spans="2:88" ht="18" customHeight="1" thickBot="1" x14ac:dyDescent="0.35">
      <c r="B3" s="284" t="s">
        <v>246</v>
      </c>
      <c r="C3" s="285"/>
      <c r="D3" s="286"/>
      <c r="G3" s="277" t="s">
        <v>247</v>
      </c>
      <c r="H3" s="281" t="s">
        <v>202</v>
      </c>
      <c r="I3" s="282"/>
      <c r="J3" s="283"/>
      <c r="M3" s="284" t="s">
        <v>256</v>
      </c>
      <c r="N3" s="285"/>
      <c r="O3" s="285"/>
      <c r="P3" s="285"/>
      <c r="Q3" s="285"/>
      <c r="R3" s="285"/>
      <c r="S3" s="285"/>
      <c r="T3" s="285"/>
      <c r="U3" s="285"/>
      <c r="V3" s="286"/>
      <c r="AZ3" s="284" t="s">
        <v>255</v>
      </c>
      <c r="BA3" s="285"/>
      <c r="BB3" s="285"/>
      <c r="BC3" s="285"/>
      <c r="BD3" s="285"/>
      <c r="BE3" s="285"/>
      <c r="BF3" s="285"/>
      <c r="BG3" s="285"/>
      <c r="BH3" s="285"/>
      <c r="BI3" s="286"/>
    </row>
    <row r="4" spans="2:88" ht="18" customHeight="1" thickBot="1" x14ac:dyDescent="0.35">
      <c r="B4" s="49" t="s">
        <v>238</v>
      </c>
      <c r="C4" s="49">
        <v>140</v>
      </c>
      <c r="D4" s="49" t="s">
        <v>239</v>
      </c>
      <c r="G4" s="298"/>
      <c r="H4" s="40" t="s">
        <v>200</v>
      </c>
      <c r="I4" s="41" t="s">
        <v>201</v>
      </c>
      <c r="J4" s="42" t="s">
        <v>248</v>
      </c>
      <c r="M4" s="180" t="s">
        <v>251</v>
      </c>
      <c r="N4" s="180" t="s">
        <v>249</v>
      </c>
      <c r="O4" s="180" t="s">
        <v>34</v>
      </c>
      <c r="P4" s="406" t="s">
        <v>250</v>
      </c>
      <c r="Q4" s="408"/>
      <c r="R4" s="408"/>
      <c r="S4" s="407"/>
      <c r="T4" s="406" t="s">
        <v>495</v>
      </c>
      <c r="U4" s="408"/>
      <c r="V4" s="407"/>
      <c r="Y4" s="1" t="s">
        <v>257</v>
      </c>
      <c r="Z4" s="1" t="s">
        <v>258</v>
      </c>
      <c r="AA4" s="1" t="s">
        <v>375</v>
      </c>
      <c r="AC4" s="1" t="s">
        <v>257</v>
      </c>
      <c r="AD4" s="1" t="s">
        <v>378</v>
      </c>
      <c r="AE4" s="1" t="s">
        <v>379</v>
      </c>
      <c r="AF4" s="1" t="s">
        <v>380</v>
      </c>
      <c r="AH4" s="1" t="s">
        <v>381</v>
      </c>
      <c r="AJ4" s="1" t="s">
        <v>211</v>
      </c>
      <c r="AK4" s="1" t="s">
        <v>212</v>
      </c>
      <c r="AL4" s="1" t="s">
        <v>213</v>
      </c>
      <c r="AM4" s="1" t="s">
        <v>214</v>
      </c>
      <c r="AO4" s="1" t="s">
        <v>8</v>
      </c>
      <c r="AQ4" s="431" t="s">
        <v>493</v>
      </c>
      <c r="AR4" s="431"/>
      <c r="AS4" s="431"/>
      <c r="AT4" s="431" t="s">
        <v>494</v>
      </c>
      <c r="AU4" s="431"/>
      <c r="AV4" s="431"/>
      <c r="AW4" s="1" t="s">
        <v>393</v>
      </c>
      <c r="AZ4" s="180" t="s">
        <v>251</v>
      </c>
      <c r="BA4" s="180" t="s">
        <v>249</v>
      </c>
      <c r="BB4" s="180" t="s">
        <v>34</v>
      </c>
      <c r="BC4" s="406" t="s">
        <v>250</v>
      </c>
      <c r="BD4" s="408"/>
      <c r="BE4" s="408"/>
      <c r="BF4" s="407"/>
      <c r="BG4" s="406" t="s">
        <v>250</v>
      </c>
      <c r="BH4" s="408"/>
      <c r="BI4" s="407"/>
      <c r="BL4" s="1" t="s">
        <v>257</v>
      </c>
      <c r="BM4" s="1" t="s">
        <v>268</v>
      </c>
      <c r="BO4" s="1" t="s">
        <v>257</v>
      </c>
      <c r="BP4" s="1" t="s">
        <v>257</v>
      </c>
      <c r="BQ4" s="1" t="s">
        <v>378</v>
      </c>
      <c r="BR4" s="1" t="s">
        <v>379</v>
      </c>
      <c r="BT4" s="1" t="s">
        <v>380</v>
      </c>
      <c r="BV4" s="1" t="s">
        <v>381</v>
      </c>
      <c r="BX4" s="1" t="s">
        <v>211</v>
      </c>
      <c r="BY4" s="1" t="s">
        <v>212</v>
      </c>
      <c r="BZ4" s="1" t="s">
        <v>213</v>
      </c>
      <c r="CA4" s="1" t="s">
        <v>214</v>
      </c>
      <c r="CC4" s="1" t="s">
        <v>8</v>
      </c>
      <c r="CD4" s="431" t="s">
        <v>493</v>
      </c>
      <c r="CE4" s="431"/>
      <c r="CF4" s="431"/>
      <c r="CG4" s="431" t="s">
        <v>494</v>
      </c>
      <c r="CH4" s="431"/>
      <c r="CI4" s="431"/>
      <c r="CJ4" s="1" t="s">
        <v>393</v>
      </c>
    </row>
    <row r="5" spans="2:88" ht="18" customHeight="1" x14ac:dyDescent="0.3">
      <c r="B5" s="85" t="s">
        <v>198</v>
      </c>
      <c r="C5" s="85">
        <f>ROUND(SUM(G5:G39), 3)</f>
        <v>22.9</v>
      </c>
      <c r="D5" s="85" t="str">
        <f>CONCATENATE("$", C5, " Million")</f>
        <v>$22.9 Million</v>
      </c>
      <c r="G5" s="46">
        <f>IF('Car Purchase'!D5 &lt;&gt; "", VLOOKUP('Car Purchase'!D5, modelData, 3, FALSE), "")</f>
        <v>1.5</v>
      </c>
      <c r="H5" s="37">
        <f>IF('Car Purchase'!I5 &lt;&gt; "", VLOOKUP('Car Purchase'!I5, modelData, 4, FALSE) * 'Car Purchase'!J5, "")</f>
        <v>0</v>
      </c>
      <c r="I5" s="38">
        <f>IF('Car Purchase'!I5 &lt;&gt; "", VLOOKUP('Car Purchase'!I5, modelData, 5, FALSE) * 'Car Purchase'!K5, "")</f>
        <v>0</v>
      </c>
      <c r="J5" s="39">
        <f>IF('Car Purchase'!I5 &lt;&gt; "", VLOOKUP('Car Purchase'!I5, modelData, 6, FALSE) * 'Car Purchase'!L5, "")</f>
        <v>0</v>
      </c>
      <c r="M5" s="46" t="str">
        <f t="shared" ref="M5:M39" si="0">IF(AD5 &lt;&gt; "", IF(AD5 = 1, VLOOKUP(AF5, gemCosts, 4, FALSE), IF(AD5 = 2, VLOOKUP(AF5, nasccCosts, 4, FALSE), IF(AD5 = 2.1, VLOOKUP(AF5, nasccScCosts, 4, FALSE), IF(AD5 = 2.2, VLOOKUP(AF5, nasccEcCosts, 4, FALSE), IF(AD5 = 3, VLOOKUP(AF5, euemCosts, 4, FALSE), IF(AD5 = 4, VLOOKUP(AF5, wgtssCosts, 4, FALSE), IF(AD5 = 5, VLOOKUP(AF5, wgtmCosts, 4, FALSE), IF(AD5 = 7, VLOOKUP(AF5, asmCosts, 4, FALSE), "")))))))))</f>
        <v/>
      </c>
      <c r="N5" s="46" t="str">
        <f>IF(AND(IF(ISERROR(Y5) = FALSE, TRUE, FALSE), IF(Y5 &lt;&gt; "", TRUE, FALSE), IF(ISERROR(Z5) = FALSE, TRUE, FALSE)) = TRUE, Y5 * Z5, "")</f>
        <v/>
      </c>
      <c r="O5" s="85" t="str">
        <f t="shared" ref="O5:O39" si="1">IF(AND(IF(ISERROR(AH5) = FALSE, TRUE, FALSE), IF(AH5 &lt;&gt; "", TRUE, FALSE), IF(ISERROR(AA5) = FALSE, TRUE, FALSE)) = TRUE, AH5 * AA5, "")</f>
        <v/>
      </c>
      <c r="P5" s="37" t="str">
        <f>IF('Full Season Entries'!K6 &lt;&gt; "", IF('Full Season Entries'!K6 = "Bronze", -AJ5, VLOOKUP('Full Season Entries'!K6, driverCosts, 2, FALSE) * Z5), "")</f>
        <v/>
      </c>
      <c r="Q5" s="38" t="str">
        <f>IF('Full Season Entries'!L6 &lt;&gt; "", IF('Full Season Entries'!L6 = "Bronze", -AK5, VLOOKUP('Full Season Entries'!L6, driverCosts, 2, FALSE) * Z5), "")</f>
        <v/>
      </c>
      <c r="R5" s="38" t="str">
        <f>IF('Full Season Entries'!M6 &lt;&gt; "", IF('Full Season Entries'!M6 = "Bronze", -AL5, IF(AND(AD5 = 2, OR(AF5 = "DPi", AF5 = "GTLM")), VLOOKUP('Full Season Entries'!M6, driverCosts, 2, FALSE) * VLOOKUP(AF5, nasccEcCosts, 3, FALSE), IF(AD5 = 7, VLOOKUP('Full Season Entries'!M6, driverCosts, 2, FALSE) * VLOOKUP("ASM 210 Minutes of CoTA", oneOffs, 3, FALSE), VLOOKUP('Full Season Entries'!M6, driverCosts, 2, FALSE) * Z5))), "")</f>
        <v/>
      </c>
      <c r="S5" s="39" t="str">
        <f>IF('Full Season Entries'!N6 &lt;&gt; "", IF('Full Season Entries'!N6 = "Bronze", -AM5, VLOOKUP('Full Season Entries'!N6, driverCosts, 2, FALSE) * Z5), "")</f>
        <v/>
      </c>
      <c r="T5" s="37">
        <f>AQ5</f>
        <v>0</v>
      </c>
      <c r="U5" s="38">
        <f>AT5</f>
        <v>0</v>
      </c>
      <c r="V5" s="39">
        <f>AW5</f>
        <v>0</v>
      </c>
      <c r="Y5" s="1" t="str">
        <f t="shared" ref="Y5" si="2">IF(AC5 &lt;&gt; "", VLOOKUP(AC5, modelData, 8, FALSE), "")</f>
        <v/>
      </c>
      <c r="Z5" s="1">
        <f>IF(AD5 &lt;&gt; "", IF(AD5 = 1, VLOOKUP(AF5, gemCosts, 3, FALSE), IF(AD5 = 2, VLOOKUP(AF5, nasccCosts, 3, FALSE), IF(AD5 = 2.1, VLOOKUP(AF5, nasccScCosts, 3, FALSE), IF(AD5 = 2.2, VLOOKUP(AF5, nasccEcCosts, 3, FALSE), IF(AD5 = 3, VLOOKUP(AF5, euemCosts, 3, FALSE), IF(AD5 = 4, VLOOKUP(AF5, wgtssCosts, 3, FALSE), IF(AD5 = 5, VLOOKUP(AF5, wgtmCosts, 3, FALSE), IF(AD5 = 7, VLOOKUP(AF5, asmCosts, 3, FALSE), 0)))))))))</f>
        <v>0</v>
      </c>
      <c r="AA5" s="1">
        <f t="shared" ref="AA5:AA39" si="3">IF(AD5 &lt;&gt; "", IF(AD5 = 1, VLOOKUP(AF5, gemCosts, 2, FALSE), IF(AD5 = 2, VLOOKUP(AF5, nasccCosts, 2, FALSE), IF(AD5 = 2.1, VLOOKUP(AF5, nasccScCosts, 2, FALSE), IF(AD5 = 2.2, VLOOKUP(AF5, nasccEcCosts, 2, FALSE), IF(AD5 = 3, VLOOKUP(AF5, euemCosts, 2, FALSE), IF(AD5 = 4, VLOOKUP(AF5, wgtssCosts, 2, FALSE), IF(AD5 = 5, VLOOKUP(AF5, wgtmCosts, 2, FALSE), IF(AD5 = 7, VLOOKUP(AF5, asmCosts, 2, FALSE), 0)))))))))</f>
        <v>0</v>
      </c>
      <c r="AC5" s="1" t="str">
        <f>'Full Season Entries'!J6</f>
        <v/>
      </c>
      <c r="AD5" s="1">
        <f>'Full Season Entries'!AF6</f>
        <v>0</v>
      </c>
      <c r="AE5" s="1">
        <f>'Full Season Entries'!AG6</f>
        <v>0</v>
      </c>
      <c r="AF5" s="1" t="str">
        <f>'Full Season Entries'!D6</f>
        <v/>
      </c>
      <c r="AH5" s="1" t="str">
        <f>IF(AND(IF(AD5 = 1, TRUE, FALSE), IF(AE5 = 1, TRUE, FALSE)), VLOOKUP('Full Season Entries'!G6, t_gemLMP1, 2, FALSE), IF(AND(IF(AD5 = 1, TRUE, FALSE), IF(AE5 = 2, TRUE, FALSE)), VLOOKUP('Full Season Entries'!G6, t_gemLMP2, 2, FALSE), IF(AND(IF(AD5 = 1, TRUE, FALSE), IF(AE5 = 3, TRUE, FALSE)), VLOOKUP('Full Season Entries'!G6, t_gemLMGTE, 2, FALSE), IF(AND(IF(AD5 = 1, TRUE, FALSE), IF(AE5 = 4, TRUE, FALSE)), VLOOKUP('Full Season Entries'!G6, t_gemLMGTE, 2, FALSE), IF(AND(IF(AD5 = 2, TRUE, FALSE), IF(AE5 = 1, TRUE, FALSE)), VLOOKUP('Full Season Entries'!G6, t_nasccDPi, 2, FALSE), IF(AND(IF(AD5 = 2, TRUE, FALSE), IF(AE5 = 2, TRUE, FALSE)), VLOOKUP('Full Season Entries'!G6, t_nasccLMP2, 2, FALSE), IF(AND(IF(AD5 = 2, TRUE, FALSE), IF(AE5 = 3, TRUE, FALSE)), VLOOKUP('Full Season Entries'!G6, t_nasccGTLM, 2, FALSE), IF(AND(IF(AD5 = 2, TRUE, FALSE), IF(AE5 = 4, TRUE, FALSE)), VLOOKUP('Full Season Entries'!G6, t_nasccGTD, 2, FALSE), IF(AND(IF(AD5 = 2.1, TRUE, FALSE), IF(AE5 = 1, TRUE, FALSE)), VLOOKUP('Full Season Entries'!G6, t_nasccDPi, 2, FALSE), IF(AND(IF(AD5 = 2.1, TRUE, FALSE), IF(AE5 = 2, TRUE, FALSE)), VLOOKUP('Full Season Entries'!G6, t_nasccLMP2, 2, FALSE), IF(AND(IF(AD5 = 2.1, TRUE, FALSE), IF(AE5 = 3, TRUE, FALSE)), VLOOKUP('Full Season Entries'!G6, t_nasccGTLM, 2, FALSE), IF(AND(IF(AD5 = 2.1, TRUE, FALSE), IF(AE5 = 4, TRUE, FALSE)), VLOOKUP('Full Season Entries'!G6, t_nasccGTD, 2, FALSE), IF(AND(IF(AD5 = 2.2, TRUE, FALSE), IF(AE5 = 1, TRUE, FALSE)), VLOOKUP('Full Season Entries'!G6, t_nasccDPi, 2, FALSE), IF(AND(IF(AD5 = 2.2, TRUE, FALSE), IF(AE5 = 2, TRUE, FALSE)), VLOOKUP('Full Season Entries'!G6, t_nasccLMP2, 2, FALSE), IF(AND(IF(AD5 = 2.2, TRUE, FALSE), IF(AE5 = 3, TRUE, FALSE)), VLOOKUP('Full Season Entries'!G6, t_nasccGTLM, 2, FALSE), IF(AND(IF(AD5 = 2.2, TRUE, FALSE), IF(AE5 = 4, TRUE, FALSE)), VLOOKUP('Full Season Entries'!G6, t_nasccGTD, 2, FALSE), IF(AND(IF(AD5 = 3, TRUE, FALSE), IF(AE5 = 1, TRUE, FALSE)), VLOOKUP('Full Season Entries'!G6, t_euemLMP2, 2, FALSE), IF(AND(IF(AD5 = 3, TRUE, FALSE), IF(AE5 = 2, TRUE, FALSE)), VLOOKUP('Full Season Entries'!G6, t_euemLMP3, 2, FALSE), IF(AND(IF(AD5 = 3, TRUE, FALSE), IF(AE5 = 3, TRUE, FALSE)), VLOOKUP('Full Season Entries'!G6, t_euemLMGTE, 2, FALSE), IF(AND(IF(AD5 = 4, TRUE, FALSE), IF(AE5 = 1, TRUE, FALSE)), VLOOKUP('Full Season Entries'!G6, t_wgtssGT3, 2, FALSE), IF(AND(IF(AD5 = 4, TRUE, FALSE), IF(AE5 = 2, TRUE, FALSE)), VLOOKUP('Full Season Entries'!G6, t_wgtssGT4, 2, FALSE), IF(AND(IF(AD5 = 5, TRUE, FALSE), IF(AE5 = 1, TRUE, FALSE)), VLOOKUP('Full Season Entries'!G6, t_wgtmGT3P, 2, FALSE), IF(AND(IF(AD5 = 5, TRUE, FALSE), IF(AE5 = 2, TRUE, FALSE)), VLOOKUP('Full Season Entries'!G6, t_wgtmGT3A, 2, FALSE), IF(AND(IF(AD5 = 5, TRUE, FALSE), IF(AE5 = 3, TRUE, FALSE)), VLOOKUP('Full Season Entries'!G6, t_wgtmGT4, 2, FALSE), IF(AND(IF(AD5 = 7, TRUE, FALSE), IF(AE5 = 1, TRUE, FALSE)), VLOOKUP('Full Season Entries'!G6, t_asmLMP3, 2, FALSE), IF(AND(IF(AD5 = 7, TRUE, FALSE), IF(AE5 = 2, TRUE, FALSE)), VLOOKUP('Full Season Entries'!G6, t_asmGT3, 2, FALSE), IF(AND(IF(AD5 = 7, TRUE, FALSE), IF(AE5 = 3, TRUE, FALSE)), VLOOKUP('Full Season Entries'!G6, t_asmGT4, 2, FALSE), "")))))))))))))))))))))))))))</f>
        <v/>
      </c>
      <c r="AJ5" s="1" t="str">
        <f t="shared" ref="AJ5:AJ39" si="4">IF(AO5 &lt;&gt; "", VLOOKUP(AO5, bronzePayments, 2, FALSE) * Z5, "")</f>
        <v/>
      </c>
      <c r="AK5" s="1" t="str">
        <f t="shared" ref="AK5:AK39" si="5">IF(AO5 &lt;&gt; "", VLOOKUP(AO5, bronzePayments, 2, FALSE) * Z5, "")</f>
        <v/>
      </c>
      <c r="AL5" s="1" t="str">
        <f>IF(AO5 &lt;&gt; "", IF(AD5 = 2, VLOOKUP(AF5, nasccEcCosts, 3, FALSE) * VLOOKUP(AO5, bronzePayments, 2, FALSE), IF(AD5 = 7, VLOOKUP("ASM 210 Minutes of CoTA", oneOffs, 3, FALSE) * VLOOKUP(AO5, bronzePayments, 2, FALSE), VLOOKUP(AO5, bronzePayments, 2, FALSE) * Z5)), "")</f>
        <v/>
      </c>
      <c r="AM5" s="1" t="str">
        <f t="shared" ref="AM5:AM39" si="6">IF(AO5 &lt;&gt; "", VLOOKUP(AO5, bronzePayments, 2, FALSE) * 24, "")</f>
        <v/>
      </c>
      <c r="AO5" s="1" t="str">
        <f>'Full Season Entries'!I6</f>
        <v/>
      </c>
      <c r="AQ5" s="1">
        <f t="shared" ref="AQ5:AQ39" si="7">IF(AS5 = 0, 0, IF(AR5 = "General", VLOOKUP(AS5, setupCostsGeneral, 2, FALSE), IF(AR5 = "Aero", VLOOKUP(AS5, setupCostsAero, 2, FALSE), IF(AR5 = "Chassis", VLOOKUP(AS5, setupCostsChassis, 2, FALSE), IF(AR5 = "Front Susp", VLOOKUP(AS5, setupCostsFrontSusp, 2, FALSE), IF(AR5 = "Rear Susp", VLOOKUP(AS5, setupCostsRearSusp, 2, FALSE), IF(AR5 = "Tyres", VLOOKUP(AS5, setupCostsTyres, 2, FALSE))))))))</f>
        <v>0</v>
      </c>
      <c r="AR5" s="1">
        <f>'Full Season Entries'!P6</f>
        <v>0</v>
      </c>
      <c r="AS5" s="1">
        <f>IF('Full Season Entries'!Q6 &lt;&gt; "", REPLACE('Full Season Entries'!Q6, 1, 1, "Level "), 0)</f>
        <v>0</v>
      </c>
      <c r="AT5" s="1">
        <f t="shared" ref="AT5:AT39" si="8">IF(AV5 = 0, 0, IF(AU5 = "General", VLOOKUP(AV5, setupCostsGeneral, 2, FALSE), IF(AU5 = "Aero", VLOOKUP(AV5, setupCostsAero, 2, FALSE), IF(AU5 = "Chassis", VLOOKUP(AV5, setupCostsChassis, 2, FALSE), IF(AU5 = "Front Susp", VLOOKUP(AV5, setupCostsFrontSusp, 2, FALSE), IF(AU5 = "Rear Susp", VLOOKUP(AV5, setupCostsRearSusp, 2, FALSE), IF(AU5 = "Tyres", VLOOKUP(AV5, setupCostsTyres, 2, FALSE))))))))</f>
        <v>0</v>
      </c>
      <c r="AU5" s="1">
        <f>'Full Season Entries'!R6</f>
        <v>0</v>
      </c>
      <c r="AV5" s="1">
        <f>IF('Full Season Entries'!S6 &lt;&gt; "", REPLACE('Full Season Entries'!S6, 1, 1, "Level "), 0)</f>
        <v>0</v>
      </c>
      <c r="AW5" s="1">
        <f>IF('Full Season Entries'!T6 &lt;&gt; "", VLOOKUP('Full Season Entries'!T6, setupCostsReliability, 2, FALSE), 0)</f>
        <v>0</v>
      </c>
      <c r="AZ5" s="46" t="str">
        <f>IF('One-Off Entries'!I6 = "Yes", 0, IF(BQ5 &lt;&gt; "", IF(BQ5 = 1, VLOOKUP(BT5, gemCosts, 5, FALSE), IF(BQ5 = 2, VLOOKUP(BT5, nasccCosts, 5, FALSE), IF(BQ5 = 2.1, VLOOKUP(BT5, nasccScCosts, 5, FALSE), IF(BQ5 = 2.2, VLOOKUP(BT5, nasccEcCosts, 5, FALSE), IF(BQ5 = 3, VLOOKUP(BT5, euemCosts, 5, FALSE), IF(BQ5 = 4, VLOOKUP(BT5, wgtssCosts, 5, FALSE), IF(BQ5 = 5, VLOOKUP(BT5, wgtmCosts, 5, FALSE), IF(BQ5 = 6, VLOOKUP(BT5, wpcCosts, 5, FALSE), IF(BQ5 = 7, VLOOKUP(BT5, asmCosts, 5, FALSE), "")))))))))))</f>
        <v/>
      </c>
      <c r="BA5" s="46" t="str">
        <f>IF(AND(IF(ISERROR(BQ5) = FALSE, TRUE, FALSE), IF(BL5 &lt;&gt; "", TRUE, FALSE), IF(ISERROR(BM5) = FALSE, TRUE, FALSE)) = TRUE, BL5 * BM5, "")</f>
        <v/>
      </c>
      <c r="BB5" s="85" t="str">
        <f>IF(ISERROR(BV5), "", BV5)</f>
        <v/>
      </c>
      <c r="BC5" s="37" t="str">
        <f>IF('One-Off Entries'!M6 &lt;&gt; "", IF('One-Off Entries'!M6 = "Bronze", -BX5, VLOOKUP('One-Off Entries'!M6, driverCosts, 2, FALSE) * BM5), "")</f>
        <v/>
      </c>
      <c r="BD5" s="38" t="str">
        <f>IF('One-Off Entries'!N6 &lt;&gt; "", IF('One-Off Entries'!N6 = "Bronze", -BY5, VLOOKUP('One-Off Entries'!N6, driverCosts, 2, FALSE) * BM5), "")</f>
        <v/>
      </c>
      <c r="BE5" s="38" t="str">
        <f>IF('One-Off Entries'!O6 &lt;&gt; "", IF('One-Off Entries'!O6 = "Bronze", -BZ5, VLOOKUP('One-Off Entries'!O6, driverCosts, 2, FALSE) * BM5), "")</f>
        <v/>
      </c>
      <c r="BF5" s="39" t="str">
        <f>IF('One-Off Entries'!P6 &lt;&gt; "", IF('One-Off Entries'!P6 = "Bronze", -CA5, VLOOKUP('One-Off Entries'!P6, driverCosts, 2, FALSE) * BM5), "")</f>
        <v/>
      </c>
      <c r="BG5" s="37">
        <f>CD5</f>
        <v>0</v>
      </c>
      <c r="BH5" s="38">
        <f>CG5</f>
        <v>0</v>
      </c>
      <c r="BI5" s="39">
        <f>CJ5</f>
        <v>0</v>
      </c>
      <c r="BL5" s="1" t="str">
        <f t="shared" ref="BL5:BL39" si="9">IF(BP5 &lt;&gt; "", VLOOKUP(BP5, modelData, 8, FALSE), "")</f>
        <v/>
      </c>
      <c r="BM5" s="1" t="str">
        <f t="shared" ref="BM5:BM39" si="10">IF(BO5 &lt;&gt; 0, VLOOKUP(BO5, oneOffs, 3, FALSE), "")</f>
        <v/>
      </c>
      <c r="BO5" s="1">
        <f>'One-Off Entries'!C6</f>
        <v>0</v>
      </c>
      <c r="BP5" s="1" t="str">
        <f>'One-Off Entries'!L6</f>
        <v/>
      </c>
      <c r="BQ5" s="1">
        <f>'One-Off Entries'!AI6</f>
        <v>0</v>
      </c>
      <c r="BR5" s="1">
        <f>'One-Off Entries'!AJ6</f>
        <v>0</v>
      </c>
      <c r="BT5" s="1" t="str">
        <f>'One-Off Entries'!E6</f>
        <v/>
      </c>
      <c r="BV5" s="1" t="str">
        <f>IF(AND(IF(BQ5 = 1, TRUE, FALSE), IF(BR5 = 1, TRUE, FALSE)), VLOOKUP('One-Off Entries'!H6, t_gemLMP1, 2, FALSE), IF(AND(IF(BQ5 = 1, TRUE, FALSE), IF(BR5 = 2, TRUE, FALSE)), VLOOKUP('One-Off Entries'!H6, t_gemLMP2, 2, FALSE), IF(AND(IF(BQ5 = 1, TRUE, FALSE), IF(BR5 = 3, TRUE, FALSE)), VLOOKUP('One-Off Entries'!H6, t_gemLMGTE, 2, FALSE), IF(AND(IF(BQ5 = 1, TRUE, FALSE), IF(BR5 = 4, TRUE, FALSE)), VLOOKUP('One-Off Entries'!H6, t_gemLMGTE, 2, FALSE), IF(AND(IF(BQ5 = 2, TRUE, FALSE), IF(BR5 = 1, TRUE, FALSE)), VLOOKUP('One-Off Entries'!H6, t_nasccDPi, 2, FALSE), IF(AND(IF(BQ5 = 2, TRUE, FALSE), IF(BR5 = 2, TRUE, FALSE)), VLOOKUP('One-Off Entries'!H6, t_nasccLMP2, 2, FALSE), IF(AND(IF(BQ5 = 2, TRUE, FALSE), IF(BR5 = 3, TRUE, FALSE)), VLOOKUP('One-Off Entries'!H6, t_nasccGTLM, 2, FALSE), IF(AND(IF(BQ5 = 2, TRUE, FALSE), IF(BR5 = 4, TRUE, FALSE)), VLOOKUP('One-Off Entries'!H6, t_nasccGTD, 2, FALSE), IF(AND(IF(BQ5 = 2.1, TRUE, FALSE), IF(BR5 = 1, TRUE, FALSE)), VLOOKUP('One-Off Entries'!H6, t_nasccDPi, 2, FALSE), IF(AND(IF(BQ5 = 2.1, TRUE, FALSE), IF(BR5 = 2, TRUE, FALSE)), VLOOKUP('One-Off Entries'!H6, t_nasccLMP2, 2, FALSE), IF(AND(IF(BQ5 = 2.1, TRUE, FALSE), IF(BR5 = 3, TRUE, FALSE)), VLOOKUP('One-Off Entries'!H6, t_nasccGTLM, 2, FALSE), IF(AND(IF(BQ5 = 2.1, TRUE, FALSE), IF(BR5 = 4, TRUE, FALSE)), VLOOKUP('One-Off Entries'!H6, t_nasccGTD, 2, FALSE), IF(AND(IF(BQ5 = 2.2, TRUE, FALSE), IF(BR5 = 1, TRUE, FALSE)), VLOOKUP('One-Off Entries'!H6, t_nasccDPi, 2, FALSE), IF(AND(IF(BQ5 = 2.2, TRUE, FALSE), IF(BR5 = 2, TRUE, FALSE)), VLOOKUP('One-Off Entries'!H6, t_nasccLMP2, 2, FALSE), IF(AND(IF(BQ5 = 2.2, TRUE, FALSE), IF(BR5 = 3, TRUE, FALSE)), VLOOKUP('One-Off Entries'!H6, t_nasccGTLM, 2, FALSE), IF(AND(IF(BQ5 = 2.2, TRUE, FALSE), IF(BR5 = 4, TRUE, FALSE)), VLOOKUP('One-Off Entries'!H6, t_nasccGTD, 2, FALSE), IF(AND(IF(BQ5 = 3, TRUE, FALSE), IF(BR5 = 1, TRUE, FALSE)), VLOOKUP('One-Off Entries'!H6, t_euemLMP2, 2, FALSE), IF(AND(IF(BQ5 = 3, TRUE, FALSE), IF(BR5 = 2, TRUE, FALSE)), VLOOKUP('One-Off Entries'!H6, t_euemLMP3, 2, FALSE), IF(AND(IF(BQ5 = 3, TRUE, FALSE), IF(BR5 = 3, TRUE, FALSE)), VLOOKUP('One-Off Entries'!H6, t_euemLMGTE, 2, FALSE), IF(AND(IF(BQ5 = 4, TRUE, FALSE), IF(BR5 = 1, TRUE, FALSE)), VLOOKUP('One-Off Entries'!H6, t_wgtssGT3, 2, FALSE), IF(AND(IF(BQ5 = 4, TRUE, FALSE), IF(BR5 = 2, TRUE, FALSE)), VLOOKUP('One-Off Entries'!H6, t_wgtssGT4, 2, FALSE), IF(AND(IF(BQ5 = 5, TRUE, FALSE), IF(BR5 = 1, TRUE, FALSE)), VLOOKUP('One-Off Entries'!H6, t_wgtmGT3P, 2, FALSE), IF(AND(IF(BQ5 = 5, TRUE, FALSE), IF(BR5 = 2, TRUE, FALSE)), VLOOKUP('One-Off Entries'!H6, t_wgtmGT3A, 2, FALSE), IF(AND(IF(BQ5 = 5, TRUE, FALSE), IF(BR5 = 3, TRUE, FALSE)), VLOOKUP('One-Off Entries'!H6, t_wgtmGT4, 2, FALSE), IF(AND(IF(BQ5 = 7, TRUE, FALSE), IF(BR5 = 1, TRUE, FALSE)), VLOOKUP('One-Off Entries'!H6, t_asmLMP3, 2, FALSE), IF(AND(IF(BQ5 = 7, TRUE, FALSE), IF(BR5 = 2, TRUE, FALSE)), VLOOKUP('One-Off Entries'!H6, t_asmGT3, 2, FALSE), IF(AND(IF(BQ5 = 7, TRUE, FALSE), IF(BR5 = 3, TRUE, FALSE)), VLOOKUP('One-Off Entries'!H6, t_asmGT4, 2, FALSE), "")))))))))))))))))))))))))))</f>
        <v/>
      </c>
      <c r="BX5" s="1" t="str">
        <f t="shared" ref="BX5:BX39" si="11">IF(CC5 &lt;&gt; "", VLOOKUP(CC5, bronzePayments, 2, FALSE) * BM5, "")</f>
        <v/>
      </c>
      <c r="BY5" s="1" t="str">
        <f t="shared" ref="BY5:BY39" si="12">IF(CC5 &lt;&gt; "", VLOOKUP(CC5, bronzePayments, 2, FALSE) * BM5, "")</f>
        <v/>
      </c>
      <c r="BZ5" s="1" t="str">
        <f t="shared" ref="BZ5:BZ39" si="13">IF(CC5 &lt;&gt; "", VLOOKUP(CC5, bronzePayments, 2, FALSE) * BM5, "")</f>
        <v/>
      </c>
      <c r="CA5" s="1" t="str">
        <f t="shared" ref="CA5:CA39" si="14">IF(CC5 &lt;&gt; "", VLOOKUP(CC5, bronzePayments, 2, FALSE) * 24, "")</f>
        <v/>
      </c>
      <c r="CC5" s="1" t="str">
        <f>'One-Off Entries'!K6</f>
        <v/>
      </c>
      <c r="CD5" s="1">
        <f t="shared" ref="CD5:CD39" si="15">IF(CF5 = 0, 0, IF(CE5 = "General", VLOOKUP(CF5, setupCostsGeneral, 2, FALSE), IF(CE5 = "Aero", VLOOKUP(CF5, setupCostsAero, 2, FALSE), IF(CE5 = "Chassis", VLOOKUP(CF5, setupCostsChassis, 2, FALSE), IF(CE5 = "Front Susp", VLOOKUP(CF5, setupCostsFrontSusp, 2, FALSE), IF(CE5 = "Rear Susp", VLOOKUP(CF5, setupCostsRearSusp, 2, FALSE), IF(CE5 = "Tyres", VLOOKUP(CF5, setupCostsTyres, 2, FALSE))))))))</f>
        <v>0</v>
      </c>
      <c r="CE5" s="1">
        <f>'One-Off Entries'!R6</f>
        <v>0</v>
      </c>
      <c r="CF5" s="1">
        <f>IF('One-Off Entries'!S6 &lt;&gt; "", REPLACE('One-Off Entries'!S6, 1, 1, "Level "), 0)</f>
        <v>0</v>
      </c>
      <c r="CG5" s="1">
        <f t="shared" ref="CG5:CG39" si="16">IF(CI5 = 0, 0, IF(CH5 = "General", VLOOKUP(CI5, setupCostsGeneral, 2, FALSE), IF(CH5 = "Aero", VLOOKUP(CI5, setupCostsAero, 2, FALSE), IF(CH5 = "Chassis", VLOOKUP(CI5, setupCostsChassis, 2, FALSE), IF(CH5 = "Front Susp", VLOOKUP(CI5, setupCostsFrontSusp, 2, FALSE), IF(CH5 = "Rear Susp", VLOOKUP(CI5, setupCostsRearSusp, 2, FALSE), IF(CH5 = "Tyres", VLOOKUP(CI5, setupCostsTyres, 2, FALSE))))))))</f>
        <v>0</v>
      </c>
      <c r="CH5" s="1">
        <f>'One-Off Entries'!T6</f>
        <v>0</v>
      </c>
      <c r="CI5" s="1">
        <f>IF('One-Off Entries'!U6 &lt;&gt; "", REPLACE('One-Off Entries'!U6, 1, 1, "Level "), 0)</f>
        <v>0</v>
      </c>
      <c r="CJ5" s="1">
        <f>IF('One-Off Entries'!V6 &lt;&gt; "", VLOOKUP('One-Off Entries'!V6, setupCostsReliability, 2, FALSE), 0)</f>
        <v>0</v>
      </c>
    </row>
    <row r="6" spans="2:88" ht="18" customHeight="1" x14ac:dyDescent="0.3">
      <c r="B6" s="47" t="s">
        <v>240</v>
      </c>
      <c r="C6" s="47">
        <f>ROUND(SUM(H5:H39), 3)</f>
        <v>0</v>
      </c>
      <c r="D6" s="47" t="str">
        <f t="shared" ref="D6:D10" si="17">CONCATENATE("$", C6, " Million")</f>
        <v>$0 Million</v>
      </c>
      <c r="G6" s="47">
        <f>IF('Car Purchase'!D6 &lt;&gt; "", VLOOKUP('Car Purchase'!D6, modelData, 3, FALSE), "")</f>
        <v>1.5</v>
      </c>
      <c r="H6" s="51">
        <f>IF('Car Purchase'!I6 &lt;&gt; "", VLOOKUP('Car Purchase'!I6, modelData, 4, FALSE) * 'Car Purchase'!J6, "")</f>
        <v>0</v>
      </c>
      <c r="I6" s="2">
        <f>IF('Car Purchase'!I6 &lt;&gt; "", VLOOKUP('Car Purchase'!I6, modelData, 5, FALSE) * 'Car Purchase'!K6, "")</f>
        <v>0</v>
      </c>
      <c r="J6" s="52">
        <f>IF('Car Purchase'!I6 &lt;&gt; "", VLOOKUP('Car Purchase'!I6, modelData, 6, FALSE) * 'Car Purchase'!L6, "")</f>
        <v>0</v>
      </c>
      <c r="M6" s="47" t="str">
        <f t="shared" si="0"/>
        <v/>
      </c>
      <c r="N6" s="47" t="str">
        <f t="shared" ref="N6:N36" si="18">IF(AND(IF(ISERROR(Y6) = FALSE, TRUE, FALSE), IF(Y6 &lt;&gt; "", TRUE, FALSE), IF(ISERROR(Z6) = FALSE, TRUE, FALSE)) = TRUE, Y6 * Z6, "")</f>
        <v/>
      </c>
      <c r="O6" s="47" t="str">
        <f t="shared" si="1"/>
        <v/>
      </c>
      <c r="P6" s="51" t="str">
        <f>IF('Full Season Entries'!K7 &lt;&gt; "", IF('Full Season Entries'!K7 = "Bronze", -AJ6, VLOOKUP('Full Season Entries'!K7, driverCosts, 2, FALSE) * Z6), "")</f>
        <v/>
      </c>
      <c r="Q6" s="2" t="str">
        <f>IF('Full Season Entries'!L7 &lt;&gt; "", IF('Full Season Entries'!L7 = "Bronze", -AK6, VLOOKUP('Full Season Entries'!L7, driverCosts, 2, FALSE) * Z6), "")</f>
        <v/>
      </c>
      <c r="R6" s="2" t="str">
        <f>IF('Full Season Entries'!M7 &lt;&gt; "", IF('Full Season Entries'!M7 = "Bronze", -AL6, IF(AND(AD6 = 2, OR(AF6 = "DPi", AF6 = "GTLM")), VLOOKUP('Full Season Entries'!M7, driverCosts, 2, FALSE) * VLOOKUP(AF6, nasccEcCosts, 3, FALSE), IF(AD6 = 7, VLOOKUP('Full Season Entries'!M7, driverCosts, 2, FALSE) * VLOOKUP("ASM 210 Minutes of CoTA", oneOffs, 3, FALSE), VLOOKUP('Full Season Entries'!M7, driverCosts, 2, FALSE) * Z6))), "")</f>
        <v/>
      </c>
      <c r="S6" s="52" t="str">
        <f>IF('Full Season Entries'!N7 &lt;&gt; "", IF('Full Season Entries'!N7 = "Bronze", -AM6, VLOOKUP('Full Season Entries'!N7, driverCosts, 2, FALSE) * Z6), "")</f>
        <v/>
      </c>
      <c r="T6" s="51">
        <f t="shared" ref="T6:T39" si="19">AQ6</f>
        <v>0</v>
      </c>
      <c r="U6" s="2">
        <f t="shared" ref="U6:U39" si="20">AT6</f>
        <v>0</v>
      </c>
      <c r="V6" s="52">
        <f t="shared" ref="V6:V39" si="21">AW6</f>
        <v>0</v>
      </c>
      <c r="Y6" s="1" t="str">
        <f t="shared" ref="Y6:Y39" si="22">IF(AC6 &lt;&gt; "", VLOOKUP(AC6, modelData, 8, FALSE), "")</f>
        <v/>
      </c>
      <c r="Z6" s="1">
        <f t="shared" ref="Z6:Z39" si="23">IF(AD6 &lt;&gt; "", IF(AD6 = 1, VLOOKUP(AF6, gemCosts, 3, FALSE), IF(AD6 = 2, VLOOKUP(AF6, nasccCosts, 3, FALSE), IF(AD6 = 2.1, VLOOKUP(AF6, nasccScCosts, 3, FALSE), IF(AD6 = 2.2, VLOOKUP(AF6, nasccEcCosts, 3, FALSE), IF(AD6 = 3, VLOOKUP(AF6, euemCosts, 3, FALSE), IF(AD6 = 4, VLOOKUP(AF6, wgtssCosts, 3, FALSE), IF(AD6 = 5, VLOOKUP(AF6, wgtmCosts, 3, FALSE), IF(AD6 = 7, VLOOKUP(AF6, asmCosts, 3, FALSE), 0)))))))))</f>
        <v>0</v>
      </c>
      <c r="AA6" s="1">
        <f t="shared" si="3"/>
        <v>0</v>
      </c>
      <c r="AC6" s="1" t="str">
        <f>'Full Season Entries'!J7</f>
        <v/>
      </c>
      <c r="AD6" s="1">
        <f>'Full Season Entries'!AF7</f>
        <v>0</v>
      </c>
      <c r="AE6" s="1">
        <f>'Full Season Entries'!AG7</f>
        <v>0</v>
      </c>
      <c r="AF6" s="1" t="str">
        <f>'Full Season Entries'!D7</f>
        <v/>
      </c>
      <c r="AH6" s="1" t="str">
        <f>IF(AND(IF(AD6 = 1, TRUE, FALSE), IF(AE6 = 1, TRUE, FALSE)), VLOOKUP('Full Season Entries'!G7, t_gemLMP1, 2, FALSE), IF(AND(IF(AD6 = 1, TRUE, FALSE), IF(AE6 = 2, TRUE, FALSE)), VLOOKUP('Full Season Entries'!G7, t_gemLMP2, 2, FALSE), IF(AND(IF(AD6 = 1, TRUE, FALSE), IF(AE6 = 3, TRUE, FALSE)), VLOOKUP('Full Season Entries'!G7, t_gemLMGTE, 2, FALSE), IF(AND(IF(AD6 = 1, TRUE, FALSE), IF(AE6 = 4, TRUE, FALSE)), VLOOKUP('Full Season Entries'!G7, t_gemLMGTE, 2, FALSE), IF(AND(IF(AD6 = 2, TRUE, FALSE), IF(AE6 = 1, TRUE, FALSE)), VLOOKUP('Full Season Entries'!G7, t_nasccDPi, 2, FALSE), IF(AND(IF(AD6 = 2, TRUE, FALSE), IF(AE6 = 2, TRUE, FALSE)), VLOOKUP('Full Season Entries'!G7, t_nasccLMP2, 2, FALSE), IF(AND(IF(AD6 = 2, TRUE, FALSE), IF(AE6 = 3, TRUE, FALSE)), VLOOKUP('Full Season Entries'!G7, t_nasccGTLM, 2, FALSE), IF(AND(IF(AD6 = 2, TRUE, FALSE), IF(AE6 = 4, TRUE, FALSE)), VLOOKUP('Full Season Entries'!G7, t_nasccGTD, 2, FALSE), IF(AND(IF(AD6 = 2.1, TRUE, FALSE), IF(AE6 = 1, TRUE, FALSE)), VLOOKUP('Full Season Entries'!G7, t_nasccDPi, 2, FALSE), IF(AND(IF(AD6 = 2.1, TRUE, FALSE), IF(AE6 = 2, TRUE, FALSE)), VLOOKUP('Full Season Entries'!G7, t_nasccLMP2, 2, FALSE), IF(AND(IF(AD6 = 2.1, TRUE, FALSE), IF(AE6 = 3, TRUE, FALSE)), VLOOKUP('Full Season Entries'!G7, t_nasccGTLM, 2, FALSE), IF(AND(IF(AD6 = 2.1, TRUE, FALSE), IF(AE6 = 4, TRUE, FALSE)), VLOOKUP('Full Season Entries'!G7, t_nasccGTD, 2, FALSE), IF(AND(IF(AD6 = 2.2, TRUE, FALSE), IF(AE6 = 1, TRUE, FALSE)), VLOOKUP('Full Season Entries'!G7, t_nasccDPi, 2, FALSE), IF(AND(IF(AD6 = 2.2, TRUE, FALSE), IF(AE6 = 2, TRUE, FALSE)), VLOOKUP('Full Season Entries'!G7, t_nasccLMP2, 2, FALSE), IF(AND(IF(AD6 = 2.2, TRUE, FALSE), IF(AE6 = 3, TRUE, FALSE)), VLOOKUP('Full Season Entries'!G7, t_nasccGTLM, 2, FALSE), IF(AND(IF(AD6 = 2.2, TRUE, FALSE), IF(AE6 = 4, TRUE, FALSE)), VLOOKUP('Full Season Entries'!G7, t_nasccGTD, 2, FALSE), IF(AND(IF(AD6 = 3, TRUE, FALSE), IF(AE6 = 1, TRUE, FALSE)), VLOOKUP('Full Season Entries'!G7, t_euemLMP2, 2, FALSE), IF(AND(IF(AD6 = 3, TRUE, FALSE), IF(AE6 = 2, TRUE, FALSE)), VLOOKUP('Full Season Entries'!G7, t_euemLMP3, 2, FALSE), IF(AND(IF(AD6 = 3, TRUE, FALSE), IF(AE6 = 3, TRUE, FALSE)), VLOOKUP('Full Season Entries'!G7, t_euemLMGTE, 2, FALSE), IF(AND(IF(AD6 = 4, TRUE, FALSE), IF(AE6 = 1, TRUE, FALSE)), VLOOKUP('Full Season Entries'!G7, t_wgtssGT3, 2, FALSE), IF(AND(IF(AD6 = 4, TRUE, FALSE), IF(AE6 = 2, TRUE, FALSE)), VLOOKUP('Full Season Entries'!G7, t_wgtssGT4, 2, FALSE), IF(AND(IF(AD6 = 5, TRUE, FALSE), IF(AE6 = 1, TRUE, FALSE)), VLOOKUP('Full Season Entries'!G7, t_wgtmGT3P, 2, FALSE), IF(AND(IF(AD6 = 5, TRUE, FALSE), IF(AE6 = 2, TRUE, FALSE)), VLOOKUP('Full Season Entries'!G7, t_wgtmGT3A, 2, FALSE), IF(AND(IF(AD6 = 5, TRUE, FALSE), IF(AE6 = 3, TRUE, FALSE)), VLOOKUP('Full Season Entries'!G7, t_wgtmGT4, 2, FALSE), IF(AND(IF(AD6 = 7, TRUE, FALSE), IF(AE6 = 1, TRUE, FALSE)), VLOOKUP('Full Season Entries'!G7, t_asmLMP3, 2, FALSE), IF(AND(IF(AD6 = 7, TRUE, FALSE), IF(AE6 = 2, TRUE, FALSE)), VLOOKUP('Full Season Entries'!G7, t_asmGT3, 2, FALSE), IF(AND(IF(AD6 = 7, TRUE, FALSE), IF(AE6 = 3, TRUE, FALSE)), VLOOKUP('Full Season Entries'!G7, t_asmGT4, 2, FALSE), "")))))))))))))))))))))))))))</f>
        <v/>
      </c>
      <c r="AJ6" s="1" t="str">
        <f t="shared" si="4"/>
        <v/>
      </c>
      <c r="AK6" s="1" t="str">
        <f t="shared" si="5"/>
        <v/>
      </c>
      <c r="AL6" s="1" t="str">
        <f t="shared" ref="AL6:AL39" si="24">IF(AO6 &lt;&gt; "", IF(AD6 = 2, VLOOKUP(AF6, nasccEcCosts, 3, FALSE) * VLOOKUP(AO6, bronzePayments, 2, FALSE), IF(AD6 &lt;&gt; 2, VLOOKUP(AO6, bronzePayments, 2, FALSE) * Z6)), "")</f>
        <v/>
      </c>
      <c r="AM6" s="1" t="str">
        <f t="shared" si="6"/>
        <v/>
      </c>
      <c r="AO6" s="1" t="str">
        <f>'Full Season Entries'!I7</f>
        <v/>
      </c>
      <c r="AQ6" s="1">
        <f t="shared" si="7"/>
        <v>0</v>
      </c>
      <c r="AR6" s="1">
        <f>'Full Season Entries'!P7</f>
        <v>0</v>
      </c>
      <c r="AS6" s="1">
        <f>IF('Full Season Entries'!Q7 &lt;&gt; "", REPLACE('Full Season Entries'!Q7, 1, 1, "Level "), 0)</f>
        <v>0</v>
      </c>
      <c r="AT6" s="1">
        <f t="shared" si="8"/>
        <v>0</v>
      </c>
      <c r="AU6" s="1">
        <f>'Full Season Entries'!R7</f>
        <v>0</v>
      </c>
      <c r="AV6" s="1">
        <f>IF('Full Season Entries'!S7 &lt;&gt; "", REPLACE('Full Season Entries'!S7, 1, 1, "Level "), 0)</f>
        <v>0</v>
      </c>
      <c r="AW6" s="1">
        <f>IF('Full Season Entries'!T7 &lt;&gt; "", VLOOKUP('Full Season Entries'!T7, setupCostsReliability, 2, FALSE), 0)</f>
        <v>0</v>
      </c>
      <c r="AZ6" s="47" t="str">
        <f>IF('One-Off Entries'!I7 = "Yes", 0, IF(BQ6 &lt;&gt; "", IF(BQ6 = 1, VLOOKUP(BT6, gemCosts, 5, FALSE), IF(BQ6 = 2, VLOOKUP(BT6, nasccCosts, 5, FALSE), IF(BQ6 = 2.1, VLOOKUP(BT6, nasccScCosts, 5, FALSE), IF(BQ6 = 2.2, VLOOKUP(BT6, nasccEcCosts, 5, FALSE), IF(BQ6 = 3, VLOOKUP(BT6, euemCosts, 5, FALSE), IF(BQ6 = 4, VLOOKUP(BT6, wgtssCosts, 5, FALSE), IF(BQ6 = 5, VLOOKUP(BT6, wgtmCosts, 5, FALSE), IF(BQ6 = 6, VLOOKUP(BT6, wpcCosts, 5, FALSE), IF(BQ6 = 7, VLOOKUP(BT6, asmCosts, 5, FALSE), "")))))))))))</f>
        <v/>
      </c>
      <c r="BA6" s="47" t="str">
        <f t="shared" ref="BA6:BA39" si="25">IF(AND(IF(ISERROR(BQ6) = FALSE, TRUE, FALSE), IF(BL6 &lt;&gt; "", TRUE, FALSE), IF(ISERROR(BM6) = FALSE, TRUE, FALSE)) = TRUE, BL6 * BM6, "")</f>
        <v/>
      </c>
      <c r="BB6" s="47" t="str">
        <f t="shared" ref="BB6:BB39" si="26">IF(ISERROR(BV6), "", BV6)</f>
        <v/>
      </c>
      <c r="BC6" s="51" t="str">
        <f>IF('One-Off Entries'!M7 &lt;&gt; "", IF('One-Off Entries'!M7 = "Bronze", -BX6, VLOOKUP('One-Off Entries'!M7, driverCosts, 2, FALSE) * BM6), "")</f>
        <v/>
      </c>
      <c r="BD6" s="2" t="str">
        <f>IF('One-Off Entries'!N7 &lt;&gt; "", IF('One-Off Entries'!N7 = "Bronze", -BY6, VLOOKUP('One-Off Entries'!N7, driverCosts, 2, FALSE) * BM6), "")</f>
        <v/>
      </c>
      <c r="BE6" s="2" t="str">
        <f>IF('One-Off Entries'!O7 &lt;&gt; "", IF('One-Off Entries'!O7 = "Bronze", -BZ6, VLOOKUP('One-Off Entries'!O7, driverCosts, 2, FALSE) * BM6), "")</f>
        <v/>
      </c>
      <c r="BF6" s="52" t="str">
        <f>IF('One-Off Entries'!P7 &lt;&gt; "", IF('One-Off Entries'!P7 = "Bronze", -CA6, VLOOKUP('One-Off Entries'!P7, driverCosts, 2, FALSE) * BM6), "")</f>
        <v/>
      </c>
      <c r="BG6" s="51">
        <f t="shared" ref="BG6:BG39" si="27">CD6</f>
        <v>0</v>
      </c>
      <c r="BH6" s="2">
        <f t="shared" ref="BH6:BH39" si="28">CG6</f>
        <v>0</v>
      </c>
      <c r="BI6" s="52">
        <f t="shared" ref="BI6:BI39" si="29">CJ6</f>
        <v>0</v>
      </c>
      <c r="BL6" s="1" t="str">
        <f t="shared" si="9"/>
        <v/>
      </c>
      <c r="BM6" s="1" t="str">
        <f t="shared" si="10"/>
        <v/>
      </c>
      <c r="BO6" s="1">
        <f>'One-Off Entries'!C7</f>
        <v>0</v>
      </c>
      <c r="BP6" s="1" t="str">
        <f>'One-Off Entries'!L7</f>
        <v/>
      </c>
      <c r="BQ6" s="1">
        <f>'One-Off Entries'!AI7</f>
        <v>0</v>
      </c>
      <c r="BR6" s="1">
        <f>'One-Off Entries'!AJ7</f>
        <v>0</v>
      </c>
      <c r="BT6" s="1" t="str">
        <f>'One-Off Entries'!E7</f>
        <v/>
      </c>
      <c r="BV6" s="1" t="str">
        <f>IF(AND(IF(BQ6 = 1, TRUE, FALSE), IF(BR6 = 1, TRUE, FALSE)), VLOOKUP('One-Off Entries'!H7, t_gemLMP1, 2, FALSE), IF(AND(IF(BQ6 = 1, TRUE, FALSE), IF(BR6 = 2, TRUE, FALSE)), VLOOKUP('One-Off Entries'!H7, t_gemLMP2, 2, FALSE), IF(AND(IF(BQ6 = 1, TRUE, FALSE), IF(BR6 = 3, TRUE, FALSE)), VLOOKUP('One-Off Entries'!H7, t_gemLMGTE, 2, FALSE), IF(AND(IF(BQ6 = 1, TRUE, FALSE), IF(BR6 = 4, TRUE, FALSE)), VLOOKUP('One-Off Entries'!H7, t_gemLMGTE, 2, FALSE), IF(AND(IF(BQ6 = 2, TRUE, FALSE), IF(BR6 = 1, TRUE, FALSE)), VLOOKUP('One-Off Entries'!H7, t_nasccDPi, 2, FALSE), IF(AND(IF(BQ6 = 2, TRUE, FALSE), IF(BR6 = 2, TRUE, FALSE)), VLOOKUP('One-Off Entries'!H7, t_nasccLMP2, 2, FALSE), IF(AND(IF(BQ6 = 2, TRUE, FALSE), IF(BR6 = 3, TRUE, FALSE)), VLOOKUP('One-Off Entries'!H7, t_nasccGTLM, 2, FALSE), IF(AND(IF(BQ6 = 2, TRUE, FALSE), IF(BR6 = 4, TRUE, FALSE)), VLOOKUP('One-Off Entries'!H7, t_nasccGTD, 2, FALSE), IF(AND(IF(BQ6 = 2.1, TRUE, FALSE), IF(BR6 = 1, TRUE, FALSE)), VLOOKUP('One-Off Entries'!H7, t_nasccDPi, 2, FALSE), IF(AND(IF(BQ6 = 2.1, TRUE, FALSE), IF(BR6 = 2, TRUE, FALSE)), VLOOKUP('One-Off Entries'!H7, t_nasccLMP2, 2, FALSE), IF(AND(IF(BQ6 = 2.1, TRUE, FALSE), IF(BR6 = 3, TRUE, FALSE)), VLOOKUP('One-Off Entries'!H7, t_nasccGTLM, 2, FALSE), IF(AND(IF(BQ6 = 2.1, TRUE, FALSE), IF(BR6 = 4, TRUE, FALSE)), VLOOKUP('One-Off Entries'!H7, t_nasccGTD, 2, FALSE), IF(AND(IF(BQ6 = 2.2, TRUE, FALSE), IF(BR6 = 1, TRUE, FALSE)), VLOOKUP('One-Off Entries'!H7, t_nasccDPi, 2, FALSE), IF(AND(IF(BQ6 = 2.2, TRUE, FALSE), IF(BR6 = 2, TRUE, FALSE)), VLOOKUP('One-Off Entries'!H7, t_nasccLMP2, 2, FALSE), IF(AND(IF(BQ6 = 2.2, TRUE, FALSE), IF(BR6 = 3, TRUE, FALSE)), VLOOKUP('One-Off Entries'!H7, t_nasccGTLM, 2, FALSE), IF(AND(IF(BQ6 = 2.2, TRUE, FALSE), IF(BR6 = 4, TRUE, FALSE)), VLOOKUP('One-Off Entries'!H7, t_nasccGTD, 2, FALSE), IF(AND(IF(BQ6 = 3, TRUE, FALSE), IF(BR6 = 1, TRUE, FALSE)), VLOOKUP('One-Off Entries'!H7, t_euemLMP2, 2, FALSE), IF(AND(IF(BQ6 = 3, TRUE, FALSE), IF(BR6 = 2, TRUE, FALSE)), VLOOKUP('One-Off Entries'!H7, t_euemLMP3, 2, FALSE), IF(AND(IF(BQ6 = 3, TRUE, FALSE), IF(BR6 = 3, TRUE, FALSE)), VLOOKUP('One-Off Entries'!H7, t_euemLMGTE, 2, FALSE), IF(AND(IF(BQ6 = 4, TRUE, FALSE), IF(BR6 = 1, TRUE, FALSE)), VLOOKUP('One-Off Entries'!H7, t_wgtssGT3, 2, FALSE), IF(AND(IF(BQ6 = 4, TRUE, FALSE), IF(BR6 = 2, TRUE, FALSE)), VLOOKUP('One-Off Entries'!H7, t_wgtssGT4, 2, FALSE), IF(AND(IF(BQ6 = 5, TRUE, FALSE), IF(BR6 = 1, TRUE, FALSE)), VLOOKUP('One-Off Entries'!H7, t_wgtmGT3P, 2, FALSE), IF(AND(IF(BQ6 = 5, TRUE, FALSE), IF(BR6 = 2, TRUE, FALSE)), VLOOKUP('One-Off Entries'!H7, t_wgtmGT3A, 2, FALSE), IF(AND(IF(BQ6 = 5, TRUE, FALSE), IF(BR6 = 3, TRUE, FALSE)), VLOOKUP('One-Off Entries'!H7, t_wgtmGT4, 2, FALSE), IF(AND(IF(BQ6 = 7, TRUE, FALSE), IF(BR6 = 1, TRUE, FALSE)), VLOOKUP('One-Off Entries'!H7, t_asmLMP3, 2, FALSE), IF(AND(IF(BQ6 = 7, TRUE, FALSE), IF(BR6 = 2, TRUE, FALSE)), VLOOKUP('One-Off Entries'!H7, t_asmGT3, 2, FALSE), IF(AND(IF(BQ6 = 7, TRUE, FALSE), IF(BR6 = 3, TRUE, FALSE)), VLOOKUP('One-Off Entries'!H7, t_asmGT4, 2, FALSE), "")))))))))))))))))))))))))))</f>
        <v/>
      </c>
      <c r="BX6" s="1" t="str">
        <f t="shared" si="11"/>
        <v/>
      </c>
      <c r="BY6" s="1" t="str">
        <f t="shared" si="12"/>
        <v/>
      </c>
      <c r="BZ6" s="1" t="str">
        <f t="shared" si="13"/>
        <v/>
      </c>
      <c r="CA6" s="1" t="str">
        <f t="shared" si="14"/>
        <v/>
      </c>
      <c r="CC6" s="1" t="str">
        <f>'One-Off Entries'!K7</f>
        <v/>
      </c>
      <c r="CD6" s="1">
        <f t="shared" si="15"/>
        <v>0</v>
      </c>
      <c r="CE6" s="1">
        <f>'One-Off Entries'!R7</f>
        <v>0</v>
      </c>
      <c r="CF6" s="1">
        <f>IF('One-Off Entries'!S7 &lt;&gt; "", REPLACE('One-Off Entries'!S7, 1, 1, "Level "), 0)</f>
        <v>0</v>
      </c>
      <c r="CG6" s="1">
        <f t="shared" si="16"/>
        <v>0</v>
      </c>
      <c r="CH6" s="1">
        <f>'One-Off Entries'!T7</f>
        <v>0</v>
      </c>
      <c r="CI6" s="1">
        <f>IF('One-Off Entries'!U7 &lt;&gt; "", REPLACE('One-Off Entries'!U7, 1, 1, "Level "), 0)</f>
        <v>0</v>
      </c>
      <c r="CJ6" s="1">
        <f>IF('One-Off Entries'!V7 &lt;&gt; "", VLOOKUP('One-Off Entries'!V7, setupCostsReliability, 2, FALSE), 0)</f>
        <v>0</v>
      </c>
    </row>
    <row r="7" spans="2:88" ht="18" customHeight="1" x14ac:dyDescent="0.3">
      <c r="B7" s="47" t="s">
        <v>242</v>
      </c>
      <c r="C7" s="47">
        <f>ROUND(SUM(I5:I39), 3)</f>
        <v>0</v>
      </c>
      <c r="D7" s="47" t="str">
        <f t="shared" si="17"/>
        <v>$0 Million</v>
      </c>
      <c r="G7" s="47">
        <f>IF('Car Purchase'!D7 &lt;&gt; "", VLOOKUP('Car Purchase'!D7, modelData, 3, FALSE), "")</f>
        <v>1.5</v>
      </c>
      <c r="H7" s="51">
        <f>IF('Car Purchase'!I7 &lt;&gt; "", VLOOKUP('Car Purchase'!I7, modelData, 4, FALSE) * 'Car Purchase'!J7, "")</f>
        <v>0</v>
      </c>
      <c r="I7" s="2">
        <f>IF('Car Purchase'!I7 &lt;&gt; "", VLOOKUP('Car Purchase'!I7, modelData, 5, FALSE) * 'Car Purchase'!K7, "")</f>
        <v>0</v>
      </c>
      <c r="J7" s="52">
        <f>IF('Car Purchase'!I7 &lt;&gt; "", VLOOKUP('Car Purchase'!I7, modelData, 6, FALSE) * 'Car Purchase'!L7, "")</f>
        <v>0</v>
      </c>
      <c r="M7" s="47" t="str">
        <f t="shared" si="0"/>
        <v/>
      </c>
      <c r="N7" s="47" t="str">
        <f t="shared" si="18"/>
        <v/>
      </c>
      <c r="O7" s="47" t="str">
        <f t="shared" si="1"/>
        <v/>
      </c>
      <c r="P7" s="51" t="str">
        <f>IF('Full Season Entries'!K8 &lt;&gt; "", IF('Full Season Entries'!K8 = "Bronze", -AJ7, VLOOKUP('Full Season Entries'!K8, driverCosts, 2, FALSE) * Z7), "")</f>
        <v/>
      </c>
      <c r="Q7" s="2" t="str">
        <f>IF('Full Season Entries'!L8 &lt;&gt; "", IF('Full Season Entries'!L8 = "Bronze", -AK7, VLOOKUP('Full Season Entries'!L8, driverCosts, 2, FALSE) * Z7), "")</f>
        <v/>
      </c>
      <c r="R7" s="2" t="str">
        <f>IF('Full Season Entries'!M8 &lt;&gt; "", IF('Full Season Entries'!M8 = "Bronze", -AL7, IF(AND(AD7 = 2, OR(AF7 = "DPi", AF7 = "GTLM")), VLOOKUP('Full Season Entries'!M8, driverCosts, 2, FALSE) * VLOOKUP(AF7, nasccEcCosts, 3, FALSE), IF(AD7 = 7, VLOOKUP('Full Season Entries'!M8, driverCosts, 2, FALSE) * VLOOKUP("ASM 210 Minutes of CoTA", oneOffs, 3, FALSE), VLOOKUP('Full Season Entries'!M8, driverCosts, 2, FALSE) * Z7))), "")</f>
        <v/>
      </c>
      <c r="S7" s="52" t="str">
        <f>IF('Full Season Entries'!N8 &lt;&gt; "", IF('Full Season Entries'!N8 = "Bronze", -AM7, VLOOKUP('Full Season Entries'!N8, driverCosts, 2, FALSE) * Z7), "")</f>
        <v/>
      </c>
      <c r="T7" s="51">
        <f t="shared" si="19"/>
        <v>0</v>
      </c>
      <c r="U7" s="2">
        <f t="shared" si="20"/>
        <v>0</v>
      </c>
      <c r="V7" s="52">
        <f t="shared" si="21"/>
        <v>0</v>
      </c>
      <c r="Y7" s="1" t="str">
        <f t="shared" si="22"/>
        <v/>
      </c>
      <c r="Z7" s="1">
        <f t="shared" si="23"/>
        <v>0</v>
      </c>
      <c r="AA7" s="1">
        <f t="shared" si="3"/>
        <v>0</v>
      </c>
      <c r="AC7" s="1" t="str">
        <f>'Full Season Entries'!J8</f>
        <v/>
      </c>
      <c r="AD7" s="1">
        <f>'Full Season Entries'!AF8</f>
        <v>0</v>
      </c>
      <c r="AE7" s="1">
        <f>'Full Season Entries'!AG8</f>
        <v>0</v>
      </c>
      <c r="AF7" s="1" t="str">
        <f>'Full Season Entries'!D8</f>
        <v/>
      </c>
      <c r="AH7" s="1" t="str">
        <f>IF(AND(IF(AD7 = 1, TRUE, FALSE), IF(AE7 = 1, TRUE, FALSE)), VLOOKUP('Full Season Entries'!G8, t_gemLMP1, 2, FALSE), IF(AND(IF(AD7 = 1, TRUE, FALSE), IF(AE7 = 2, TRUE, FALSE)), VLOOKUP('Full Season Entries'!G8, t_gemLMP2, 2, FALSE), IF(AND(IF(AD7 = 1, TRUE, FALSE), IF(AE7 = 3, TRUE, FALSE)), VLOOKUP('Full Season Entries'!G8, t_gemLMGTE, 2, FALSE), IF(AND(IF(AD7 = 1, TRUE, FALSE), IF(AE7 = 4, TRUE, FALSE)), VLOOKUP('Full Season Entries'!G8, t_gemLMGTE, 2, FALSE), IF(AND(IF(AD7 = 2, TRUE, FALSE), IF(AE7 = 1, TRUE, FALSE)), VLOOKUP('Full Season Entries'!G8, t_nasccDPi, 2, FALSE), IF(AND(IF(AD7 = 2, TRUE, FALSE), IF(AE7 = 2, TRUE, FALSE)), VLOOKUP('Full Season Entries'!G8, t_nasccLMP2, 2, FALSE), IF(AND(IF(AD7 = 2, TRUE, FALSE), IF(AE7 = 3, TRUE, FALSE)), VLOOKUP('Full Season Entries'!G8, t_nasccGTLM, 2, FALSE), IF(AND(IF(AD7 = 2, TRUE, FALSE), IF(AE7 = 4, TRUE, FALSE)), VLOOKUP('Full Season Entries'!G8, t_nasccGTD, 2, FALSE), IF(AND(IF(AD7 = 2.1, TRUE, FALSE), IF(AE7 = 1, TRUE, FALSE)), VLOOKUP('Full Season Entries'!G8, t_nasccDPi, 2, FALSE), IF(AND(IF(AD7 = 2.1, TRUE, FALSE), IF(AE7 = 2, TRUE, FALSE)), VLOOKUP('Full Season Entries'!G8, t_nasccLMP2, 2, FALSE), IF(AND(IF(AD7 = 2.1, TRUE, FALSE), IF(AE7 = 3, TRUE, FALSE)), VLOOKUP('Full Season Entries'!G8, t_nasccGTLM, 2, FALSE), IF(AND(IF(AD7 = 2.1, TRUE, FALSE), IF(AE7 = 4, TRUE, FALSE)), VLOOKUP('Full Season Entries'!G8, t_nasccGTD, 2, FALSE), IF(AND(IF(AD7 = 2.2, TRUE, FALSE), IF(AE7 = 1, TRUE, FALSE)), VLOOKUP('Full Season Entries'!G8, t_nasccDPi, 2, FALSE), IF(AND(IF(AD7 = 2.2, TRUE, FALSE), IF(AE7 = 2, TRUE, FALSE)), VLOOKUP('Full Season Entries'!G8, t_nasccLMP2, 2, FALSE), IF(AND(IF(AD7 = 2.2, TRUE, FALSE), IF(AE7 = 3, TRUE, FALSE)), VLOOKUP('Full Season Entries'!G8, t_nasccGTLM, 2, FALSE), IF(AND(IF(AD7 = 2.2, TRUE, FALSE), IF(AE7 = 4, TRUE, FALSE)), VLOOKUP('Full Season Entries'!G8, t_nasccGTD, 2, FALSE), IF(AND(IF(AD7 = 3, TRUE, FALSE), IF(AE7 = 1, TRUE, FALSE)), VLOOKUP('Full Season Entries'!G8, t_euemLMP2, 2, FALSE), IF(AND(IF(AD7 = 3, TRUE, FALSE), IF(AE7 = 2, TRUE, FALSE)), VLOOKUP('Full Season Entries'!G8, t_euemLMP3, 2, FALSE), IF(AND(IF(AD7 = 3, TRUE, FALSE), IF(AE7 = 3, TRUE, FALSE)), VLOOKUP('Full Season Entries'!G8, t_euemLMGTE, 2, FALSE), IF(AND(IF(AD7 = 4, TRUE, FALSE), IF(AE7 = 1, TRUE, FALSE)), VLOOKUP('Full Season Entries'!G8, t_wgtssGT3, 2, FALSE), IF(AND(IF(AD7 = 4, TRUE, FALSE), IF(AE7 = 2, TRUE, FALSE)), VLOOKUP('Full Season Entries'!G8, t_wgtssGT4, 2, FALSE), IF(AND(IF(AD7 = 5, TRUE, FALSE), IF(AE7 = 1, TRUE, FALSE)), VLOOKUP('Full Season Entries'!G8, t_wgtmGT3P, 2, FALSE), IF(AND(IF(AD7 = 5, TRUE, FALSE), IF(AE7 = 2, TRUE, FALSE)), VLOOKUP('Full Season Entries'!G8, t_wgtmGT3A, 2, FALSE), IF(AND(IF(AD7 = 5, TRUE, FALSE), IF(AE7 = 3, TRUE, FALSE)), VLOOKUP('Full Season Entries'!G8, t_wgtmGT4, 2, FALSE), IF(AND(IF(AD7 = 7, TRUE, FALSE), IF(AE7 = 1, TRUE, FALSE)), VLOOKUP('Full Season Entries'!G8, t_asmLMP3, 2, FALSE), IF(AND(IF(AD7 = 7, TRUE, FALSE), IF(AE7 = 2, TRUE, FALSE)), VLOOKUP('Full Season Entries'!G8, t_asmGT3, 2, FALSE), IF(AND(IF(AD7 = 7, TRUE, FALSE), IF(AE7 = 3, TRUE, FALSE)), VLOOKUP('Full Season Entries'!G8, t_asmGT4, 2, FALSE), "")))))))))))))))))))))))))))</f>
        <v/>
      </c>
      <c r="AJ7" s="1" t="str">
        <f t="shared" si="4"/>
        <v/>
      </c>
      <c r="AK7" s="1" t="str">
        <f t="shared" si="5"/>
        <v/>
      </c>
      <c r="AL7" s="1" t="str">
        <f t="shared" si="24"/>
        <v/>
      </c>
      <c r="AM7" s="1" t="str">
        <f t="shared" si="6"/>
        <v/>
      </c>
      <c r="AO7" s="1" t="str">
        <f>'Full Season Entries'!I8</f>
        <v/>
      </c>
      <c r="AQ7" s="1">
        <f t="shared" si="7"/>
        <v>0</v>
      </c>
      <c r="AR7" s="1">
        <f>'Full Season Entries'!P8</f>
        <v>0</v>
      </c>
      <c r="AS7" s="1">
        <f>IF('Full Season Entries'!Q8 &lt;&gt; "", REPLACE('Full Season Entries'!Q8, 1, 1, "Level "), 0)</f>
        <v>0</v>
      </c>
      <c r="AT7" s="1">
        <f t="shared" si="8"/>
        <v>0</v>
      </c>
      <c r="AU7" s="1">
        <f>'Full Season Entries'!R8</f>
        <v>0</v>
      </c>
      <c r="AV7" s="1">
        <f>IF('Full Season Entries'!S8 &lt;&gt; "", REPLACE('Full Season Entries'!S8, 1, 1, "Level "), 0)</f>
        <v>0</v>
      </c>
      <c r="AW7" s="1">
        <f>IF('Full Season Entries'!T8 &lt;&gt; "", VLOOKUP('Full Season Entries'!T8, setupCostsReliability, 2, FALSE), 0)</f>
        <v>0</v>
      </c>
      <c r="AZ7" s="47" t="str">
        <f>IF('One-Off Entries'!I8 = "Yes", 0, IF(BQ7 &lt;&gt; "", IF(BQ7 = 1, VLOOKUP(BT7, gemCosts, 5, FALSE), IF(BQ7 = 2, VLOOKUP(BT7, nasccCosts, 5, FALSE), IF(BQ7 = 2.1, VLOOKUP(BT7, nasccScCosts, 5, FALSE), IF(BQ7 = 2.2, VLOOKUP(BT7, nasccEcCosts, 5, FALSE), IF(BQ7 = 3, VLOOKUP(BT7, euemCosts, 5, FALSE), IF(BQ7 = 4, VLOOKUP(BT7, wgtssCosts, 5, FALSE), IF(BQ7 = 5, VLOOKUP(BT7, wgtmCosts, 5, FALSE), IF(BQ7 = 6, VLOOKUP(BT7, wpcCosts, 5, FALSE), IF(BQ7 = 7, VLOOKUP(BT7, asmCosts, 5, FALSE), "")))))))))))</f>
        <v/>
      </c>
      <c r="BA7" s="47" t="str">
        <f t="shared" si="25"/>
        <v/>
      </c>
      <c r="BB7" s="47" t="str">
        <f t="shared" si="26"/>
        <v/>
      </c>
      <c r="BC7" s="51" t="str">
        <f>IF('One-Off Entries'!M8 &lt;&gt; "", IF('One-Off Entries'!M8 = "Bronze", -BX7, VLOOKUP('One-Off Entries'!M8, driverCosts, 2, FALSE) * BM7), "")</f>
        <v/>
      </c>
      <c r="BD7" s="2" t="str">
        <f>IF('One-Off Entries'!N8 &lt;&gt; "", IF('One-Off Entries'!N8 = "Bronze", -BY7, VLOOKUP('One-Off Entries'!N8, driverCosts, 2, FALSE) * BM7), "")</f>
        <v/>
      </c>
      <c r="BE7" s="2" t="str">
        <f>IF('One-Off Entries'!O8 &lt;&gt; "", IF('One-Off Entries'!O8 = "Bronze", -BZ7, VLOOKUP('One-Off Entries'!O8, driverCosts, 2, FALSE) * BM7), "")</f>
        <v/>
      </c>
      <c r="BF7" s="52" t="str">
        <f>IF('One-Off Entries'!P8 &lt;&gt; "", IF('One-Off Entries'!P8 = "Bronze", -CA7, VLOOKUP('One-Off Entries'!P8, driverCosts, 2, FALSE) * BM7), "")</f>
        <v/>
      </c>
      <c r="BG7" s="51">
        <f t="shared" si="27"/>
        <v>0</v>
      </c>
      <c r="BH7" s="2">
        <f t="shared" si="28"/>
        <v>0</v>
      </c>
      <c r="BI7" s="52">
        <f t="shared" si="29"/>
        <v>0</v>
      </c>
      <c r="BL7" s="1" t="str">
        <f t="shared" si="9"/>
        <v/>
      </c>
      <c r="BM7" s="1" t="str">
        <f t="shared" si="10"/>
        <v/>
      </c>
      <c r="BO7" s="1">
        <f>'One-Off Entries'!C8</f>
        <v>0</v>
      </c>
      <c r="BP7" s="1" t="str">
        <f>'One-Off Entries'!L8</f>
        <v/>
      </c>
      <c r="BQ7" s="1">
        <f>'One-Off Entries'!AI8</f>
        <v>0</v>
      </c>
      <c r="BR7" s="1">
        <f>'One-Off Entries'!AJ8</f>
        <v>0</v>
      </c>
      <c r="BT7" s="1" t="str">
        <f>'One-Off Entries'!E8</f>
        <v/>
      </c>
      <c r="BV7" s="1" t="str">
        <f>IF(AND(IF(BQ7 = 1, TRUE, FALSE), IF(BR7 = 1, TRUE, FALSE)), VLOOKUP('One-Off Entries'!H8, t_gemLMP1, 2, FALSE), IF(AND(IF(BQ7 = 1, TRUE, FALSE), IF(BR7 = 2, TRUE, FALSE)), VLOOKUP('One-Off Entries'!H8, t_gemLMP2, 2, FALSE), IF(AND(IF(BQ7 = 1, TRUE, FALSE), IF(BR7 = 3, TRUE, FALSE)), VLOOKUP('One-Off Entries'!H8, t_gemLMGTE, 2, FALSE), IF(AND(IF(BQ7 = 1, TRUE, FALSE), IF(BR7 = 4, TRUE, FALSE)), VLOOKUP('One-Off Entries'!H8, t_gemLMGTE, 2, FALSE), IF(AND(IF(BQ7 = 2, TRUE, FALSE), IF(BR7 = 1, TRUE, FALSE)), VLOOKUP('One-Off Entries'!H8, t_nasccDPi, 2, FALSE), IF(AND(IF(BQ7 = 2, TRUE, FALSE), IF(BR7 = 2, TRUE, FALSE)), VLOOKUP('One-Off Entries'!H8, t_nasccLMP2, 2, FALSE), IF(AND(IF(BQ7 = 2, TRUE, FALSE), IF(BR7 = 3, TRUE, FALSE)), VLOOKUP('One-Off Entries'!H8, t_nasccGTLM, 2, FALSE), IF(AND(IF(BQ7 = 2, TRUE, FALSE), IF(BR7 = 4, TRUE, FALSE)), VLOOKUP('One-Off Entries'!H8, t_nasccGTD, 2, FALSE), IF(AND(IF(BQ7 = 2.1, TRUE, FALSE), IF(BR7 = 1, TRUE, FALSE)), VLOOKUP('One-Off Entries'!H8, t_nasccDPi, 2, FALSE), IF(AND(IF(BQ7 = 2.1, TRUE, FALSE), IF(BR7 = 2, TRUE, FALSE)), VLOOKUP('One-Off Entries'!H8, t_nasccLMP2, 2, FALSE), IF(AND(IF(BQ7 = 2.1, TRUE, FALSE), IF(BR7 = 3, TRUE, FALSE)), VLOOKUP('One-Off Entries'!H8, t_nasccGTLM, 2, FALSE), IF(AND(IF(BQ7 = 2.1, TRUE, FALSE), IF(BR7 = 4, TRUE, FALSE)), VLOOKUP('One-Off Entries'!H8, t_nasccGTD, 2, FALSE), IF(AND(IF(BQ7 = 2.2, TRUE, FALSE), IF(BR7 = 1, TRUE, FALSE)), VLOOKUP('One-Off Entries'!H8, t_nasccDPi, 2, FALSE), IF(AND(IF(BQ7 = 2.2, TRUE, FALSE), IF(BR7 = 2, TRUE, FALSE)), VLOOKUP('One-Off Entries'!H8, t_nasccLMP2, 2, FALSE), IF(AND(IF(BQ7 = 2.2, TRUE, FALSE), IF(BR7 = 3, TRUE, FALSE)), VLOOKUP('One-Off Entries'!H8, t_nasccGTLM, 2, FALSE), IF(AND(IF(BQ7 = 2.2, TRUE, FALSE), IF(BR7 = 4, TRUE, FALSE)), VLOOKUP('One-Off Entries'!H8, t_nasccGTD, 2, FALSE), IF(AND(IF(BQ7 = 3, TRUE, FALSE), IF(BR7 = 1, TRUE, FALSE)), VLOOKUP('One-Off Entries'!H8, t_euemLMP2, 2, FALSE), IF(AND(IF(BQ7 = 3, TRUE, FALSE), IF(BR7 = 2, TRUE, FALSE)), VLOOKUP('One-Off Entries'!H8, t_euemLMP3, 2, FALSE), IF(AND(IF(BQ7 = 3, TRUE, FALSE), IF(BR7 = 3, TRUE, FALSE)), VLOOKUP('One-Off Entries'!H8, t_euemLMGTE, 2, FALSE), IF(AND(IF(BQ7 = 4, TRUE, FALSE), IF(BR7 = 1, TRUE, FALSE)), VLOOKUP('One-Off Entries'!H8, t_wgtssGT3, 2, FALSE), IF(AND(IF(BQ7 = 4, TRUE, FALSE), IF(BR7 = 2, TRUE, FALSE)), VLOOKUP('One-Off Entries'!H8, t_wgtssGT4, 2, FALSE), IF(AND(IF(BQ7 = 5, TRUE, FALSE), IF(BR7 = 1, TRUE, FALSE)), VLOOKUP('One-Off Entries'!H8, t_wgtmGT3P, 2, FALSE), IF(AND(IF(BQ7 = 5, TRUE, FALSE), IF(BR7 = 2, TRUE, FALSE)), VLOOKUP('One-Off Entries'!H8, t_wgtmGT3A, 2, FALSE), IF(AND(IF(BQ7 = 5, TRUE, FALSE), IF(BR7 = 3, TRUE, FALSE)), VLOOKUP('One-Off Entries'!H8, t_wgtmGT4, 2, FALSE), IF(AND(IF(BQ7 = 7, TRUE, FALSE), IF(BR7 = 1, TRUE, FALSE)), VLOOKUP('One-Off Entries'!H8, t_asmLMP3, 2, FALSE), IF(AND(IF(BQ7 = 7, TRUE, FALSE), IF(BR7 = 2, TRUE, FALSE)), VLOOKUP('One-Off Entries'!H8, t_asmGT3, 2, FALSE), IF(AND(IF(BQ7 = 7, TRUE, FALSE), IF(BR7 = 3, TRUE, FALSE)), VLOOKUP('One-Off Entries'!H8, t_asmGT4, 2, FALSE), "")))))))))))))))))))))))))))</f>
        <v/>
      </c>
      <c r="BX7" s="1" t="str">
        <f t="shared" si="11"/>
        <v/>
      </c>
      <c r="BY7" s="1" t="str">
        <f t="shared" si="12"/>
        <v/>
      </c>
      <c r="BZ7" s="1" t="str">
        <f t="shared" si="13"/>
        <v/>
      </c>
      <c r="CA7" s="1" t="str">
        <f t="shared" si="14"/>
        <v/>
      </c>
      <c r="CC7" s="1" t="str">
        <f>'One-Off Entries'!K8</f>
        <v/>
      </c>
      <c r="CD7" s="1">
        <f t="shared" si="15"/>
        <v>0</v>
      </c>
      <c r="CE7" s="1">
        <f>'One-Off Entries'!R8</f>
        <v>0</v>
      </c>
      <c r="CF7" s="1">
        <f>IF('One-Off Entries'!S8 &lt;&gt; "", REPLACE('One-Off Entries'!S8, 1, 1, "Level "), 0)</f>
        <v>0</v>
      </c>
      <c r="CG7" s="1">
        <f t="shared" si="16"/>
        <v>0</v>
      </c>
      <c r="CH7" s="1">
        <f>'One-Off Entries'!T8</f>
        <v>0</v>
      </c>
      <c r="CI7" s="1">
        <f>IF('One-Off Entries'!U8 &lt;&gt; "", REPLACE('One-Off Entries'!U8, 1, 1, "Level "), 0)</f>
        <v>0</v>
      </c>
      <c r="CJ7" s="1">
        <f>IF('One-Off Entries'!V8 &lt;&gt; "", VLOOKUP('One-Off Entries'!V8, setupCostsReliability, 2, FALSE), 0)</f>
        <v>0</v>
      </c>
    </row>
    <row r="8" spans="2:88" ht="18" customHeight="1" x14ac:dyDescent="0.3">
      <c r="B8" s="47" t="s">
        <v>241</v>
      </c>
      <c r="C8" s="47">
        <f>ROUND(SUM(J5:J39), 3)</f>
        <v>0</v>
      </c>
      <c r="D8" s="47" t="str">
        <f t="shared" si="17"/>
        <v>$0 Million</v>
      </c>
      <c r="G8" s="47">
        <f>IF('Car Purchase'!D8 &lt;&gt; "", VLOOKUP('Car Purchase'!D8, modelData, 3, FALSE), "")</f>
        <v>1.5</v>
      </c>
      <c r="H8" s="51">
        <f>IF('Car Purchase'!I8 &lt;&gt; "", VLOOKUP('Car Purchase'!I8, modelData, 4, FALSE) * 'Car Purchase'!J8, "")</f>
        <v>0</v>
      </c>
      <c r="I8" s="2">
        <f>IF('Car Purchase'!I8 &lt;&gt; "", VLOOKUP('Car Purchase'!I8, modelData, 5, FALSE) * 'Car Purchase'!K8, "")</f>
        <v>0</v>
      </c>
      <c r="J8" s="52">
        <f>IF('Car Purchase'!I8 &lt;&gt; "", VLOOKUP('Car Purchase'!I8, modelData, 6, FALSE) * 'Car Purchase'!L8, "")</f>
        <v>0</v>
      </c>
      <c r="M8" s="47" t="str">
        <f t="shared" si="0"/>
        <v/>
      </c>
      <c r="N8" s="47" t="str">
        <f t="shared" si="18"/>
        <v/>
      </c>
      <c r="O8" s="47" t="str">
        <f t="shared" si="1"/>
        <v/>
      </c>
      <c r="P8" s="51" t="str">
        <f>IF('Full Season Entries'!K9 &lt;&gt; "", IF('Full Season Entries'!K9 = "Bronze", -AJ8, VLOOKUP('Full Season Entries'!K9, driverCosts, 2, FALSE) * Z8), "")</f>
        <v/>
      </c>
      <c r="Q8" s="2" t="str">
        <f>IF('Full Season Entries'!L9 &lt;&gt; "", IF('Full Season Entries'!L9 = "Bronze", -AK8, VLOOKUP('Full Season Entries'!L9, driverCosts, 2, FALSE) * Z8), "")</f>
        <v/>
      </c>
      <c r="R8" s="2" t="str">
        <f>IF('Full Season Entries'!M9 &lt;&gt; "", IF('Full Season Entries'!M9 = "Bronze", -AL8, IF(AND(AD8 = 2, OR(AF8 = "DPi", AF8 = "GTLM")), VLOOKUP('Full Season Entries'!M9, driverCosts, 2, FALSE) * VLOOKUP(AF8, nasccEcCosts, 3, FALSE), IF(AD8 = 7, VLOOKUP('Full Season Entries'!M9, driverCosts, 2, FALSE) * VLOOKUP("ASM 210 Minutes of CoTA", oneOffs, 3, FALSE), VLOOKUP('Full Season Entries'!M9, driverCosts, 2, FALSE) * Z8))), "")</f>
        <v/>
      </c>
      <c r="S8" s="52" t="str">
        <f>IF('Full Season Entries'!N9 &lt;&gt; "", IF('Full Season Entries'!N9 = "Bronze", -AM8, VLOOKUP('Full Season Entries'!N9, driverCosts, 2, FALSE) * Z8), "")</f>
        <v/>
      </c>
      <c r="T8" s="51">
        <f t="shared" si="19"/>
        <v>0</v>
      </c>
      <c r="U8" s="2">
        <f t="shared" si="20"/>
        <v>0</v>
      </c>
      <c r="V8" s="52">
        <f t="shared" si="21"/>
        <v>0</v>
      </c>
      <c r="Y8" s="1" t="str">
        <f t="shared" si="22"/>
        <v/>
      </c>
      <c r="Z8" s="1">
        <f t="shared" si="23"/>
        <v>0</v>
      </c>
      <c r="AA8" s="1">
        <f t="shared" si="3"/>
        <v>0</v>
      </c>
      <c r="AC8" s="1" t="str">
        <f>'Full Season Entries'!J9</f>
        <v/>
      </c>
      <c r="AD8" s="1">
        <f>'Full Season Entries'!AF9</f>
        <v>0</v>
      </c>
      <c r="AE8" s="1">
        <f>'Full Season Entries'!AG9</f>
        <v>0</v>
      </c>
      <c r="AF8" s="1" t="str">
        <f>'Full Season Entries'!D9</f>
        <v/>
      </c>
      <c r="AH8" s="1" t="str">
        <f>IF(AND(IF(AD8 = 1, TRUE, FALSE), IF(AE8 = 1, TRUE, FALSE)), VLOOKUP('Full Season Entries'!G9, t_gemLMP1, 2, FALSE), IF(AND(IF(AD8 = 1, TRUE, FALSE), IF(AE8 = 2, TRUE, FALSE)), VLOOKUP('Full Season Entries'!G9, t_gemLMP2, 2, FALSE), IF(AND(IF(AD8 = 1, TRUE, FALSE), IF(AE8 = 3, TRUE, FALSE)), VLOOKUP('Full Season Entries'!G9, t_gemLMGTE, 2, FALSE), IF(AND(IF(AD8 = 1, TRUE, FALSE), IF(AE8 = 4, TRUE, FALSE)), VLOOKUP('Full Season Entries'!G9, t_gemLMGTE, 2, FALSE), IF(AND(IF(AD8 = 2, TRUE, FALSE), IF(AE8 = 1, TRUE, FALSE)), VLOOKUP('Full Season Entries'!G9, t_nasccDPi, 2, FALSE), IF(AND(IF(AD8 = 2, TRUE, FALSE), IF(AE8 = 2, TRUE, FALSE)), VLOOKUP('Full Season Entries'!G9, t_nasccLMP2, 2, FALSE), IF(AND(IF(AD8 = 2, TRUE, FALSE), IF(AE8 = 3, TRUE, FALSE)), VLOOKUP('Full Season Entries'!G9, t_nasccGTLM, 2, FALSE), IF(AND(IF(AD8 = 2, TRUE, FALSE), IF(AE8 = 4, TRUE, FALSE)), VLOOKUP('Full Season Entries'!G9, t_nasccGTD, 2, FALSE), IF(AND(IF(AD8 = 2.1, TRUE, FALSE), IF(AE8 = 1, TRUE, FALSE)), VLOOKUP('Full Season Entries'!G9, t_nasccDPi, 2, FALSE), IF(AND(IF(AD8 = 2.1, TRUE, FALSE), IF(AE8 = 2, TRUE, FALSE)), VLOOKUP('Full Season Entries'!G9, t_nasccLMP2, 2, FALSE), IF(AND(IF(AD8 = 2.1, TRUE, FALSE), IF(AE8 = 3, TRUE, FALSE)), VLOOKUP('Full Season Entries'!G9, t_nasccGTLM, 2, FALSE), IF(AND(IF(AD8 = 2.1, TRUE, FALSE), IF(AE8 = 4, TRUE, FALSE)), VLOOKUP('Full Season Entries'!G9, t_nasccGTD, 2, FALSE), IF(AND(IF(AD8 = 2.2, TRUE, FALSE), IF(AE8 = 1, TRUE, FALSE)), VLOOKUP('Full Season Entries'!G9, t_nasccDPi, 2, FALSE), IF(AND(IF(AD8 = 2.2, TRUE, FALSE), IF(AE8 = 2, TRUE, FALSE)), VLOOKUP('Full Season Entries'!G9, t_nasccLMP2, 2, FALSE), IF(AND(IF(AD8 = 2.2, TRUE, FALSE), IF(AE8 = 3, TRUE, FALSE)), VLOOKUP('Full Season Entries'!G9, t_nasccGTLM, 2, FALSE), IF(AND(IF(AD8 = 2.2, TRUE, FALSE), IF(AE8 = 4, TRUE, FALSE)), VLOOKUP('Full Season Entries'!G9, t_nasccGTD, 2, FALSE), IF(AND(IF(AD8 = 3, TRUE, FALSE), IF(AE8 = 1, TRUE, FALSE)), VLOOKUP('Full Season Entries'!G9, t_euemLMP2, 2, FALSE), IF(AND(IF(AD8 = 3, TRUE, FALSE), IF(AE8 = 2, TRUE, FALSE)), VLOOKUP('Full Season Entries'!G9, t_euemLMP3, 2, FALSE), IF(AND(IF(AD8 = 3, TRUE, FALSE), IF(AE8 = 3, TRUE, FALSE)), VLOOKUP('Full Season Entries'!G9, t_euemLMGTE, 2, FALSE), IF(AND(IF(AD8 = 4, TRUE, FALSE), IF(AE8 = 1, TRUE, FALSE)), VLOOKUP('Full Season Entries'!G9, t_wgtssGT3, 2, FALSE), IF(AND(IF(AD8 = 4, TRUE, FALSE), IF(AE8 = 2, TRUE, FALSE)), VLOOKUP('Full Season Entries'!G9, t_wgtssGT4, 2, FALSE), IF(AND(IF(AD8 = 5, TRUE, FALSE), IF(AE8 = 1, TRUE, FALSE)), VLOOKUP('Full Season Entries'!G9, t_wgtmGT3P, 2, FALSE), IF(AND(IF(AD8 = 5, TRUE, FALSE), IF(AE8 = 2, TRUE, FALSE)), VLOOKUP('Full Season Entries'!G9, t_wgtmGT3A, 2, FALSE), IF(AND(IF(AD8 = 5, TRUE, FALSE), IF(AE8 = 3, TRUE, FALSE)), VLOOKUP('Full Season Entries'!G9, t_wgtmGT4, 2, FALSE), IF(AND(IF(AD8 = 7, TRUE, FALSE), IF(AE8 = 1, TRUE, FALSE)), VLOOKUP('Full Season Entries'!G9, t_asmLMP3, 2, FALSE), IF(AND(IF(AD8 = 7, TRUE, FALSE), IF(AE8 = 2, TRUE, FALSE)), VLOOKUP('Full Season Entries'!G9, t_asmGT3, 2, FALSE), IF(AND(IF(AD8 = 7, TRUE, FALSE), IF(AE8 = 3, TRUE, FALSE)), VLOOKUP('Full Season Entries'!G9, t_asmGT4, 2, FALSE), "")))))))))))))))))))))))))))</f>
        <v/>
      </c>
      <c r="AJ8" s="1" t="str">
        <f t="shared" si="4"/>
        <v/>
      </c>
      <c r="AK8" s="1" t="str">
        <f t="shared" si="5"/>
        <v/>
      </c>
      <c r="AL8" s="1" t="str">
        <f t="shared" si="24"/>
        <v/>
      </c>
      <c r="AM8" s="1" t="str">
        <f t="shared" si="6"/>
        <v/>
      </c>
      <c r="AO8" s="1" t="str">
        <f>'Full Season Entries'!I9</f>
        <v/>
      </c>
      <c r="AQ8" s="1">
        <f t="shared" si="7"/>
        <v>0</v>
      </c>
      <c r="AR8" s="1">
        <f>'Full Season Entries'!P9</f>
        <v>0</v>
      </c>
      <c r="AS8" s="1">
        <f>IF('Full Season Entries'!Q9 &lt;&gt; "", REPLACE('Full Season Entries'!Q9, 1, 1, "Level "), 0)</f>
        <v>0</v>
      </c>
      <c r="AT8" s="1">
        <f t="shared" si="8"/>
        <v>0</v>
      </c>
      <c r="AU8" s="1">
        <f>'Full Season Entries'!R9</f>
        <v>0</v>
      </c>
      <c r="AV8" s="1">
        <f>IF('Full Season Entries'!S9 &lt;&gt; "", REPLACE('Full Season Entries'!S9, 1, 1, "Level "), 0)</f>
        <v>0</v>
      </c>
      <c r="AW8" s="1">
        <f>IF('Full Season Entries'!T9 &lt;&gt; "", VLOOKUP('Full Season Entries'!T9, setupCostsReliability, 2, FALSE), 0)</f>
        <v>0</v>
      </c>
      <c r="AZ8" s="47" t="str">
        <f>IF('One-Off Entries'!I9 = "Yes", 0, IF(BQ8 &lt;&gt; "", IF(BQ8 = 1, VLOOKUP(BT8, gemCosts, 5, FALSE), IF(BQ8 = 2, VLOOKUP(BT8, nasccCosts, 5, FALSE), IF(BQ8 = 2.1, VLOOKUP(BT8, nasccScCosts, 5, FALSE), IF(BQ8 = 2.2, VLOOKUP(BT8, nasccEcCosts, 5, FALSE), IF(BQ8 = 3, VLOOKUP(BT8, euemCosts, 5, FALSE), IF(BQ8 = 4, VLOOKUP(BT8, wgtssCosts, 5, FALSE), IF(BQ8 = 5, VLOOKUP(BT8, wgtmCosts, 5, FALSE), IF(BQ8 = 6, VLOOKUP(BT8, wpcCosts, 5, FALSE), IF(BQ8 = 7, VLOOKUP(BT8, asmCosts, 5, FALSE), "")))))))))))</f>
        <v/>
      </c>
      <c r="BA8" s="47" t="str">
        <f t="shared" si="25"/>
        <v/>
      </c>
      <c r="BB8" s="47" t="str">
        <f t="shared" si="26"/>
        <v/>
      </c>
      <c r="BC8" s="51" t="str">
        <f>IF('One-Off Entries'!M9 &lt;&gt; "", IF('One-Off Entries'!M9 = "Bronze", -BX8, VLOOKUP('One-Off Entries'!M9, driverCosts, 2, FALSE) * BM8), "")</f>
        <v/>
      </c>
      <c r="BD8" s="2" t="str">
        <f>IF('One-Off Entries'!N9 &lt;&gt; "", IF('One-Off Entries'!N9 = "Bronze", -BY8, VLOOKUP('One-Off Entries'!N9, driverCosts, 2, FALSE) * BM8), "")</f>
        <v/>
      </c>
      <c r="BE8" s="2" t="str">
        <f>IF('One-Off Entries'!O9 &lt;&gt; "", IF('One-Off Entries'!O9 = "Bronze", -BZ8, VLOOKUP('One-Off Entries'!O9, driverCosts, 2, FALSE) * BM8), "")</f>
        <v/>
      </c>
      <c r="BF8" s="52" t="str">
        <f>IF('One-Off Entries'!P9 &lt;&gt; "", IF('One-Off Entries'!P9 = "Bronze", -CA8, VLOOKUP('One-Off Entries'!P9, driverCosts, 2, FALSE) * BM8), "")</f>
        <v/>
      </c>
      <c r="BG8" s="51">
        <f t="shared" si="27"/>
        <v>0</v>
      </c>
      <c r="BH8" s="2">
        <f t="shared" si="28"/>
        <v>0</v>
      </c>
      <c r="BI8" s="52">
        <f t="shared" si="29"/>
        <v>0</v>
      </c>
      <c r="BL8" s="1" t="str">
        <f t="shared" si="9"/>
        <v/>
      </c>
      <c r="BM8" s="1" t="str">
        <f t="shared" si="10"/>
        <v/>
      </c>
      <c r="BO8" s="1">
        <f>'One-Off Entries'!C9</f>
        <v>0</v>
      </c>
      <c r="BP8" s="1" t="str">
        <f>'One-Off Entries'!L9</f>
        <v/>
      </c>
      <c r="BQ8" s="1">
        <f>'One-Off Entries'!AI9</f>
        <v>0</v>
      </c>
      <c r="BR8" s="1">
        <f>'One-Off Entries'!AJ9</f>
        <v>0</v>
      </c>
      <c r="BT8" s="1" t="str">
        <f>'One-Off Entries'!E9</f>
        <v/>
      </c>
      <c r="BV8" s="1" t="str">
        <f>IF(AND(IF(BQ8 = 1, TRUE, FALSE), IF(BR8 = 1, TRUE, FALSE)), VLOOKUP('One-Off Entries'!H9, t_gemLMP1, 2, FALSE), IF(AND(IF(BQ8 = 1, TRUE, FALSE), IF(BR8 = 2, TRUE, FALSE)), VLOOKUP('One-Off Entries'!H9, t_gemLMP2, 2, FALSE), IF(AND(IF(BQ8 = 1, TRUE, FALSE), IF(BR8 = 3, TRUE, FALSE)), VLOOKUP('One-Off Entries'!H9, t_gemLMGTE, 2, FALSE), IF(AND(IF(BQ8 = 1, TRUE, FALSE), IF(BR8 = 4, TRUE, FALSE)), VLOOKUP('One-Off Entries'!H9, t_gemLMGTE, 2, FALSE), IF(AND(IF(BQ8 = 2, TRUE, FALSE), IF(BR8 = 1, TRUE, FALSE)), VLOOKUP('One-Off Entries'!H9, t_nasccDPi, 2, FALSE), IF(AND(IF(BQ8 = 2, TRUE, FALSE), IF(BR8 = 2, TRUE, FALSE)), VLOOKUP('One-Off Entries'!H9, t_nasccLMP2, 2, FALSE), IF(AND(IF(BQ8 = 2, TRUE, FALSE), IF(BR8 = 3, TRUE, FALSE)), VLOOKUP('One-Off Entries'!H9, t_nasccGTLM, 2, FALSE), IF(AND(IF(BQ8 = 2, TRUE, FALSE), IF(BR8 = 4, TRUE, FALSE)), VLOOKUP('One-Off Entries'!H9, t_nasccGTD, 2, FALSE), IF(AND(IF(BQ8 = 2.1, TRUE, FALSE), IF(BR8 = 1, TRUE, FALSE)), VLOOKUP('One-Off Entries'!H9, t_nasccDPi, 2, FALSE), IF(AND(IF(BQ8 = 2.1, TRUE, FALSE), IF(BR8 = 2, TRUE, FALSE)), VLOOKUP('One-Off Entries'!H9, t_nasccLMP2, 2, FALSE), IF(AND(IF(BQ8 = 2.1, TRUE, FALSE), IF(BR8 = 3, TRUE, FALSE)), VLOOKUP('One-Off Entries'!H9, t_nasccGTLM, 2, FALSE), IF(AND(IF(BQ8 = 2.1, TRUE, FALSE), IF(BR8 = 4, TRUE, FALSE)), VLOOKUP('One-Off Entries'!H9, t_nasccGTD, 2, FALSE), IF(AND(IF(BQ8 = 2.2, TRUE, FALSE), IF(BR8 = 1, TRUE, FALSE)), VLOOKUP('One-Off Entries'!H9, t_nasccDPi, 2, FALSE), IF(AND(IF(BQ8 = 2.2, TRUE, FALSE), IF(BR8 = 2, TRUE, FALSE)), VLOOKUP('One-Off Entries'!H9, t_nasccLMP2, 2, FALSE), IF(AND(IF(BQ8 = 2.2, TRUE, FALSE), IF(BR8 = 3, TRUE, FALSE)), VLOOKUP('One-Off Entries'!H9, t_nasccGTLM, 2, FALSE), IF(AND(IF(BQ8 = 2.2, TRUE, FALSE), IF(BR8 = 4, TRUE, FALSE)), VLOOKUP('One-Off Entries'!H9, t_nasccGTD, 2, FALSE), IF(AND(IF(BQ8 = 3, TRUE, FALSE), IF(BR8 = 1, TRUE, FALSE)), VLOOKUP('One-Off Entries'!H9, t_euemLMP2, 2, FALSE), IF(AND(IF(BQ8 = 3, TRUE, FALSE), IF(BR8 = 2, TRUE, FALSE)), VLOOKUP('One-Off Entries'!H9, t_euemLMP3, 2, FALSE), IF(AND(IF(BQ8 = 3, TRUE, FALSE), IF(BR8 = 3, TRUE, FALSE)), VLOOKUP('One-Off Entries'!H9, t_euemLMGTE, 2, FALSE), IF(AND(IF(BQ8 = 4, TRUE, FALSE), IF(BR8 = 1, TRUE, FALSE)), VLOOKUP('One-Off Entries'!H9, t_wgtssGT3, 2, FALSE), IF(AND(IF(BQ8 = 4, TRUE, FALSE), IF(BR8 = 2, TRUE, FALSE)), VLOOKUP('One-Off Entries'!H9, t_wgtssGT4, 2, FALSE), IF(AND(IF(BQ8 = 5, TRUE, FALSE), IF(BR8 = 1, TRUE, FALSE)), VLOOKUP('One-Off Entries'!H9, t_wgtmGT3P, 2, FALSE), IF(AND(IF(BQ8 = 5, TRUE, FALSE), IF(BR8 = 2, TRUE, FALSE)), VLOOKUP('One-Off Entries'!H9, t_wgtmGT3A, 2, FALSE), IF(AND(IF(BQ8 = 5, TRUE, FALSE), IF(BR8 = 3, TRUE, FALSE)), VLOOKUP('One-Off Entries'!H9, t_wgtmGT4, 2, FALSE), IF(AND(IF(BQ8 = 7, TRUE, FALSE), IF(BR8 = 1, TRUE, FALSE)), VLOOKUP('One-Off Entries'!H9, t_asmLMP3, 2, FALSE), IF(AND(IF(BQ8 = 7, TRUE, FALSE), IF(BR8 = 2, TRUE, FALSE)), VLOOKUP('One-Off Entries'!H9, t_asmGT3, 2, FALSE), IF(AND(IF(BQ8 = 7, TRUE, FALSE), IF(BR8 = 3, TRUE, FALSE)), VLOOKUP('One-Off Entries'!H9, t_asmGT4, 2, FALSE), "")))))))))))))))))))))))))))</f>
        <v/>
      </c>
      <c r="BX8" s="1" t="str">
        <f t="shared" si="11"/>
        <v/>
      </c>
      <c r="BY8" s="1" t="str">
        <f t="shared" si="12"/>
        <v/>
      </c>
      <c r="BZ8" s="1" t="str">
        <f t="shared" si="13"/>
        <v/>
      </c>
      <c r="CA8" s="1" t="str">
        <f t="shared" si="14"/>
        <v/>
      </c>
      <c r="CC8" s="1" t="str">
        <f>'One-Off Entries'!K9</f>
        <v/>
      </c>
      <c r="CD8" s="1">
        <f t="shared" si="15"/>
        <v>0</v>
      </c>
      <c r="CE8" s="1">
        <f>'One-Off Entries'!R9</f>
        <v>0</v>
      </c>
      <c r="CF8" s="1">
        <f>IF('One-Off Entries'!S9 &lt;&gt; "", REPLACE('One-Off Entries'!S9, 1, 1, "Level "), 0)</f>
        <v>0</v>
      </c>
      <c r="CG8" s="1">
        <f t="shared" si="16"/>
        <v>0</v>
      </c>
      <c r="CH8" s="1">
        <f>'One-Off Entries'!T9</f>
        <v>0</v>
      </c>
      <c r="CI8" s="1">
        <f>IF('One-Off Entries'!U9 &lt;&gt; "", REPLACE('One-Off Entries'!U9, 1, 1, "Level "), 0)</f>
        <v>0</v>
      </c>
      <c r="CJ8" s="1">
        <f>IF('One-Off Entries'!V9 &lt;&gt; "", VLOOKUP('One-Off Entries'!V9, setupCostsReliability, 2, FALSE), 0)</f>
        <v>0</v>
      </c>
    </row>
    <row r="9" spans="2:88" ht="18" customHeight="1" x14ac:dyDescent="0.3">
      <c r="B9" s="47" t="s">
        <v>243</v>
      </c>
      <c r="C9" s="47">
        <f>ROUND(SUM(M5:M39, AZ5:AZ39), 3)</f>
        <v>0</v>
      </c>
      <c r="D9" s="47" t="str">
        <f t="shared" si="17"/>
        <v>$0 Million</v>
      </c>
      <c r="G9" s="47">
        <f>IF('Car Purchase'!D9 &lt;&gt; "", VLOOKUP('Car Purchase'!D9, modelData, 3, FALSE), "")</f>
        <v>1.7</v>
      </c>
      <c r="H9" s="51">
        <f>IF('Car Purchase'!I9 &lt;&gt; "", VLOOKUP('Car Purchase'!I9, modelData, 4, FALSE) * 'Car Purchase'!J9, "")</f>
        <v>0</v>
      </c>
      <c r="I9" s="2">
        <f>IF('Car Purchase'!I9 &lt;&gt; "", VLOOKUP('Car Purchase'!I9, modelData, 5, FALSE) * 'Car Purchase'!K9, "")</f>
        <v>0</v>
      </c>
      <c r="J9" s="52">
        <f>IF('Car Purchase'!I9 &lt;&gt; "", VLOOKUP('Car Purchase'!I9, modelData, 6, FALSE) * 'Car Purchase'!L9, "")</f>
        <v>0</v>
      </c>
      <c r="M9" s="47" t="str">
        <f t="shared" si="0"/>
        <v/>
      </c>
      <c r="N9" s="47" t="str">
        <f t="shared" si="18"/>
        <v/>
      </c>
      <c r="O9" s="47" t="str">
        <f t="shared" si="1"/>
        <v/>
      </c>
      <c r="P9" s="51" t="str">
        <f>IF('Full Season Entries'!K10 &lt;&gt; "", IF('Full Season Entries'!K10 = "Bronze", -AJ9, VLOOKUP('Full Season Entries'!K10, driverCosts, 2, FALSE) * Z9), "")</f>
        <v/>
      </c>
      <c r="Q9" s="2" t="str">
        <f>IF('Full Season Entries'!L10 &lt;&gt; "", IF('Full Season Entries'!L10 = "Bronze", -AK9, VLOOKUP('Full Season Entries'!L10, driverCosts, 2, FALSE) * Z9), "")</f>
        <v/>
      </c>
      <c r="R9" s="2" t="str">
        <f>IF('Full Season Entries'!M10 &lt;&gt; "", IF('Full Season Entries'!M10 = "Bronze", -AL9, IF(AND(AD9 = 2, OR(AF9 = "DPi", AF9 = "GTLM")), VLOOKUP('Full Season Entries'!M10, driverCosts, 2, FALSE) * VLOOKUP(AF9, nasccEcCosts, 3, FALSE), IF(AD9 = 7, VLOOKUP('Full Season Entries'!M10, driverCosts, 2, FALSE) * VLOOKUP("ASM 210 Minutes of CoTA", oneOffs, 3, FALSE), VLOOKUP('Full Season Entries'!M10, driverCosts, 2, FALSE) * Z9))), "")</f>
        <v/>
      </c>
      <c r="S9" s="52" t="str">
        <f>IF('Full Season Entries'!N10 &lt;&gt; "", IF('Full Season Entries'!N10 = "Bronze", -AM9, VLOOKUP('Full Season Entries'!N10, driverCosts, 2, FALSE) * Z9), "")</f>
        <v/>
      </c>
      <c r="T9" s="51">
        <f t="shared" si="19"/>
        <v>0</v>
      </c>
      <c r="U9" s="2">
        <f t="shared" si="20"/>
        <v>0</v>
      </c>
      <c r="V9" s="52">
        <f t="shared" si="21"/>
        <v>0</v>
      </c>
      <c r="Y9" s="1" t="str">
        <f t="shared" si="22"/>
        <v/>
      </c>
      <c r="Z9" s="1">
        <f t="shared" si="23"/>
        <v>0</v>
      </c>
      <c r="AA9" s="1">
        <f t="shared" si="3"/>
        <v>0</v>
      </c>
      <c r="AC9" s="1" t="str">
        <f>'Full Season Entries'!J10</f>
        <v/>
      </c>
      <c r="AD9" s="1">
        <f>'Full Season Entries'!AF10</f>
        <v>0</v>
      </c>
      <c r="AE9" s="1">
        <f>'Full Season Entries'!AG10</f>
        <v>0</v>
      </c>
      <c r="AF9" s="1" t="str">
        <f>'Full Season Entries'!D10</f>
        <v/>
      </c>
      <c r="AH9" s="1" t="str">
        <f>IF(AND(IF(AD9 = 1, TRUE, FALSE), IF(AE9 = 1, TRUE, FALSE)), VLOOKUP('Full Season Entries'!G10, t_gemLMP1, 2, FALSE), IF(AND(IF(AD9 = 1, TRUE, FALSE), IF(AE9 = 2, TRUE, FALSE)), VLOOKUP('Full Season Entries'!G10, t_gemLMP2, 2, FALSE), IF(AND(IF(AD9 = 1, TRUE, FALSE), IF(AE9 = 3, TRUE, FALSE)), VLOOKUP('Full Season Entries'!G10, t_gemLMGTE, 2, FALSE), IF(AND(IF(AD9 = 1, TRUE, FALSE), IF(AE9 = 4, TRUE, FALSE)), VLOOKUP('Full Season Entries'!G10, t_gemLMGTE, 2, FALSE), IF(AND(IF(AD9 = 2, TRUE, FALSE), IF(AE9 = 1, TRUE, FALSE)), VLOOKUP('Full Season Entries'!G10, t_nasccDPi, 2, FALSE), IF(AND(IF(AD9 = 2, TRUE, FALSE), IF(AE9 = 2, TRUE, FALSE)), VLOOKUP('Full Season Entries'!G10, t_nasccLMP2, 2, FALSE), IF(AND(IF(AD9 = 2, TRUE, FALSE), IF(AE9 = 3, TRUE, FALSE)), VLOOKUP('Full Season Entries'!G10, t_nasccGTLM, 2, FALSE), IF(AND(IF(AD9 = 2, TRUE, FALSE), IF(AE9 = 4, TRUE, FALSE)), VLOOKUP('Full Season Entries'!G10, t_nasccGTD, 2, FALSE), IF(AND(IF(AD9 = 2.1, TRUE, FALSE), IF(AE9 = 1, TRUE, FALSE)), VLOOKUP('Full Season Entries'!G10, t_nasccDPi, 2, FALSE), IF(AND(IF(AD9 = 2.1, TRUE, FALSE), IF(AE9 = 2, TRUE, FALSE)), VLOOKUP('Full Season Entries'!G10, t_nasccLMP2, 2, FALSE), IF(AND(IF(AD9 = 2.1, TRUE, FALSE), IF(AE9 = 3, TRUE, FALSE)), VLOOKUP('Full Season Entries'!G10, t_nasccGTLM, 2, FALSE), IF(AND(IF(AD9 = 2.1, TRUE, FALSE), IF(AE9 = 4, TRUE, FALSE)), VLOOKUP('Full Season Entries'!G10, t_nasccGTD, 2, FALSE), IF(AND(IF(AD9 = 2.2, TRUE, FALSE), IF(AE9 = 1, TRUE, FALSE)), VLOOKUP('Full Season Entries'!G10, t_nasccDPi, 2, FALSE), IF(AND(IF(AD9 = 2.2, TRUE, FALSE), IF(AE9 = 2, TRUE, FALSE)), VLOOKUP('Full Season Entries'!G10, t_nasccLMP2, 2, FALSE), IF(AND(IF(AD9 = 2.2, TRUE, FALSE), IF(AE9 = 3, TRUE, FALSE)), VLOOKUP('Full Season Entries'!G10, t_nasccGTLM, 2, FALSE), IF(AND(IF(AD9 = 2.2, TRUE, FALSE), IF(AE9 = 4, TRUE, FALSE)), VLOOKUP('Full Season Entries'!G10, t_nasccGTD, 2, FALSE), IF(AND(IF(AD9 = 3, TRUE, FALSE), IF(AE9 = 1, TRUE, FALSE)), VLOOKUP('Full Season Entries'!G10, t_euemLMP2, 2, FALSE), IF(AND(IF(AD9 = 3, TRUE, FALSE), IF(AE9 = 2, TRUE, FALSE)), VLOOKUP('Full Season Entries'!G10, t_euemLMP3, 2, FALSE), IF(AND(IF(AD9 = 3, TRUE, FALSE), IF(AE9 = 3, TRUE, FALSE)), VLOOKUP('Full Season Entries'!G10, t_euemLMGTE, 2, FALSE), IF(AND(IF(AD9 = 4, TRUE, FALSE), IF(AE9 = 1, TRUE, FALSE)), VLOOKUP('Full Season Entries'!G10, t_wgtssGT3, 2, FALSE), IF(AND(IF(AD9 = 4, TRUE, FALSE), IF(AE9 = 2, TRUE, FALSE)), VLOOKUP('Full Season Entries'!G10, t_wgtssGT4, 2, FALSE), IF(AND(IF(AD9 = 5, TRUE, FALSE), IF(AE9 = 1, TRUE, FALSE)), VLOOKUP('Full Season Entries'!G10, t_wgtmGT3P, 2, FALSE), IF(AND(IF(AD9 = 5, TRUE, FALSE), IF(AE9 = 2, TRUE, FALSE)), VLOOKUP('Full Season Entries'!G10, t_wgtmGT3A, 2, FALSE), IF(AND(IF(AD9 = 5, TRUE, FALSE), IF(AE9 = 3, TRUE, FALSE)), VLOOKUP('Full Season Entries'!G10, t_wgtmGT4, 2, FALSE), IF(AND(IF(AD9 = 7, TRUE, FALSE), IF(AE9 = 1, TRUE, FALSE)), VLOOKUP('Full Season Entries'!G10, t_asmLMP3, 2, FALSE), IF(AND(IF(AD9 = 7, TRUE, FALSE), IF(AE9 = 2, TRUE, FALSE)), VLOOKUP('Full Season Entries'!G10, t_asmGT3, 2, FALSE), IF(AND(IF(AD9 = 7, TRUE, FALSE), IF(AE9 = 3, TRUE, FALSE)), VLOOKUP('Full Season Entries'!G10, t_asmGT4, 2, FALSE), "")))))))))))))))))))))))))))</f>
        <v/>
      </c>
      <c r="AJ9" s="1" t="str">
        <f t="shared" si="4"/>
        <v/>
      </c>
      <c r="AK9" s="1" t="str">
        <f t="shared" si="5"/>
        <v/>
      </c>
      <c r="AL9" s="1" t="str">
        <f t="shared" si="24"/>
        <v/>
      </c>
      <c r="AM9" s="1" t="str">
        <f t="shared" si="6"/>
        <v/>
      </c>
      <c r="AO9" s="1" t="str">
        <f>'Full Season Entries'!I10</f>
        <v/>
      </c>
      <c r="AQ9" s="1">
        <f t="shared" si="7"/>
        <v>0</v>
      </c>
      <c r="AR9" s="1">
        <f>'Full Season Entries'!P10</f>
        <v>0</v>
      </c>
      <c r="AS9" s="1">
        <f>IF('Full Season Entries'!Q10 &lt;&gt; "", REPLACE('Full Season Entries'!Q10, 1, 1, "Level "), 0)</f>
        <v>0</v>
      </c>
      <c r="AT9" s="1">
        <f t="shared" si="8"/>
        <v>0</v>
      </c>
      <c r="AU9" s="1">
        <f>'Full Season Entries'!R10</f>
        <v>0</v>
      </c>
      <c r="AV9" s="1">
        <f>IF('Full Season Entries'!S10 &lt;&gt; "", REPLACE('Full Season Entries'!S10, 1, 1, "Level "), 0)</f>
        <v>0</v>
      </c>
      <c r="AW9" s="1">
        <f>IF('Full Season Entries'!T10 &lt;&gt; "", VLOOKUP('Full Season Entries'!T10, setupCostsReliability, 2, FALSE), 0)</f>
        <v>0</v>
      </c>
      <c r="AZ9" s="47" t="str">
        <f>IF('One-Off Entries'!I10 = "Yes", 0, IF(BQ9 &lt;&gt; "", IF(BQ9 = 1, VLOOKUP(BT9, gemCosts, 5, FALSE), IF(BQ9 = 2, VLOOKUP(BT9, nasccCosts, 5, FALSE), IF(BQ9 = 2.1, VLOOKUP(BT9, nasccScCosts, 5, FALSE), IF(BQ9 = 2.2, VLOOKUP(BT9, nasccEcCosts, 5, FALSE), IF(BQ9 = 3, VLOOKUP(BT9, euemCosts, 5, FALSE), IF(BQ9 = 4, VLOOKUP(BT9, wgtssCosts, 5, FALSE), IF(BQ9 = 5, VLOOKUP(BT9, wgtmCosts, 5, FALSE), IF(BQ9 = 6, VLOOKUP(BT9, wpcCosts, 5, FALSE), IF(BQ9 = 7, VLOOKUP(BT9, asmCosts, 5, FALSE), "")))))))))))</f>
        <v/>
      </c>
      <c r="BA9" s="47" t="str">
        <f t="shared" si="25"/>
        <v/>
      </c>
      <c r="BB9" s="47" t="str">
        <f t="shared" si="26"/>
        <v/>
      </c>
      <c r="BC9" s="51" t="str">
        <f>IF('One-Off Entries'!M10 &lt;&gt; "", IF('One-Off Entries'!M10 = "Bronze", -BX9, VLOOKUP('One-Off Entries'!M10, driverCosts, 2, FALSE) * BM9), "")</f>
        <v/>
      </c>
      <c r="BD9" s="2" t="str">
        <f>IF('One-Off Entries'!N10 &lt;&gt; "", IF('One-Off Entries'!N10 = "Bronze", -BY9, VLOOKUP('One-Off Entries'!N10, driverCosts, 2, FALSE) * BM9), "")</f>
        <v/>
      </c>
      <c r="BE9" s="2" t="str">
        <f>IF('One-Off Entries'!O10 &lt;&gt; "", IF('One-Off Entries'!O10 = "Bronze", -BZ9, VLOOKUP('One-Off Entries'!O10, driverCosts, 2, FALSE) * BM9), "")</f>
        <v/>
      </c>
      <c r="BF9" s="52" t="str">
        <f>IF('One-Off Entries'!P10 &lt;&gt; "", IF('One-Off Entries'!P10 = "Bronze", -CA9, VLOOKUP('One-Off Entries'!P10, driverCosts, 2, FALSE) * BM9), "")</f>
        <v/>
      </c>
      <c r="BG9" s="51">
        <f t="shared" si="27"/>
        <v>0</v>
      </c>
      <c r="BH9" s="2">
        <f t="shared" si="28"/>
        <v>0</v>
      </c>
      <c r="BI9" s="52">
        <f t="shared" si="29"/>
        <v>0</v>
      </c>
      <c r="BL9" s="1" t="str">
        <f t="shared" si="9"/>
        <v/>
      </c>
      <c r="BM9" s="1" t="str">
        <f t="shared" si="10"/>
        <v/>
      </c>
      <c r="BO9" s="1">
        <f>'One-Off Entries'!C10</f>
        <v>0</v>
      </c>
      <c r="BP9" s="1" t="str">
        <f>'One-Off Entries'!L10</f>
        <v/>
      </c>
      <c r="BQ9" s="1">
        <f>'One-Off Entries'!AI10</f>
        <v>0</v>
      </c>
      <c r="BR9" s="1">
        <f>'One-Off Entries'!AJ10</f>
        <v>0</v>
      </c>
      <c r="BT9" s="1" t="str">
        <f>'One-Off Entries'!E10</f>
        <v/>
      </c>
      <c r="BV9" s="1" t="str">
        <f>IF(AND(IF(BQ9 = 1, TRUE, FALSE), IF(BR9 = 1, TRUE, FALSE)), VLOOKUP('One-Off Entries'!H10, t_gemLMP1, 2, FALSE), IF(AND(IF(BQ9 = 1, TRUE, FALSE), IF(BR9 = 2, TRUE, FALSE)), VLOOKUP('One-Off Entries'!H10, t_gemLMP2, 2, FALSE), IF(AND(IF(BQ9 = 1, TRUE, FALSE), IF(BR9 = 3, TRUE, FALSE)), VLOOKUP('One-Off Entries'!H10, t_gemLMGTE, 2, FALSE), IF(AND(IF(BQ9 = 1, TRUE, FALSE), IF(BR9 = 4, TRUE, FALSE)), VLOOKUP('One-Off Entries'!H10, t_gemLMGTE, 2, FALSE), IF(AND(IF(BQ9 = 2, TRUE, FALSE), IF(BR9 = 1, TRUE, FALSE)), VLOOKUP('One-Off Entries'!H10, t_nasccDPi, 2, FALSE), IF(AND(IF(BQ9 = 2, TRUE, FALSE), IF(BR9 = 2, TRUE, FALSE)), VLOOKUP('One-Off Entries'!H10, t_nasccLMP2, 2, FALSE), IF(AND(IF(BQ9 = 2, TRUE, FALSE), IF(BR9 = 3, TRUE, FALSE)), VLOOKUP('One-Off Entries'!H10, t_nasccGTLM, 2, FALSE), IF(AND(IF(BQ9 = 2, TRUE, FALSE), IF(BR9 = 4, TRUE, FALSE)), VLOOKUP('One-Off Entries'!H10, t_nasccGTD, 2, FALSE), IF(AND(IF(BQ9 = 2.1, TRUE, FALSE), IF(BR9 = 1, TRUE, FALSE)), VLOOKUP('One-Off Entries'!H10, t_nasccDPi, 2, FALSE), IF(AND(IF(BQ9 = 2.1, TRUE, FALSE), IF(BR9 = 2, TRUE, FALSE)), VLOOKUP('One-Off Entries'!H10, t_nasccLMP2, 2, FALSE), IF(AND(IF(BQ9 = 2.1, TRUE, FALSE), IF(BR9 = 3, TRUE, FALSE)), VLOOKUP('One-Off Entries'!H10, t_nasccGTLM, 2, FALSE), IF(AND(IF(BQ9 = 2.1, TRUE, FALSE), IF(BR9 = 4, TRUE, FALSE)), VLOOKUP('One-Off Entries'!H10, t_nasccGTD, 2, FALSE), IF(AND(IF(BQ9 = 2.2, TRUE, FALSE), IF(BR9 = 1, TRUE, FALSE)), VLOOKUP('One-Off Entries'!H10, t_nasccDPi, 2, FALSE), IF(AND(IF(BQ9 = 2.2, TRUE, FALSE), IF(BR9 = 2, TRUE, FALSE)), VLOOKUP('One-Off Entries'!H10, t_nasccLMP2, 2, FALSE), IF(AND(IF(BQ9 = 2.2, TRUE, FALSE), IF(BR9 = 3, TRUE, FALSE)), VLOOKUP('One-Off Entries'!H10, t_nasccGTLM, 2, FALSE), IF(AND(IF(BQ9 = 2.2, TRUE, FALSE), IF(BR9 = 4, TRUE, FALSE)), VLOOKUP('One-Off Entries'!H10, t_nasccGTD, 2, FALSE), IF(AND(IF(BQ9 = 3, TRUE, FALSE), IF(BR9 = 1, TRUE, FALSE)), VLOOKUP('One-Off Entries'!H10, t_euemLMP2, 2, FALSE), IF(AND(IF(BQ9 = 3, TRUE, FALSE), IF(BR9 = 2, TRUE, FALSE)), VLOOKUP('One-Off Entries'!H10, t_euemLMP3, 2, FALSE), IF(AND(IF(BQ9 = 3, TRUE, FALSE), IF(BR9 = 3, TRUE, FALSE)), VLOOKUP('One-Off Entries'!H10, t_euemLMGTE, 2, FALSE), IF(AND(IF(BQ9 = 4, TRUE, FALSE), IF(BR9 = 1, TRUE, FALSE)), VLOOKUP('One-Off Entries'!H10, t_wgtssGT3, 2, FALSE), IF(AND(IF(BQ9 = 4, TRUE, FALSE), IF(BR9 = 2, TRUE, FALSE)), VLOOKUP('One-Off Entries'!H10, t_wgtssGT4, 2, FALSE), IF(AND(IF(BQ9 = 5, TRUE, FALSE), IF(BR9 = 1, TRUE, FALSE)), VLOOKUP('One-Off Entries'!H10, t_wgtmGT3P, 2, FALSE), IF(AND(IF(BQ9 = 5, TRUE, FALSE), IF(BR9 = 2, TRUE, FALSE)), VLOOKUP('One-Off Entries'!H10, t_wgtmGT3A, 2, FALSE), IF(AND(IF(BQ9 = 5, TRUE, FALSE), IF(BR9 = 3, TRUE, FALSE)), VLOOKUP('One-Off Entries'!H10, t_wgtmGT4, 2, FALSE), IF(AND(IF(BQ9 = 7, TRUE, FALSE), IF(BR9 = 1, TRUE, FALSE)), VLOOKUP('One-Off Entries'!H10, t_asmLMP3, 2, FALSE), IF(AND(IF(BQ9 = 7, TRUE, FALSE), IF(BR9 = 2, TRUE, FALSE)), VLOOKUP('One-Off Entries'!H10, t_asmGT3, 2, FALSE), IF(AND(IF(BQ9 = 7, TRUE, FALSE), IF(BR9 = 3, TRUE, FALSE)), VLOOKUP('One-Off Entries'!H10, t_asmGT4, 2, FALSE), "")))))))))))))))))))))))))))</f>
        <v/>
      </c>
      <c r="BX9" s="1" t="str">
        <f t="shared" si="11"/>
        <v/>
      </c>
      <c r="BY9" s="1" t="str">
        <f t="shared" si="12"/>
        <v/>
      </c>
      <c r="BZ9" s="1" t="str">
        <f t="shared" si="13"/>
        <v/>
      </c>
      <c r="CA9" s="1" t="str">
        <f t="shared" si="14"/>
        <v/>
      </c>
      <c r="CC9" s="1" t="str">
        <f>'One-Off Entries'!K10</f>
        <v/>
      </c>
      <c r="CD9" s="1">
        <f t="shared" si="15"/>
        <v>0</v>
      </c>
      <c r="CE9" s="1">
        <f>'One-Off Entries'!R10</f>
        <v>0</v>
      </c>
      <c r="CF9" s="1">
        <f>IF('One-Off Entries'!S10 &lt;&gt; "", REPLACE('One-Off Entries'!S10, 1, 1, "Level "), 0)</f>
        <v>0</v>
      </c>
      <c r="CG9" s="1">
        <f t="shared" si="16"/>
        <v>0</v>
      </c>
      <c r="CH9" s="1">
        <f>'One-Off Entries'!T10</f>
        <v>0</v>
      </c>
      <c r="CI9" s="1">
        <f>IF('One-Off Entries'!U10 &lt;&gt; "", REPLACE('One-Off Entries'!U10, 1, 1, "Level "), 0)</f>
        <v>0</v>
      </c>
      <c r="CJ9" s="1">
        <f>IF('One-Off Entries'!V10 &lt;&gt; "", VLOOKUP('One-Off Entries'!V10, setupCostsReliability, 2, FALSE), 0)</f>
        <v>0</v>
      </c>
    </row>
    <row r="10" spans="2:88" ht="18" customHeight="1" x14ac:dyDescent="0.3">
      <c r="B10" s="47" t="s">
        <v>244</v>
      </c>
      <c r="C10" s="47">
        <f>ROUND(SUM(N5:N39, BA5:BA39), 3)</f>
        <v>0</v>
      </c>
      <c r="D10" s="47" t="str">
        <f t="shared" si="17"/>
        <v>$0 Million</v>
      </c>
      <c r="G10" s="47">
        <f>IF('Car Purchase'!D10 &lt;&gt; "", VLOOKUP('Car Purchase'!D10, modelData, 3, FALSE), "")</f>
        <v>2</v>
      </c>
      <c r="H10" s="51">
        <f>IF('Car Purchase'!I10 &lt;&gt; "", VLOOKUP('Car Purchase'!I10, modelData, 4, FALSE) * 'Car Purchase'!J10, "")</f>
        <v>0</v>
      </c>
      <c r="I10" s="2">
        <f>IF('Car Purchase'!I10 &lt;&gt; "", VLOOKUP('Car Purchase'!I10, modelData, 5, FALSE) * 'Car Purchase'!K10, "")</f>
        <v>0</v>
      </c>
      <c r="J10" s="52">
        <f>IF('Car Purchase'!I10 &lt;&gt; "", VLOOKUP('Car Purchase'!I10, modelData, 6, FALSE) * 'Car Purchase'!L10, "")</f>
        <v>0</v>
      </c>
      <c r="M10" s="47" t="str">
        <f t="shared" si="0"/>
        <v/>
      </c>
      <c r="N10" s="47" t="str">
        <f t="shared" si="18"/>
        <v/>
      </c>
      <c r="O10" s="47" t="str">
        <f t="shared" si="1"/>
        <v/>
      </c>
      <c r="P10" s="51" t="str">
        <f>IF('Full Season Entries'!K11 &lt;&gt; "", IF('Full Season Entries'!K11 = "Bronze", -AJ10, VLOOKUP('Full Season Entries'!K11, driverCosts, 2, FALSE) * Z10), "")</f>
        <v/>
      </c>
      <c r="Q10" s="2" t="str">
        <f>IF('Full Season Entries'!L11 &lt;&gt; "", IF('Full Season Entries'!L11 = "Bronze", -AK10, VLOOKUP('Full Season Entries'!L11, driverCosts, 2, FALSE) * Z10), "")</f>
        <v/>
      </c>
      <c r="R10" s="2" t="str">
        <f>IF('Full Season Entries'!M11 &lt;&gt; "", IF('Full Season Entries'!M11 = "Bronze", -AL10, IF(AND(AD10 = 2, OR(AF10 = "DPi", AF10 = "GTLM")), VLOOKUP('Full Season Entries'!M11, driverCosts, 2, FALSE) * VLOOKUP(AF10, nasccEcCosts, 3, FALSE), IF(AD10 = 7, VLOOKUP('Full Season Entries'!M11, driverCosts, 2, FALSE) * VLOOKUP("ASM 210 Minutes of CoTA", oneOffs, 3, FALSE), VLOOKUP('Full Season Entries'!M11, driverCosts, 2, FALSE) * Z10))), "")</f>
        <v/>
      </c>
      <c r="S10" s="52" t="str">
        <f>IF('Full Season Entries'!N11 &lt;&gt; "", IF('Full Season Entries'!N11 = "Bronze", -AM10, VLOOKUP('Full Season Entries'!N11, driverCosts, 2, FALSE) * Z10), "")</f>
        <v/>
      </c>
      <c r="T10" s="51">
        <f t="shared" si="19"/>
        <v>0</v>
      </c>
      <c r="U10" s="2">
        <f t="shared" si="20"/>
        <v>0</v>
      </c>
      <c r="V10" s="52">
        <f t="shared" si="21"/>
        <v>0</v>
      </c>
      <c r="Y10" s="1" t="str">
        <f t="shared" si="22"/>
        <v/>
      </c>
      <c r="Z10" s="1">
        <f t="shared" si="23"/>
        <v>0</v>
      </c>
      <c r="AA10" s="1">
        <f t="shared" si="3"/>
        <v>0</v>
      </c>
      <c r="AC10" s="1" t="str">
        <f>'Full Season Entries'!J11</f>
        <v/>
      </c>
      <c r="AD10" s="1">
        <f>'Full Season Entries'!AF11</f>
        <v>0</v>
      </c>
      <c r="AE10" s="1">
        <f>'Full Season Entries'!AG11</f>
        <v>0</v>
      </c>
      <c r="AF10" s="1" t="str">
        <f>'Full Season Entries'!D11</f>
        <v/>
      </c>
      <c r="AH10" s="1" t="str">
        <f>IF(AND(IF(AD10 = 1, TRUE, FALSE), IF(AE10 = 1, TRUE, FALSE)), VLOOKUP('Full Season Entries'!G11, t_gemLMP1, 2, FALSE), IF(AND(IF(AD10 = 1, TRUE, FALSE), IF(AE10 = 2, TRUE, FALSE)), VLOOKUP('Full Season Entries'!G11, t_gemLMP2, 2, FALSE), IF(AND(IF(AD10 = 1, TRUE, FALSE), IF(AE10 = 3, TRUE, FALSE)), VLOOKUP('Full Season Entries'!G11, t_gemLMGTE, 2, FALSE), IF(AND(IF(AD10 = 1, TRUE, FALSE), IF(AE10 = 4, TRUE, FALSE)), VLOOKUP('Full Season Entries'!G11, t_gemLMGTE, 2, FALSE), IF(AND(IF(AD10 = 2, TRUE, FALSE), IF(AE10 = 1, TRUE, FALSE)), VLOOKUP('Full Season Entries'!G11, t_nasccDPi, 2, FALSE), IF(AND(IF(AD10 = 2, TRUE, FALSE), IF(AE10 = 2, TRUE, FALSE)), VLOOKUP('Full Season Entries'!G11, t_nasccLMP2, 2, FALSE), IF(AND(IF(AD10 = 2, TRUE, FALSE), IF(AE10 = 3, TRUE, FALSE)), VLOOKUP('Full Season Entries'!G11, t_nasccGTLM, 2, FALSE), IF(AND(IF(AD10 = 2, TRUE, FALSE), IF(AE10 = 4, TRUE, FALSE)), VLOOKUP('Full Season Entries'!G11, t_nasccGTD, 2, FALSE), IF(AND(IF(AD10 = 2.1, TRUE, FALSE), IF(AE10 = 1, TRUE, FALSE)), VLOOKUP('Full Season Entries'!G11, t_nasccDPi, 2, FALSE), IF(AND(IF(AD10 = 2.1, TRUE, FALSE), IF(AE10 = 2, TRUE, FALSE)), VLOOKUP('Full Season Entries'!G11, t_nasccLMP2, 2, FALSE), IF(AND(IF(AD10 = 2.1, TRUE, FALSE), IF(AE10 = 3, TRUE, FALSE)), VLOOKUP('Full Season Entries'!G11, t_nasccGTLM, 2, FALSE), IF(AND(IF(AD10 = 2.1, TRUE, FALSE), IF(AE10 = 4, TRUE, FALSE)), VLOOKUP('Full Season Entries'!G11, t_nasccGTD, 2, FALSE), IF(AND(IF(AD10 = 2.2, TRUE, FALSE), IF(AE10 = 1, TRUE, FALSE)), VLOOKUP('Full Season Entries'!G11, t_nasccDPi, 2, FALSE), IF(AND(IF(AD10 = 2.2, TRUE, FALSE), IF(AE10 = 2, TRUE, FALSE)), VLOOKUP('Full Season Entries'!G11, t_nasccLMP2, 2, FALSE), IF(AND(IF(AD10 = 2.2, TRUE, FALSE), IF(AE10 = 3, TRUE, FALSE)), VLOOKUP('Full Season Entries'!G11, t_nasccGTLM, 2, FALSE), IF(AND(IF(AD10 = 2.2, TRUE, FALSE), IF(AE10 = 4, TRUE, FALSE)), VLOOKUP('Full Season Entries'!G11, t_nasccGTD, 2, FALSE), IF(AND(IF(AD10 = 3, TRUE, FALSE), IF(AE10 = 1, TRUE, FALSE)), VLOOKUP('Full Season Entries'!G11, t_euemLMP2, 2, FALSE), IF(AND(IF(AD10 = 3, TRUE, FALSE), IF(AE10 = 2, TRUE, FALSE)), VLOOKUP('Full Season Entries'!G11, t_euemLMP3, 2, FALSE), IF(AND(IF(AD10 = 3, TRUE, FALSE), IF(AE10 = 3, TRUE, FALSE)), VLOOKUP('Full Season Entries'!G11, t_euemLMGTE, 2, FALSE), IF(AND(IF(AD10 = 4, TRUE, FALSE), IF(AE10 = 1, TRUE, FALSE)), VLOOKUP('Full Season Entries'!G11, t_wgtssGT3, 2, FALSE), IF(AND(IF(AD10 = 4, TRUE, FALSE), IF(AE10 = 2, TRUE, FALSE)), VLOOKUP('Full Season Entries'!G11, t_wgtssGT4, 2, FALSE), IF(AND(IF(AD10 = 5, TRUE, FALSE), IF(AE10 = 1, TRUE, FALSE)), VLOOKUP('Full Season Entries'!G11, t_wgtmGT3P, 2, FALSE), IF(AND(IF(AD10 = 5, TRUE, FALSE), IF(AE10 = 2, TRUE, FALSE)), VLOOKUP('Full Season Entries'!G11, t_wgtmGT3A, 2, FALSE), IF(AND(IF(AD10 = 5, TRUE, FALSE), IF(AE10 = 3, TRUE, FALSE)), VLOOKUP('Full Season Entries'!G11, t_wgtmGT4, 2, FALSE), IF(AND(IF(AD10 = 7, TRUE, FALSE), IF(AE10 = 1, TRUE, FALSE)), VLOOKUP('Full Season Entries'!G11, t_asmLMP3, 2, FALSE), IF(AND(IF(AD10 = 7, TRUE, FALSE), IF(AE10 = 2, TRUE, FALSE)), VLOOKUP('Full Season Entries'!G11, t_asmGT3, 2, FALSE), IF(AND(IF(AD10 = 7, TRUE, FALSE), IF(AE10 = 3, TRUE, FALSE)), VLOOKUP('Full Season Entries'!G11, t_asmGT4, 2, FALSE), "")))))))))))))))))))))))))))</f>
        <v/>
      </c>
      <c r="AJ10" s="1" t="str">
        <f t="shared" si="4"/>
        <v/>
      </c>
      <c r="AK10" s="1" t="str">
        <f t="shared" si="5"/>
        <v/>
      </c>
      <c r="AL10" s="1" t="str">
        <f t="shared" si="24"/>
        <v/>
      </c>
      <c r="AM10" s="1" t="str">
        <f t="shared" si="6"/>
        <v/>
      </c>
      <c r="AO10" s="1" t="str">
        <f>'Full Season Entries'!I11</f>
        <v/>
      </c>
      <c r="AQ10" s="1">
        <f t="shared" si="7"/>
        <v>0</v>
      </c>
      <c r="AR10" s="1">
        <f>'Full Season Entries'!P11</f>
        <v>0</v>
      </c>
      <c r="AS10" s="1">
        <f>IF('Full Season Entries'!Q11 &lt;&gt; "", REPLACE('Full Season Entries'!Q11, 1, 1, "Level "), 0)</f>
        <v>0</v>
      </c>
      <c r="AT10" s="1">
        <f t="shared" si="8"/>
        <v>0</v>
      </c>
      <c r="AU10" s="1">
        <f>'Full Season Entries'!R11</f>
        <v>0</v>
      </c>
      <c r="AV10" s="1">
        <f>IF('Full Season Entries'!S11 &lt;&gt; "", REPLACE('Full Season Entries'!S11, 1, 1, "Level "), 0)</f>
        <v>0</v>
      </c>
      <c r="AW10" s="1">
        <f>IF('Full Season Entries'!T11 &lt;&gt; "", VLOOKUP('Full Season Entries'!T11, setupCostsReliability, 2, FALSE), 0)</f>
        <v>0</v>
      </c>
      <c r="AZ10" s="47" t="str">
        <f>IF('One-Off Entries'!I11 = "Yes", 0, IF(BQ10 &lt;&gt; "", IF(BQ10 = 1, VLOOKUP(BT10, gemCosts, 5, FALSE), IF(BQ10 = 2, VLOOKUP(BT10, nasccCosts, 5, FALSE), IF(BQ10 = 2.1, VLOOKUP(BT10, nasccScCosts, 5, FALSE), IF(BQ10 = 2.2, VLOOKUP(BT10, nasccEcCosts, 5, FALSE), IF(BQ10 = 3, VLOOKUP(BT10, euemCosts, 5, FALSE), IF(BQ10 = 4, VLOOKUP(BT10, wgtssCosts, 5, FALSE), IF(BQ10 = 5, VLOOKUP(BT10, wgtmCosts, 5, FALSE), IF(BQ10 = 6, VLOOKUP(BT10, wpcCosts, 5, FALSE), IF(BQ10 = 7, VLOOKUP(BT10, asmCosts, 5, FALSE), "")))))))))))</f>
        <v/>
      </c>
      <c r="BA10" s="47" t="str">
        <f t="shared" si="25"/>
        <v/>
      </c>
      <c r="BB10" s="47" t="str">
        <f t="shared" si="26"/>
        <v/>
      </c>
      <c r="BC10" s="51" t="str">
        <f>IF('One-Off Entries'!M11 &lt;&gt; "", IF('One-Off Entries'!M11 = "Bronze", -BX10, VLOOKUP('One-Off Entries'!M11, driverCosts, 2, FALSE) * BM10), "")</f>
        <v/>
      </c>
      <c r="BD10" s="2" t="str">
        <f>IF('One-Off Entries'!N11 &lt;&gt; "", IF('One-Off Entries'!N11 = "Bronze", -BY10, VLOOKUP('One-Off Entries'!N11, driverCosts, 2, FALSE) * BM10), "")</f>
        <v/>
      </c>
      <c r="BE10" s="2" t="str">
        <f>IF('One-Off Entries'!O11 &lt;&gt; "", IF('One-Off Entries'!O11 = "Bronze", -BZ10, VLOOKUP('One-Off Entries'!O11, driverCosts, 2, FALSE) * BM10), "")</f>
        <v/>
      </c>
      <c r="BF10" s="52" t="str">
        <f>IF('One-Off Entries'!P11 &lt;&gt; "", IF('One-Off Entries'!P11 = "Bronze", -CA10, VLOOKUP('One-Off Entries'!P11, driverCosts, 2, FALSE) * BM10), "")</f>
        <v/>
      </c>
      <c r="BG10" s="51">
        <f t="shared" si="27"/>
        <v>0</v>
      </c>
      <c r="BH10" s="2">
        <f t="shared" si="28"/>
        <v>0</v>
      </c>
      <c r="BI10" s="52">
        <f t="shared" si="29"/>
        <v>0</v>
      </c>
      <c r="BL10" s="1" t="str">
        <f t="shared" si="9"/>
        <v/>
      </c>
      <c r="BM10" s="1" t="str">
        <f t="shared" si="10"/>
        <v/>
      </c>
      <c r="BO10" s="1">
        <f>'One-Off Entries'!C11</f>
        <v>0</v>
      </c>
      <c r="BP10" s="1" t="str">
        <f>'One-Off Entries'!L11</f>
        <v/>
      </c>
      <c r="BQ10" s="1">
        <f>'One-Off Entries'!AI11</f>
        <v>0</v>
      </c>
      <c r="BR10" s="1">
        <f>'One-Off Entries'!AJ11</f>
        <v>0</v>
      </c>
      <c r="BT10" s="1" t="str">
        <f>'One-Off Entries'!E11</f>
        <v/>
      </c>
      <c r="BV10" s="1" t="str">
        <f>IF(AND(IF(BQ10 = 1, TRUE, FALSE), IF(BR10 = 1, TRUE, FALSE)), VLOOKUP('One-Off Entries'!H11, t_gemLMP1, 2, FALSE), IF(AND(IF(BQ10 = 1, TRUE, FALSE), IF(BR10 = 2, TRUE, FALSE)), VLOOKUP('One-Off Entries'!H11, t_gemLMP2, 2, FALSE), IF(AND(IF(BQ10 = 1, TRUE, FALSE), IF(BR10 = 3, TRUE, FALSE)), VLOOKUP('One-Off Entries'!H11, t_gemLMGTE, 2, FALSE), IF(AND(IF(BQ10 = 1, TRUE, FALSE), IF(BR10 = 4, TRUE, FALSE)), VLOOKUP('One-Off Entries'!H11, t_gemLMGTE, 2, FALSE), IF(AND(IF(BQ10 = 2, TRUE, FALSE), IF(BR10 = 1, TRUE, FALSE)), VLOOKUP('One-Off Entries'!H11, t_nasccDPi, 2, FALSE), IF(AND(IF(BQ10 = 2, TRUE, FALSE), IF(BR10 = 2, TRUE, FALSE)), VLOOKUP('One-Off Entries'!H11, t_nasccLMP2, 2, FALSE), IF(AND(IF(BQ10 = 2, TRUE, FALSE), IF(BR10 = 3, TRUE, FALSE)), VLOOKUP('One-Off Entries'!H11, t_nasccGTLM, 2, FALSE), IF(AND(IF(BQ10 = 2, TRUE, FALSE), IF(BR10 = 4, TRUE, FALSE)), VLOOKUP('One-Off Entries'!H11, t_nasccGTD, 2, FALSE), IF(AND(IF(BQ10 = 2.1, TRUE, FALSE), IF(BR10 = 1, TRUE, FALSE)), VLOOKUP('One-Off Entries'!H11, t_nasccDPi, 2, FALSE), IF(AND(IF(BQ10 = 2.1, TRUE, FALSE), IF(BR10 = 2, TRUE, FALSE)), VLOOKUP('One-Off Entries'!H11, t_nasccLMP2, 2, FALSE), IF(AND(IF(BQ10 = 2.1, TRUE, FALSE), IF(BR10 = 3, TRUE, FALSE)), VLOOKUP('One-Off Entries'!H11, t_nasccGTLM, 2, FALSE), IF(AND(IF(BQ10 = 2.1, TRUE, FALSE), IF(BR10 = 4, TRUE, FALSE)), VLOOKUP('One-Off Entries'!H11, t_nasccGTD, 2, FALSE), IF(AND(IF(BQ10 = 2.2, TRUE, FALSE), IF(BR10 = 1, TRUE, FALSE)), VLOOKUP('One-Off Entries'!H11, t_nasccDPi, 2, FALSE), IF(AND(IF(BQ10 = 2.2, TRUE, FALSE), IF(BR10 = 2, TRUE, FALSE)), VLOOKUP('One-Off Entries'!H11, t_nasccLMP2, 2, FALSE), IF(AND(IF(BQ10 = 2.2, TRUE, FALSE), IF(BR10 = 3, TRUE, FALSE)), VLOOKUP('One-Off Entries'!H11, t_nasccGTLM, 2, FALSE), IF(AND(IF(BQ10 = 2.2, TRUE, FALSE), IF(BR10 = 4, TRUE, FALSE)), VLOOKUP('One-Off Entries'!H11, t_nasccGTD, 2, FALSE), IF(AND(IF(BQ10 = 3, TRUE, FALSE), IF(BR10 = 1, TRUE, FALSE)), VLOOKUP('One-Off Entries'!H11, t_euemLMP2, 2, FALSE), IF(AND(IF(BQ10 = 3, TRUE, FALSE), IF(BR10 = 2, TRUE, FALSE)), VLOOKUP('One-Off Entries'!H11, t_euemLMP3, 2, FALSE), IF(AND(IF(BQ10 = 3, TRUE, FALSE), IF(BR10 = 3, TRUE, FALSE)), VLOOKUP('One-Off Entries'!H11, t_euemLMGTE, 2, FALSE), IF(AND(IF(BQ10 = 4, TRUE, FALSE), IF(BR10 = 1, TRUE, FALSE)), VLOOKUP('One-Off Entries'!H11, t_wgtssGT3, 2, FALSE), IF(AND(IF(BQ10 = 4, TRUE, FALSE), IF(BR10 = 2, TRUE, FALSE)), VLOOKUP('One-Off Entries'!H11, t_wgtssGT4, 2, FALSE), IF(AND(IF(BQ10 = 5, TRUE, FALSE), IF(BR10 = 1, TRUE, FALSE)), VLOOKUP('One-Off Entries'!H11, t_wgtmGT3P, 2, FALSE), IF(AND(IF(BQ10 = 5, TRUE, FALSE), IF(BR10 = 2, TRUE, FALSE)), VLOOKUP('One-Off Entries'!H11, t_wgtmGT3A, 2, FALSE), IF(AND(IF(BQ10 = 5, TRUE, FALSE), IF(BR10 = 3, TRUE, FALSE)), VLOOKUP('One-Off Entries'!H11, t_wgtmGT4, 2, FALSE), IF(AND(IF(BQ10 = 7, TRUE, FALSE), IF(BR10 = 1, TRUE, FALSE)), VLOOKUP('One-Off Entries'!H11, t_asmLMP3, 2, FALSE), IF(AND(IF(BQ10 = 7, TRUE, FALSE), IF(BR10 = 2, TRUE, FALSE)), VLOOKUP('One-Off Entries'!H11, t_asmGT3, 2, FALSE), IF(AND(IF(BQ10 = 7, TRUE, FALSE), IF(BR10 = 3, TRUE, FALSE)), VLOOKUP('One-Off Entries'!H11, t_asmGT4, 2, FALSE), "")))))))))))))))))))))))))))</f>
        <v/>
      </c>
      <c r="BX10" s="1" t="str">
        <f t="shared" si="11"/>
        <v/>
      </c>
      <c r="BY10" s="1" t="str">
        <f t="shared" si="12"/>
        <v/>
      </c>
      <c r="BZ10" s="1" t="str">
        <f t="shared" si="13"/>
        <v/>
      </c>
      <c r="CA10" s="1" t="str">
        <f t="shared" si="14"/>
        <v/>
      </c>
      <c r="CC10" s="1" t="str">
        <f>'One-Off Entries'!K11</f>
        <v/>
      </c>
      <c r="CD10" s="1">
        <f t="shared" si="15"/>
        <v>0</v>
      </c>
      <c r="CE10" s="1">
        <f>'One-Off Entries'!R11</f>
        <v>0</v>
      </c>
      <c r="CF10" s="1">
        <f>IF('One-Off Entries'!S11 &lt;&gt; "", REPLACE('One-Off Entries'!S11, 1, 1, "Level "), 0)</f>
        <v>0</v>
      </c>
      <c r="CG10" s="1">
        <f t="shared" si="16"/>
        <v>0</v>
      </c>
      <c r="CH10" s="1">
        <f>'One-Off Entries'!T11</f>
        <v>0</v>
      </c>
      <c r="CI10" s="1">
        <f>IF('One-Off Entries'!U11 &lt;&gt; "", REPLACE('One-Off Entries'!U11, 1, 1, "Level "), 0)</f>
        <v>0</v>
      </c>
      <c r="CJ10" s="1">
        <f>IF('One-Off Entries'!V11 &lt;&gt; "", VLOOKUP('One-Off Entries'!V11, setupCostsReliability, 2, FALSE), 0)</f>
        <v>0</v>
      </c>
    </row>
    <row r="11" spans="2:88" ht="18" customHeight="1" x14ac:dyDescent="0.3">
      <c r="B11" s="47" t="s">
        <v>374</v>
      </c>
      <c r="C11" s="47">
        <f>ROUND(SUM(O5:O39, BB5:BB39), 3)</f>
        <v>0</v>
      </c>
      <c r="D11" s="47" t="str">
        <f>CONCATENATE("$", C11, " Million")</f>
        <v>$0 Million</v>
      </c>
      <c r="G11" s="47">
        <f>IF('Car Purchase'!D11 &lt;&gt; "", VLOOKUP('Car Purchase'!D11, modelData, 3, FALSE), "")</f>
        <v>1.65</v>
      </c>
      <c r="H11" s="51">
        <f>IF('Car Purchase'!I11 &lt;&gt; "", VLOOKUP('Car Purchase'!I11, modelData, 4, FALSE) * 'Car Purchase'!J11, "")</f>
        <v>0</v>
      </c>
      <c r="I11" s="2">
        <f>IF('Car Purchase'!I11 &lt;&gt; "", VLOOKUP('Car Purchase'!I11, modelData, 5, FALSE) * 'Car Purchase'!K11, "")</f>
        <v>0</v>
      </c>
      <c r="J11" s="52">
        <f>IF('Car Purchase'!I11 &lt;&gt; "", VLOOKUP('Car Purchase'!I11, modelData, 6, FALSE) * 'Car Purchase'!L11, "")</f>
        <v>0</v>
      </c>
      <c r="M11" s="47" t="str">
        <f t="shared" si="0"/>
        <v/>
      </c>
      <c r="N11" s="47" t="str">
        <f t="shared" si="18"/>
        <v/>
      </c>
      <c r="O11" s="47" t="str">
        <f t="shared" si="1"/>
        <v/>
      </c>
      <c r="P11" s="51" t="str">
        <f>IF('Full Season Entries'!K12 &lt;&gt; "", IF('Full Season Entries'!K12 = "Bronze", -AJ11, VLOOKUP('Full Season Entries'!K12, driverCosts, 2, FALSE) * Z11), "")</f>
        <v/>
      </c>
      <c r="Q11" s="2" t="str">
        <f>IF('Full Season Entries'!L12 &lt;&gt; "", IF('Full Season Entries'!L12 = "Bronze", -AK11, VLOOKUP('Full Season Entries'!L12, driverCosts, 2, FALSE) * Z11), "")</f>
        <v/>
      </c>
      <c r="R11" s="2" t="str">
        <f>IF('Full Season Entries'!M12 &lt;&gt; "", IF('Full Season Entries'!M12 = "Bronze", -AL11, IF(AND(AD11 = 2, OR(AF11 = "DPi", AF11 = "GTLM")), VLOOKUP('Full Season Entries'!M12, driverCosts, 2, FALSE) * VLOOKUP(AF11, nasccEcCosts, 3, FALSE), IF(AD11 = 7, VLOOKUP('Full Season Entries'!M12, driverCosts, 2, FALSE) * VLOOKUP("ASM 210 Minutes of CoTA", oneOffs, 3, FALSE), VLOOKUP('Full Season Entries'!M12, driverCosts, 2, FALSE) * Z11))), "")</f>
        <v/>
      </c>
      <c r="S11" s="52" t="str">
        <f>IF('Full Season Entries'!N12 &lt;&gt; "", IF('Full Season Entries'!N12 = "Bronze", -AM11, VLOOKUP('Full Season Entries'!N12, driverCosts, 2, FALSE) * Z11), "")</f>
        <v/>
      </c>
      <c r="T11" s="51">
        <f t="shared" si="19"/>
        <v>0</v>
      </c>
      <c r="U11" s="2">
        <f t="shared" si="20"/>
        <v>0</v>
      </c>
      <c r="V11" s="52">
        <f t="shared" si="21"/>
        <v>0</v>
      </c>
      <c r="Y11" s="1" t="str">
        <f t="shared" si="22"/>
        <v/>
      </c>
      <c r="Z11" s="1">
        <f t="shared" si="23"/>
        <v>0</v>
      </c>
      <c r="AA11" s="1">
        <f t="shared" si="3"/>
        <v>0</v>
      </c>
      <c r="AC11" s="1" t="str">
        <f>'Full Season Entries'!J12</f>
        <v/>
      </c>
      <c r="AD11" s="1">
        <f>'Full Season Entries'!AF12</f>
        <v>0</v>
      </c>
      <c r="AE11" s="1">
        <f>'Full Season Entries'!AG12</f>
        <v>0</v>
      </c>
      <c r="AF11" s="1" t="str">
        <f>'Full Season Entries'!D12</f>
        <v/>
      </c>
      <c r="AH11" s="1" t="str">
        <f>IF(AND(IF(AD11 = 1, TRUE, FALSE), IF(AE11 = 1, TRUE, FALSE)), VLOOKUP('Full Season Entries'!G12, t_gemLMP1, 2, FALSE), IF(AND(IF(AD11 = 1, TRUE, FALSE), IF(AE11 = 2, TRUE, FALSE)), VLOOKUP('Full Season Entries'!G12, t_gemLMP2, 2, FALSE), IF(AND(IF(AD11 = 1, TRUE, FALSE), IF(AE11 = 3, TRUE, FALSE)), VLOOKUP('Full Season Entries'!G12, t_gemLMGTE, 2, FALSE), IF(AND(IF(AD11 = 1, TRUE, FALSE), IF(AE11 = 4, TRUE, FALSE)), VLOOKUP('Full Season Entries'!G12, t_gemLMGTE, 2, FALSE), IF(AND(IF(AD11 = 2, TRUE, FALSE), IF(AE11 = 1, TRUE, FALSE)), VLOOKUP('Full Season Entries'!G12, t_nasccDPi, 2, FALSE), IF(AND(IF(AD11 = 2, TRUE, FALSE), IF(AE11 = 2, TRUE, FALSE)), VLOOKUP('Full Season Entries'!G12, t_nasccLMP2, 2, FALSE), IF(AND(IF(AD11 = 2, TRUE, FALSE), IF(AE11 = 3, TRUE, FALSE)), VLOOKUP('Full Season Entries'!G12, t_nasccGTLM, 2, FALSE), IF(AND(IF(AD11 = 2, TRUE, FALSE), IF(AE11 = 4, TRUE, FALSE)), VLOOKUP('Full Season Entries'!G12, t_nasccGTD, 2, FALSE), IF(AND(IF(AD11 = 2.1, TRUE, FALSE), IF(AE11 = 1, TRUE, FALSE)), VLOOKUP('Full Season Entries'!G12, t_nasccDPi, 2, FALSE), IF(AND(IF(AD11 = 2.1, TRUE, FALSE), IF(AE11 = 2, TRUE, FALSE)), VLOOKUP('Full Season Entries'!G12, t_nasccLMP2, 2, FALSE), IF(AND(IF(AD11 = 2.1, TRUE, FALSE), IF(AE11 = 3, TRUE, FALSE)), VLOOKUP('Full Season Entries'!G12, t_nasccGTLM, 2, FALSE), IF(AND(IF(AD11 = 2.1, TRUE, FALSE), IF(AE11 = 4, TRUE, FALSE)), VLOOKUP('Full Season Entries'!G12, t_nasccGTD, 2, FALSE), IF(AND(IF(AD11 = 2.2, TRUE, FALSE), IF(AE11 = 1, TRUE, FALSE)), VLOOKUP('Full Season Entries'!G12, t_nasccDPi, 2, FALSE), IF(AND(IF(AD11 = 2.2, TRUE, FALSE), IF(AE11 = 2, TRUE, FALSE)), VLOOKUP('Full Season Entries'!G12, t_nasccLMP2, 2, FALSE), IF(AND(IF(AD11 = 2.2, TRUE, FALSE), IF(AE11 = 3, TRUE, FALSE)), VLOOKUP('Full Season Entries'!G12, t_nasccGTLM, 2, FALSE), IF(AND(IF(AD11 = 2.2, TRUE, FALSE), IF(AE11 = 4, TRUE, FALSE)), VLOOKUP('Full Season Entries'!G12, t_nasccGTD, 2, FALSE), IF(AND(IF(AD11 = 3, TRUE, FALSE), IF(AE11 = 1, TRUE, FALSE)), VLOOKUP('Full Season Entries'!G12, t_euemLMP2, 2, FALSE), IF(AND(IF(AD11 = 3, TRUE, FALSE), IF(AE11 = 2, TRUE, FALSE)), VLOOKUP('Full Season Entries'!G12, t_euemLMP3, 2, FALSE), IF(AND(IF(AD11 = 3, TRUE, FALSE), IF(AE11 = 3, TRUE, FALSE)), VLOOKUP('Full Season Entries'!G12, t_euemLMGTE, 2, FALSE), IF(AND(IF(AD11 = 4, TRUE, FALSE), IF(AE11 = 1, TRUE, FALSE)), VLOOKUP('Full Season Entries'!G12, t_wgtssGT3, 2, FALSE), IF(AND(IF(AD11 = 4, TRUE, FALSE), IF(AE11 = 2, TRUE, FALSE)), VLOOKUP('Full Season Entries'!G12, t_wgtssGT4, 2, FALSE), IF(AND(IF(AD11 = 5, TRUE, FALSE), IF(AE11 = 1, TRUE, FALSE)), VLOOKUP('Full Season Entries'!G12, t_wgtmGT3P, 2, FALSE), IF(AND(IF(AD11 = 5, TRUE, FALSE), IF(AE11 = 2, TRUE, FALSE)), VLOOKUP('Full Season Entries'!G12, t_wgtmGT3A, 2, FALSE), IF(AND(IF(AD11 = 5, TRUE, FALSE), IF(AE11 = 3, TRUE, FALSE)), VLOOKUP('Full Season Entries'!G12, t_wgtmGT4, 2, FALSE), IF(AND(IF(AD11 = 7, TRUE, FALSE), IF(AE11 = 1, TRUE, FALSE)), VLOOKUP('Full Season Entries'!G12, t_asmLMP3, 2, FALSE), IF(AND(IF(AD11 = 7, TRUE, FALSE), IF(AE11 = 2, TRUE, FALSE)), VLOOKUP('Full Season Entries'!G12, t_asmGT3, 2, FALSE), IF(AND(IF(AD11 = 7, TRUE, FALSE), IF(AE11 = 3, TRUE, FALSE)), VLOOKUP('Full Season Entries'!G12, t_asmGT4, 2, FALSE), "")))))))))))))))))))))))))))</f>
        <v/>
      </c>
      <c r="AJ11" s="1" t="str">
        <f t="shared" si="4"/>
        <v/>
      </c>
      <c r="AK11" s="1" t="str">
        <f t="shared" si="5"/>
        <v/>
      </c>
      <c r="AL11" s="1" t="str">
        <f t="shared" si="24"/>
        <v/>
      </c>
      <c r="AM11" s="1" t="str">
        <f t="shared" si="6"/>
        <v/>
      </c>
      <c r="AO11" s="1" t="str">
        <f>'Full Season Entries'!I12</f>
        <v/>
      </c>
      <c r="AQ11" s="1">
        <f t="shared" si="7"/>
        <v>0</v>
      </c>
      <c r="AR11" s="1">
        <f>'Full Season Entries'!P12</f>
        <v>0</v>
      </c>
      <c r="AS11" s="1">
        <f>IF('Full Season Entries'!Q12 &lt;&gt; "", REPLACE('Full Season Entries'!Q12, 1, 1, "Level "), 0)</f>
        <v>0</v>
      </c>
      <c r="AT11" s="1">
        <f t="shared" si="8"/>
        <v>0</v>
      </c>
      <c r="AU11" s="1">
        <f>'Full Season Entries'!R12</f>
        <v>0</v>
      </c>
      <c r="AV11" s="1">
        <f>IF('Full Season Entries'!S12 &lt;&gt; "", REPLACE('Full Season Entries'!S12, 1, 1, "Level "), 0)</f>
        <v>0</v>
      </c>
      <c r="AW11" s="1">
        <f>IF('Full Season Entries'!T12 &lt;&gt; "", VLOOKUP('Full Season Entries'!T12, setupCostsReliability, 2, FALSE), 0)</f>
        <v>0</v>
      </c>
      <c r="AZ11" s="47" t="str">
        <f>IF('One-Off Entries'!I12 = "Yes", 0, IF(BQ11 &lt;&gt; "", IF(BQ11 = 1, VLOOKUP(BT11, gemCosts, 5, FALSE), IF(BQ11 = 2, VLOOKUP(BT11, nasccCosts, 5, FALSE), IF(BQ11 = 2.1, VLOOKUP(BT11, nasccScCosts, 5, FALSE), IF(BQ11 = 2.2, VLOOKUP(BT11, nasccEcCosts, 5, FALSE), IF(BQ11 = 3, VLOOKUP(BT11, euemCosts, 5, FALSE), IF(BQ11 = 4, VLOOKUP(BT11, wgtssCosts, 5, FALSE), IF(BQ11 = 5, VLOOKUP(BT11, wgtmCosts, 5, FALSE), IF(BQ11 = 6, VLOOKUP(BT11, wpcCosts, 5, FALSE), IF(BQ11 = 7, VLOOKUP(BT11, asmCosts, 5, FALSE), "")))))))))))</f>
        <v/>
      </c>
      <c r="BA11" s="47" t="str">
        <f t="shared" si="25"/>
        <v/>
      </c>
      <c r="BB11" s="47" t="str">
        <f t="shared" si="26"/>
        <v/>
      </c>
      <c r="BC11" s="51" t="str">
        <f>IF('One-Off Entries'!M12 &lt;&gt; "", IF('One-Off Entries'!M12 = "Bronze", -BX11, VLOOKUP('One-Off Entries'!M12, driverCosts, 2, FALSE) * BM11), "")</f>
        <v/>
      </c>
      <c r="BD11" s="2" t="str">
        <f>IF('One-Off Entries'!N12 &lt;&gt; "", IF('One-Off Entries'!N12 = "Bronze", -BY11, VLOOKUP('One-Off Entries'!N12, driverCosts, 2, FALSE) * BM11), "")</f>
        <v/>
      </c>
      <c r="BE11" s="2" t="str">
        <f>IF('One-Off Entries'!O12 &lt;&gt; "", IF('One-Off Entries'!O12 = "Bronze", -BZ11, VLOOKUP('One-Off Entries'!O12, driverCosts, 2, FALSE) * BM11), "")</f>
        <v/>
      </c>
      <c r="BF11" s="52" t="str">
        <f>IF('One-Off Entries'!P12 &lt;&gt; "", IF('One-Off Entries'!P12 = "Bronze", -CA11, VLOOKUP('One-Off Entries'!P12, driverCosts, 2, FALSE) * BM11), "")</f>
        <v/>
      </c>
      <c r="BG11" s="51">
        <f t="shared" si="27"/>
        <v>0</v>
      </c>
      <c r="BH11" s="2">
        <f t="shared" si="28"/>
        <v>0</v>
      </c>
      <c r="BI11" s="52">
        <f t="shared" si="29"/>
        <v>0</v>
      </c>
      <c r="BL11" s="1" t="str">
        <f t="shared" si="9"/>
        <v/>
      </c>
      <c r="BM11" s="1" t="str">
        <f t="shared" si="10"/>
        <v/>
      </c>
      <c r="BO11" s="1">
        <f>'One-Off Entries'!C12</f>
        <v>0</v>
      </c>
      <c r="BP11" s="1" t="str">
        <f>'One-Off Entries'!L12</f>
        <v/>
      </c>
      <c r="BQ11" s="1">
        <f>'One-Off Entries'!AI12</f>
        <v>0</v>
      </c>
      <c r="BR11" s="1">
        <f>'One-Off Entries'!AJ12</f>
        <v>0</v>
      </c>
      <c r="BT11" s="1" t="str">
        <f>'One-Off Entries'!E12</f>
        <v/>
      </c>
      <c r="BV11" s="1" t="str">
        <f>IF(AND(IF(BQ11 = 1, TRUE, FALSE), IF(BR11 = 1, TRUE, FALSE)), VLOOKUP('One-Off Entries'!H12, t_gemLMP1, 2, FALSE), IF(AND(IF(BQ11 = 1, TRUE, FALSE), IF(BR11 = 2, TRUE, FALSE)), VLOOKUP('One-Off Entries'!H12, t_gemLMP2, 2, FALSE), IF(AND(IF(BQ11 = 1, TRUE, FALSE), IF(BR11 = 3, TRUE, FALSE)), VLOOKUP('One-Off Entries'!H12, t_gemLMGTE, 2, FALSE), IF(AND(IF(BQ11 = 1, TRUE, FALSE), IF(BR11 = 4, TRUE, FALSE)), VLOOKUP('One-Off Entries'!H12, t_gemLMGTE, 2, FALSE), IF(AND(IF(BQ11 = 2, TRUE, FALSE), IF(BR11 = 1, TRUE, FALSE)), VLOOKUP('One-Off Entries'!H12, t_nasccDPi, 2, FALSE), IF(AND(IF(BQ11 = 2, TRUE, FALSE), IF(BR11 = 2, TRUE, FALSE)), VLOOKUP('One-Off Entries'!H12, t_nasccLMP2, 2, FALSE), IF(AND(IF(BQ11 = 2, TRUE, FALSE), IF(BR11 = 3, TRUE, FALSE)), VLOOKUP('One-Off Entries'!H12, t_nasccGTLM, 2, FALSE), IF(AND(IF(BQ11 = 2, TRUE, FALSE), IF(BR11 = 4, TRUE, FALSE)), VLOOKUP('One-Off Entries'!H12, t_nasccGTD, 2, FALSE), IF(AND(IF(BQ11 = 2.1, TRUE, FALSE), IF(BR11 = 1, TRUE, FALSE)), VLOOKUP('One-Off Entries'!H12, t_nasccDPi, 2, FALSE), IF(AND(IF(BQ11 = 2.1, TRUE, FALSE), IF(BR11 = 2, TRUE, FALSE)), VLOOKUP('One-Off Entries'!H12, t_nasccLMP2, 2, FALSE), IF(AND(IF(BQ11 = 2.1, TRUE, FALSE), IF(BR11 = 3, TRUE, FALSE)), VLOOKUP('One-Off Entries'!H12, t_nasccGTLM, 2, FALSE), IF(AND(IF(BQ11 = 2.1, TRUE, FALSE), IF(BR11 = 4, TRUE, FALSE)), VLOOKUP('One-Off Entries'!H12, t_nasccGTD, 2, FALSE), IF(AND(IF(BQ11 = 2.2, TRUE, FALSE), IF(BR11 = 1, TRUE, FALSE)), VLOOKUP('One-Off Entries'!H12, t_nasccDPi, 2, FALSE), IF(AND(IF(BQ11 = 2.2, TRUE, FALSE), IF(BR11 = 2, TRUE, FALSE)), VLOOKUP('One-Off Entries'!H12, t_nasccLMP2, 2, FALSE), IF(AND(IF(BQ11 = 2.2, TRUE, FALSE), IF(BR11 = 3, TRUE, FALSE)), VLOOKUP('One-Off Entries'!H12, t_nasccGTLM, 2, FALSE), IF(AND(IF(BQ11 = 2.2, TRUE, FALSE), IF(BR11 = 4, TRUE, FALSE)), VLOOKUP('One-Off Entries'!H12, t_nasccGTD, 2, FALSE), IF(AND(IF(BQ11 = 3, TRUE, FALSE), IF(BR11 = 1, TRUE, FALSE)), VLOOKUP('One-Off Entries'!H12, t_euemLMP2, 2, FALSE), IF(AND(IF(BQ11 = 3, TRUE, FALSE), IF(BR11 = 2, TRUE, FALSE)), VLOOKUP('One-Off Entries'!H12, t_euemLMP3, 2, FALSE), IF(AND(IF(BQ11 = 3, TRUE, FALSE), IF(BR11 = 3, TRUE, FALSE)), VLOOKUP('One-Off Entries'!H12, t_euemLMGTE, 2, FALSE), IF(AND(IF(BQ11 = 4, TRUE, FALSE), IF(BR11 = 1, TRUE, FALSE)), VLOOKUP('One-Off Entries'!H12, t_wgtssGT3, 2, FALSE), IF(AND(IF(BQ11 = 4, TRUE, FALSE), IF(BR11 = 2, TRUE, FALSE)), VLOOKUP('One-Off Entries'!H12, t_wgtssGT4, 2, FALSE), IF(AND(IF(BQ11 = 5, TRUE, FALSE), IF(BR11 = 1, TRUE, FALSE)), VLOOKUP('One-Off Entries'!H12, t_wgtmGT3P, 2, FALSE), IF(AND(IF(BQ11 = 5, TRUE, FALSE), IF(BR11 = 2, TRUE, FALSE)), VLOOKUP('One-Off Entries'!H12, t_wgtmGT3A, 2, FALSE), IF(AND(IF(BQ11 = 5, TRUE, FALSE), IF(BR11 = 3, TRUE, FALSE)), VLOOKUP('One-Off Entries'!H12, t_wgtmGT4, 2, FALSE), IF(AND(IF(BQ11 = 7, TRUE, FALSE), IF(BR11 = 1, TRUE, FALSE)), VLOOKUP('One-Off Entries'!H12, t_asmLMP3, 2, FALSE), IF(AND(IF(BQ11 = 7, TRUE, FALSE), IF(BR11 = 2, TRUE, FALSE)), VLOOKUP('One-Off Entries'!H12, t_asmGT3, 2, FALSE), IF(AND(IF(BQ11 = 7, TRUE, FALSE), IF(BR11 = 3, TRUE, FALSE)), VLOOKUP('One-Off Entries'!H12, t_asmGT4, 2, FALSE), "")))))))))))))))))))))))))))</f>
        <v/>
      </c>
      <c r="BX11" s="1" t="str">
        <f t="shared" si="11"/>
        <v/>
      </c>
      <c r="BY11" s="1" t="str">
        <f t="shared" si="12"/>
        <v/>
      </c>
      <c r="BZ11" s="1" t="str">
        <f t="shared" si="13"/>
        <v/>
      </c>
      <c r="CA11" s="1" t="str">
        <f t="shared" si="14"/>
        <v/>
      </c>
      <c r="CC11" s="1" t="str">
        <f>'One-Off Entries'!K12</f>
        <v/>
      </c>
      <c r="CD11" s="1">
        <f t="shared" si="15"/>
        <v>0</v>
      </c>
      <c r="CE11" s="1">
        <f>'One-Off Entries'!R12</f>
        <v>0</v>
      </c>
      <c r="CF11" s="1">
        <f>IF('One-Off Entries'!S12 &lt;&gt; "", REPLACE('One-Off Entries'!S12, 1, 1, "Level "), 0)</f>
        <v>0</v>
      </c>
      <c r="CG11" s="1">
        <f t="shared" si="16"/>
        <v>0</v>
      </c>
      <c r="CH11" s="1">
        <f>'One-Off Entries'!T12</f>
        <v>0</v>
      </c>
      <c r="CI11" s="1">
        <f>IF('One-Off Entries'!U12 &lt;&gt; "", REPLACE('One-Off Entries'!U12, 1, 1, "Level "), 0)</f>
        <v>0</v>
      </c>
      <c r="CJ11" s="1">
        <f>IF('One-Off Entries'!V12 &lt;&gt; "", VLOOKUP('One-Off Entries'!V12, setupCostsReliability, 2, FALSE), 0)</f>
        <v>0</v>
      </c>
    </row>
    <row r="12" spans="2:88" ht="18" customHeight="1" x14ac:dyDescent="0.3">
      <c r="B12" s="47" t="s">
        <v>245</v>
      </c>
      <c r="C12" s="47">
        <f>ROUND(SUM(P5:S39, BC5:BF39), 3)</f>
        <v>0</v>
      </c>
      <c r="D12" s="47" t="str">
        <f>CONCATENATE("$", C12, " Million")</f>
        <v>$0 Million</v>
      </c>
      <c r="G12" s="47">
        <f>IF('Car Purchase'!D12 &lt;&gt; "", VLOOKUP('Car Purchase'!D12, modelData, 3, FALSE), "")</f>
        <v>1.9</v>
      </c>
      <c r="H12" s="51">
        <f>IF('Car Purchase'!I12 &lt;&gt; "", VLOOKUP('Car Purchase'!I12, modelData, 4, FALSE) * 'Car Purchase'!J12, "")</f>
        <v>0</v>
      </c>
      <c r="I12" s="2">
        <f>IF('Car Purchase'!I12 &lt;&gt; "", VLOOKUP('Car Purchase'!I12, modelData, 5, FALSE) * 'Car Purchase'!K12, "")</f>
        <v>0</v>
      </c>
      <c r="J12" s="52">
        <f>IF('Car Purchase'!I12 &lt;&gt; "", VLOOKUP('Car Purchase'!I12, modelData, 6, FALSE) * 'Car Purchase'!L12, "")</f>
        <v>0</v>
      </c>
      <c r="M12" s="47" t="str">
        <f t="shared" si="0"/>
        <v/>
      </c>
      <c r="N12" s="47" t="str">
        <f t="shared" si="18"/>
        <v/>
      </c>
      <c r="O12" s="47" t="str">
        <f t="shared" si="1"/>
        <v/>
      </c>
      <c r="P12" s="51" t="str">
        <f>IF('Full Season Entries'!K13 &lt;&gt; "", IF('Full Season Entries'!K13 = "Bronze", -AJ12, VLOOKUP('Full Season Entries'!K13, driverCosts, 2, FALSE) * Z12), "")</f>
        <v/>
      </c>
      <c r="Q12" s="2" t="str">
        <f>IF('Full Season Entries'!L13 &lt;&gt; "", IF('Full Season Entries'!L13 = "Bronze", -AK12, VLOOKUP('Full Season Entries'!L13, driverCosts, 2, FALSE) * Z12), "")</f>
        <v/>
      </c>
      <c r="R12" s="2" t="str">
        <f>IF('Full Season Entries'!M13 &lt;&gt; "", IF('Full Season Entries'!M13 = "Bronze", -AL12, IF(AND(AD12 = 2, OR(AF12 = "DPi", AF12 = "GTLM")), VLOOKUP('Full Season Entries'!M13, driverCosts, 2, FALSE) * VLOOKUP(AF12, nasccEcCosts, 3, FALSE), IF(AD12 = 7, VLOOKUP('Full Season Entries'!M13, driverCosts, 2, FALSE) * VLOOKUP("ASM 210 Minutes of CoTA", oneOffs, 3, FALSE), VLOOKUP('Full Season Entries'!M13, driverCosts, 2, FALSE) * Z12))), "")</f>
        <v/>
      </c>
      <c r="S12" s="52" t="str">
        <f>IF('Full Season Entries'!N13 &lt;&gt; "", IF('Full Season Entries'!N13 = "Bronze", -AM12, VLOOKUP('Full Season Entries'!N13, driverCosts, 2, FALSE) * Z12), "")</f>
        <v/>
      </c>
      <c r="T12" s="51">
        <f t="shared" si="19"/>
        <v>0</v>
      </c>
      <c r="U12" s="2">
        <f t="shared" si="20"/>
        <v>0</v>
      </c>
      <c r="V12" s="52">
        <f t="shared" si="21"/>
        <v>0</v>
      </c>
      <c r="Y12" s="1" t="str">
        <f t="shared" si="22"/>
        <v/>
      </c>
      <c r="Z12" s="1">
        <f t="shared" si="23"/>
        <v>0</v>
      </c>
      <c r="AA12" s="1">
        <f t="shared" si="3"/>
        <v>0</v>
      </c>
      <c r="AC12" s="1" t="str">
        <f>'Full Season Entries'!J13</f>
        <v/>
      </c>
      <c r="AD12" s="1">
        <f>'Full Season Entries'!AF13</f>
        <v>0</v>
      </c>
      <c r="AE12" s="1">
        <f>'Full Season Entries'!AG13</f>
        <v>0</v>
      </c>
      <c r="AF12" s="1" t="str">
        <f>'Full Season Entries'!D13</f>
        <v/>
      </c>
      <c r="AH12" s="1" t="str">
        <f>IF(AND(IF(AD12 = 1, TRUE, FALSE), IF(AE12 = 1, TRUE, FALSE)), VLOOKUP('Full Season Entries'!G13, t_gemLMP1, 2, FALSE), IF(AND(IF(AD12 = 1, TRUE, FALSE), IF(AE12 = 2, TRUE, FALSE)), VLOOKUP('Full Season Entries'!G13, t_gemLMP2, 2, FALSE), IF(AND(IF(AD12 = 1, TRUE, FALSE), IF(AE12 = 3, TRUE, FALSE)), VLOOKUP('Full Season Entries'!G13, t_gemLMGTE, 2, FALSE), IF(AND(IF(AD12 = 1, TRUE, FALSE), IF(AE12 = 4, TRUE, FALSE)), VLOOKUP('Full Season Entries'!G13, t_gemLMGTE, 2, FALSE), IF(AND(IF(AD12 = 2, TRUE, FALSE), IF(AE12 = 1, TRUE, FALSE)), VLOOKUP('Full Season Entries'!G13, t_nasccDPi, 2, FALSE), IF(AND(IF(AD12 = 2, TRUE, FALSE), IF(AE12 = 2, TRUE, FALSE)), VLOOKUP('Full Season Entries'!G13, t_nasccLMP2, 2, FALSE), IF(AND(IF(AD12 = 2, TRUE, FALSE), IF(AE12 = 3, TRUE, FALSE)), VLOOKUP('Full Season Entries'!G13, t_nasccGTLM, 2, FALSE), IF(AND(IF(AD12 = 2, TRUE, FALSE), IF(AE12 = 4, TRUE, FALSE)), VLOOKUP('Full Season Entries'!G13, t_nasccGTD, 2, FALSE), IF(AND(IF(AD12 = 2.1, TRUE, FALSE), IF(AE12 = 1, TRUE, FALSE)), VLOOKUP('Full Season Entries'!G13, t_nasccDPi, 2, FALSE), IF(AND(IF(AD12 = 2.1, TRUE, FALSE), IF(AE12 = 2, TRUE, FALSE)), VLOOKUP('Full Season Entries'!G13, t_nasccLMP2, 2, FALSE), IF(AND(IF(AD12 = 2.1, TRUE, FALSE), IF(AE12 = 3, TRUE, FALSE)), VLOOKUP('Full Season Entries'!G13, t_nasccGTLM, 2, FALSE), IF(AND(IF(AD12 = 2.1, TRUE, FALSE), IF(AE12 = 4, TRUE, FALSE)), VLOOKUP('Full Season Entries'!G13, t_nasccGTD, 2, FALSE), IF(AND(IF(AD12 = 2.2, TRUE, FALSE), IF(AE12 = 1, TRUE, FALSE)), VLOOKUP('Full Season Entries'!G13, t_nasccDPi, 2, FALSE), IF(AND(IF(AD12 = 2.2, TRUE, FALSE), IF(AE12 = 2, TRUE, FALSE)), VLOOKUP('Full Season Entries'!G13, t_nasccLMP2, 2, FALSE), IF(AND(IF(AD12 = 2.2, TRUE, FALSE), IF(AE12 = 3, TRUE, FALSE)), VLOOKUP('Full Season Entries'!G13, t_nasccGTLM, 2, FALSE), IF(AND(IF(AD12 = 2.2, TRUE, FALSE), IF(AE12 = 4, TRUE, FALSE)), VLOOKUP('Full Season Entries'!G13, t_nasccGTD, 2, FALSE), IF(AND(IF(AD12 = 3, TRUE, FALSE), IF(AE12 = 1, TRUE, FALSE)), VLOOKUP('Full Season Entries'!G13, t_euemLMP2, 2, FALSE), IF(AND(IF(AD12 = 3, TRUE, FALSE), IF(AE12 = 2, TRUE, FALSE)), VLOOKUP('Full Season Entries'!G13, t_euemLMP3, 2, FALSE), IF(AND(IF(AD12 = 3, TRUE, FALSE), IF(AE12 = 3, TRUE, FALSE)), VLOOKUP('Full Season Entries'!G13, t_euemLMGTE, 2, FALSE), IF(AND(IF(AD12 = 4, TRUE, FALSE), IF(AE12 = 1, TRUE, FALSE)), VLOOKUP('Full Season Entries'!G13, t_wgtssGT3, 2, FALSE), IF(AND(IF(AD12 = 4, TRUE, FALSE), IF(AE12 = 2, TRUE, FALSE)), VLOOKUP('Full Season Entries'!G13, t_wgtssGT4, 2, FALSE), IF(AND(IF(AD12 = 5, TRUE, FALSE), IF(AE12 = 1, TRUE, FALSE)), VLOOKUP('Full Season Entries'!G13, t_wgtmGT3P, 2, FALSE), IF(AND(IF(AD12 = 5, TRUE, FALSE), IF(AE12 = 2, TRUE, FALSE)), VLOOKUP('Full Season Entries'!G13, t_wgtmGT3A, 2, FALSE), IF(AND(IF(AD12 = 5, TRUE, FALSE), IF(AE12 = 3, TRUE, FALSE)), VLOOKUP('Full Season Entries'!G13, t_wgtmGT4, 2, FALSE), IF(AND(IF(AD12 = 7, TRUE, FALSE), IF(AE12 = 1, TRUE, FALSE)), VLOOKUP('Full Season Entries'!G13, t_asmLMP3, 2, FALSE), IF(AND(IF(AD12 = 7, TRUE, FALSE), IF(AE12 = 2, TRUE, FALSE)), VLOOKUP('Full Season Entries'!G13, t_asmGT3, 2, FALSE), IF(AND(IF(AD12 = 7, TRUE, FALSE), IF(AE12 = 3, TRUE, FALSE)), VLOOKUP('Full Season Entries'!G13, t_asmGT4, 2, FALSE), "")))))))))))))))))))))))))))</f>
        <v/>
      </c>
      <c r="AJ12" s="1" t="str">
        <f t="shared" si="4"/>
        <v/>
      </c>
      <c r="AK12" s="1" t="str">
        <f t="shared" si="5"/>
        <v/>
      </c>
      <c r="AL12" s="1" t="str">
        <f t="shared" si="24"/>
        <v/>
      </c>
      <c r="AM12" s="1" t="str">
        <f t="shared" si="6"/>
        <v/>
      </c>
      <c r="AO12" s="1" t="str">
        <f>'Full Season Entries'!I13</f>
        <v/>
      </c>
      <c r="AQ12" s="1">
        <f t="shared" si="7"/>
        <v>0</v>
      </c>
      <c r="AR12" s="1">
        <f>'Full Season Entries'!P13</f>
        <v>0</v>
      </c>
      <c r="AS12" s="1">
        <f>IF('Full Season Entries'!Q13 &lt;&gt; "", REPLACE('Full Season Entries'!Q13, 1, 1, "Level "), 0)</f>
        <v>0</v>
      </c>
      <c r="AT12" s="1">
        <f t="shared" si="8"/>
        <v>0</v>
      </c>
      <c r="AU12" s="1">
        <f>'Full Season Entries'!R13</f>
        <v>0</v>
      </c>
      <c r="AV12" s="1">
        <f>IF('Full Season Entries'!S13 &lt;&gt; "", REPLACE('Full Season Entries'!S13, 1, 1, "Level "), 0)</f>
        <v>0</v>
      </c>
      <c r="AW12" s="1">
        <f>IF('Full Season Entries'!T13 &lt;&gt; "", VLOOKUP('Full Season Entries'!T13, setupCostsReliability, 2, FALSE), 0)</f>
        <v>0</v>
      </c>
      <c r="AZ12" s="47" t="str">
        <f>IF('One-Off Entries'!I13 = "Yes", 0, IF(BQ12 &lt;&gt; "", IF(BQ12 = 1, VLOOKUP(BT12, gemCosts, 5, FALSE), IF(BQ12 = 2, VLOOKUP(BT12, nasccCosts, 5, FALSE), IF(BQ12 = 2.1, VLOOKUP(BT12, nasccScCosts, 5, FALSE), IF(BQ12 = 2.2, VLOOKUP(BT12, nasccEcCosts, 5, FALSE), IF(BQ12 = 3, VLOOKUP(BT12, euemCosts, 5, FALSE), IF(BQ12 = 4, VLOOKUP(BT12, wgtssCosts, 5, FALSE), IF(BQ12 = 5, VLOOKUP(BT12, wgtmCosts, 5, FALSE), IF(BQ12 = 6, VLOOKUP(BT12, wpcCosts, 5, FALSE), IF(BQ12 = 7, VLOOKUP(BT12, asmCosts, 5, FALSE), "")))))))))))</f>
        <v/>
      </c>
      <c r="BA12" s="47" t="str">
        <f t="shared" si="25"/>
        <v/>
      </c>
      <c r="BB12" s="47" t="str">
        <f t="shared" si="26"/>
        <v/>
      </c>
      <c r="BC12" s="51" t="str">
        <f>IF('One-Off Entries'!M13 &lt;&gt; "", IF('One-Off Entries'!M13 = "Bronze", -BX12, VLOOKUP('One-Off Entries'!M13, driverCosts, 2, FALSE) * BM12), "")</f>
        <v/>
      </c>
      <c r="BD12" s="2" t="str">
        <f>IF('One-Off Entries'!N13 &lt;&gt; "", IF('One-Off Entries'!N13 = "Bronze", -BY12, VLOOKUP('One-Off Entries'!N13, driverCosts, 2, FALSE) * BM12), "")</f>
        <v/>
      </c>
      <c r="BE12" s="2" t="str">
        <f>IF('One-Off Entries'!O13 &lt;&gt; "", IF('One-Off Entries'!O13 = "Bronze", -BZ12, VLOOKUP('One-Off Entries'!O13, driverCosts, 2, FALSE) * BM12), "")</f>
        <v/>
      </c>
      <c r="BF12" s="52" t="str">
        <f>IF('One-Off Entries'!P13 &lt;&gt; "", IF('One-Off Entries'!P13 = "Bronze", -CA12, VLOOKUP('One-Off Entries'!P13, driverCosts, 2, FALSE) * BM12), "")</f>
        <v/>
      </c>
      <c r="BG12" s="51">
        <f t="shared" si="27"/>
        <v>0</v>
      </c>
      <c r="BH12" s="2">
        <f t="shared" si="28"/>
        <v>0</v>
      </c>
      <c r="BI12" s="52">
        <f t="shared" si="29"/>
        <v>0</v>
      </c>
      <c r="BL12" s="1" t="str">
        <f t="shared" si="9"/>
        <v/>
      </c>
      <c r="BM12" s="1" t="str">
        <f t="shared" si="10"/>
        <v/>
      </c>
      <c r="BO12" s="1">
        <f>'One-Off Entries'!C13</f>
        <v>0</v>
      </c>
      <c r="BP12" s="1" t="str">
        <f>'One-Off Entries'!L13</f>
        <v/>
      </c>
      <c r="BQ12" s="1">
        <f>'One-Off Entries'!AI13</f>
        <v>0</v>
      </c>
      <c r="BR12" s="1">
        <f>'One-Off Entries'!AJ13</f>
        <v>0</v>
      </c>
      <c r="BT12" s="1" t="str">
        <f>'One-Off Entries'!E13</f>
        <v/>
      </c>
      <c r="BV12" s="1" t="str">
        <f>IF(AND(IF(BQ12 = 1, TRUE, FALSE), IF(BR12 = 1, TRUE, FALSE)), VLOOKUP('One-Off Entries'!H13, t_gemLMP1, 2, FALSE), IF(AND(IF(BQ12 = 1, TRUE, FALSE), IF(BR12 = 2, TRUE, FALSE)), VLOOKUP('One-Off Entries'!H13, t_gemLMP2, 2, FALSE), IF(AND(IF(BQ12 = 1, TRUE, FALSE), IF(BR12 = 3, TRUE, FALSE)), VLOOKUP('One-Off Entries'!H13, t_gemLMGTE, 2, FALSE), IF(AND(IF(BQ12 = 1, TRUE, FALSE), IF(BR12 = 4, TRUE, FALSE)), VLOOKUP('One-Off Entries'!H13, t_gemLMGTE, 2, FALSE), IF(AND(IF(BQ12 = 2, TRUE, FALSE), IF(BR12 = 1, TRUE, FALSE)), VLOOKUP('One-Off Entries'!H13, t_nasccDPi, 2, FALSE), IF(AND(IF(BQ12 = 2, TRUE, FALSE), IF(BR12 = 2, TRUE, FALSE)), VLOOKUP('One-Off Entries'!H13, t_nasccLMP2, 2, FALSE), IF(AND(IF(BQ12 = 2, TRUE, FALSE), IF(BR12 = 3, TRUE, FALSE)), VLOOKUP('One-Off Entries'!H13, t_nasccGTLM, 2, FALSE), IF(AND(IF(BQ12 = 2, TRUE, FALSE), IF(BR12 = 4, TRUE, FALSE)), VLOOKUP('One-Off Entries'!H13, t_nasccGTD, 2, FALSE), IF(AND(IF(BQ12 = 2.1, TRUE, FALSE), IF(BR12 = 1, TRUE, FALSE)), VLOOKUP('One-Off Entries'!H13, t_nasccDPi, 2, FALSE), IF(AND(IF(BQ12 = 2.1, TRUE, FALSE), IF(BR12 = 2, TRUE, FALSE)), VLOOKUP('One-Off Entries'!H13, t_nasccLMP2, 2, FALSE), IF(AND(IF(BQ12 = 2.1, TRUE, FALSE), IF(BR12 = 3, TRUE, FALSE)), VLOOKUP('One-Off Entries'!H13, t_nasccGTLM, 2, FALSE), IF(AND(IF(BQ12 = 2.1, TRUE, FALSE), IF(BR12 = 4, TRUE, FALSE)), VLOOKUP('One-Off Entries'!H13, t_nasccGTD, 2, FALSE), IF(AND(IF(BQ12 = 2.2, TRUE, FALSE), IF(BR12 = 1, TRUE, FALSE)), VLOOKUP('One-Off Entries'!H13, t_nasccDPi, 2, FALSE), IF(AND(IF(BQ12 = 2.2, TRUE, FALSE), IF(BR12 = 2, TRUE, FALSE)), VLOOKUP('One-Off Entries'!H13, t_nasccLMP2, 2, FALSE), IF(AND(IF(BQ12 = 2.2, TRUE, FALSE), IF(BR12 = 3, TRUE, FALSE)), VLOOKUP('One-Off Entries'!H13, t_nasccGTLM, 2, FALSE), IF(AND(IF(BQ12 = 2.2, TRUE, FALSE), IF(BR12 = 4, TRUE, FALSE)), VLOOKUP('One-Off Entries'!H13, t_nasccGTD, 2, FALSE), IF(AND(IF(BQ12 = 3, TRUE, FALSE), IF(BR12 = 1, TRUE, FALSE)), VLOOKUP('One-Off Entries'!H13, t_euemLMP2, 2, FALSE), IF(AND(IF(BQ12 = 3, TRUE, FALSE), IF(BR12 = 2, TRUE, FALSE)), VLOOKUP('One-Off Entries'!H13, t_euemLMP3, 2, FALSE), IF(AND(IF(BQ12 = 3, TRUE, FALSE), IF(BR12 = 3, TRUE, FALSE)), VLOOKUP('One-Off Entries'!H13, t_euemLMGTE, 2, FALSE), IF(AND(IF(BQ12 = 4, TRUE, FALSE), IF(BR12 = 1, TRUE, FALSE)), VLOOKUP('One-Off Entries'!H13, t_wgtssGT3, 2, FALSE), IF(AND(IF(BQ12 = 4, TRUE, FALSE), IF(BR12 = 2, TRUE, FALSE)), VLOOKUP('One-Off Entries'!H13, t_wgtssGT4, 2, FALSE), IF(AND(IF(BQ12 = 5, TRUE, FALSE), IF(BR12 = 1, TRUE, FALSE)), VLOOKUP('One-Off Entries'!H13, t_wgtmGT3P, 2, FALSE), IF(AND(IF(BQ12 = 5, TRUE, FALSE), IF(BR12 = 2, TRUE, FALSE)), VLOOKUP('One-Off Entries'!H13, t_wgtmGT3A, 2, FALSE), IF(AND(IF(BQ12 = 5, TRUE, FALSE), IF(BR12 = 3, TRUE, FALSE)), VLOOKUP('One-Off Entries'!H13, t_wgtmGT4, 2, FALSE), IF(AND(IF(BQ12 = 7, TRUE, FALSE), IF(BR12 = 1, TRUE, FALSE)), VLOOKUP('One-Off Entries'!H13, t_asmLMP3, 2, FALSE), IF(AND(IF(BQ12 = 7, TRUE, FALSE), IF(BR12 = 2, TRUE, FALSE)), VLOOKUP('One-Off Entries'!H13, t_asmGT3, 2, FALSE), IF(AND(IF(BQ12 = 7, TRUE, FALSE), IF(BR12 = 3, TRUE, FALSE)), VLOOKUP('One-Off Entries'!H13, t_asmGT4, 2, FALSE), "")))))))))))))))))))))))))))</f>
        <v/>
      </c>
      <c r="BX12" s="1" t="str">
        <f t="shared" si="11"/>
        <v/>
      </c>
      <c r="BY12" s="1" t="str">
        <f t="shared" si="12"/>
        <v/>
      </c>
      <c r="BZ12" s="1" t="str">
        <f t="shared" si="13"/>
        <v/>
      </c>
      <c r="CA12" s="1" t="str">
        <f t="shared" si="14"/>
        <v/>
      </c>
      <c r="CC12" s="1" t="str">
        <f>'One-Off Entries'!K13</f>
        <v/>
      </c>
      <c r="CD12" s="1">
        <f t="shared" si="15"/>
        <v>0</v>
      </c>
      <c r="CE12" s="1">
        <f>'One-Off Entries'!R13</f>
        <v>0</v>
      </c>
      <c r="CF12" s="1">
        <f>IF('One-Off Entries'!S13 &lt;&gt; "", REPLACE('One-Off Entries'!S13, 1, 1, "Level "), 0)</f>
        <v>0</v>
      </c>
      <c r="CG12" s="1">
        <f t="shared" si="16"/>
        <v>0</v>
      </c>
      <c r="CH12" s="1">
        <f>'One-Off Entries'!T13</f>
        <v>0</v>
      </c>
      <c r="CI12" s="1">
        <f>IF('One-Off Entries'!U13 &lt;&gt; "", REPLACE('One-Off Entries'!U13, 1, 1, "Level "), 0)</f>
        <v>0</v>
      </c>
      <c r="CJ12" s="1">
        <f>IF('One-Off Entries'!V13 &lt;&gt; "", VLOOKUP('One-Off Entries'!V13, setupCostsReliability, 2, FALSE), 0)</f>
        <v>0</v>
      </c>
    </row>
    <row r="13" spans="2:88" ht="18" customHeight="1" x14ac:dyDescent="0.3">
      <c r="B13" s="47" t="s">
        <v>491</v>
      </c>
      <c r="C13" s="47">
        <f>'Setup Bonuses'!D12</f>
        <v>0</v>
      </c>
      <c r="D13" s="47" t="str">
        <f t="shared" ref="D13:D14" si="30">CONCATENATE("$", C13, " Million")</f>
        <v>$0 Million</v>
      </c>
      <c r="G13" s="47">
        <f>IF('Car Purchase'!D13 &lt;&gt; "", VLOOKUP('Car Purchase'!D13, modelData, 3, FALSE), "")</f>
        <v>4.8499999999999996</v>
      </c>
      <c r="H13" s="51">
        <f>IF('Car Purchase'!I13 &lt;&gt; "", VLOOKUP('Car Purchase'!I13, modelData, 4, FALSE) * 'Car Purchase'!J13, "")</f>
        <v>0</v>
      </c>
      <c r="I13" s="2">
        <f>IF('Car Purchase'!I13 &lt;&gt; "", VLOOKUP('Car Purchase'!I13, modelData, 5, FALSE) * 'Car Purchase'!K13, "")</f>
        <v>0</v>
      </c>
      <c r="J13" s="52">
        <f>IF('Car Purchase'!I13 &lt;&gt; "", VLOOKUP('Car Purchase'!I13, modelData, 6, FALSE) * 'Car Purchase'!L13, "")</f>
        <v>0</v>
      </c>
      <c r="M13" s="47" t="str">
        <f t="shared" si="0"/>
        <v/>
      </c>
      <c r="N13" s="47" t="str">
        <f t="shared" si="18"/>
        <v/>
      </c>
      <c r="O13" s="47" t="str">
        <f t="shared" si="1"/>
        <v/>
      </c>
      <c r="P13" s="51" t="str">
        <f>IF('Full Season Entries'!K14 &lt;&gt; "", IF('Full Season Entries'!K14 = "Bronze", -AJ13, VLOOKUP('Full Season Entries'!K14, driverCosts, 2, FALSE) * Z13), "")</f>
        <v/>
      </c>
      <c r="Q13" s="2" t="str">
        <f>IF('Full Season Entries'!L14 &lt;&gt; "", IF('Full Season Entries'!L14 = "Bronze", -AK13, VLOOKUP('Full Season Entries'!L14, driverCosts, 2, FALSE) * Z13), "")</f>
        <v/>
      </c>
      <c r="R13" s="2" t="str">
        <f>IF('Full Season Entries'!M14 &lt;&gt; "", IF('Full Season Entries'!M14 = "Bronze", -AL13, IF(AND(AD13 = 2, OR(AF13 = "DPi", AF13 = "GTLM")), VLOOKUP('Full Season Entries'!M14, driverCosts, 2, FALSE) * VLOOKUP(AF13, nasccEcCosts, 3, FALSE), IF(AD13 = 7, VLOOKUP('Full Season Entries'!M14, driverCosts, 2, FALSE) * VLOOKUP("ASM 210 Minutes of CoTA", oneOffs, 3, FALSE), VLOOKUP('Full Season Entries'!M14, driverCosts, 2, FALSE) * Z13))), "")</f>
        <v/>
      </c>
      <c r="S13" s="52" t="str">
        <f>IF('Full Season Entries'!N14 &lt;&gt; "", IF('Full Season Entries'!N14 = "Bronze", -AM13, VLOOKUP('Full Season Entries'!N14, driverCosts, 2, FALSE) * Z13), "")</f>
        <v/>
      </c>
      <c r="T13" s="51">
        <f t="shared" si="19"/>
        <v>0</v>
      </c>
      <c r="U13" s="2">
        <f t="shared" si="20"/>
        <v>0</v>
      </c>
      <c r="V13" s="52">
        <f t="shared" si="21"/>
        <v>0</v>
      </c>
      <c r="Y13" s="1" t="str">
        <f t="shared" si="22"/>
        <v/>
      </c>
      <c r="Z13" s="1">
        <f t="shared" si="23"/>
        <v>0</v>
      </c>
      <c r="AA13" s="1">
        <f t="shared" si="3"/>
        <v>0</v>
      </c>
      <c r="AC13" s="1" t="str">
        <f>'Full Season Entries'!J14</f>
        <v/>
      </c>
      <c r="AD13" s="1">
        <f>'Full Season Entries'!AF14</f>
        <v>0</v>
      </c>
      <c r="AE13" s="1">
        <f>'Full Season Entries'!AG14</f>
        <v>0</v>
      </c>
      <c r="AF13" s="1" t="str">
        <f>'Full Season Entries'!D14</f>
        <v/>
      </c>
      <c r="AH13" s="1" t="str">
        <f>IF(AND(IF(AD13 = 1, TRUE, FALSE), IF(AE13 = 1, TRUE, FALSE)), VLOOKUP('Full Season Entries'!G14, t_gemLMP1, 2, FALSE), IF(AND(IF(AD13 = 1, TRUE, FALSE), IF(AE13 = 2, TRUE, FALSE)), VLOOKUP('Full Season Entries'!G14, t_gemLMP2, 2, FALSE), IF(AND(IF(AD13 = 1, TRUE, FALSE), IF(AE13 = 3, TRUE, FALSE)), VLOOKUP('Full Season Entries'!G14, t_gemLMGTE, 2, FALSE), IF(AND(IF(AD13 = 1, TRUE, FALSE), IF(AE13 = 4, TRUE, FALSE)), VLOOKUP('Full Season Entries'!G14, t_gemLMGTE, 2, FALSE), IF(AND(IF(AD13 = 2, TRUE, FALSE), IF(AE13 = 1, TRUE, FALSE)), VLOOKUP('Full Season Entries'!G14, t_nasccDPi, 2, FALSE), IF(AND(IF(AD13 = 2, TRUE, FALSE), IF(AE13 = 2, TRUE, FALSE)), VLOOKUP('Full Season Entries'!G14, t_nasccLMP2, 2, FALSE), IF(AND(IF(AD13 = 2, TRUE, FALSE), IF(AE13 = 3, TRUE, FALSE)), VLOOKUP('Full Season Entries'!G14, t_nasccGTLM, 2, FALSE), IF(AND(IF(AD13 = 2, TRUE, FALSE), IF(AE13 = 4, TRUE, FALSE)), VLOOKUP('Full Season Entries'!G14, t_nasccGTD, 2, FALSE), IF(AND(IF(AD13 = 2.1, TRUE, FALSE), IF(AE13 = 1, TRUE, FALSE)), VLOOKUP('Full Season Entries'!G14, t_nasccDPi, 2, FALSE), IF(AND(IF(AD13 = 2.1, TRUE, FALSE), IF(AE13 = 2, TRUE, FALSE)), VLOOKUP('Full Season Entries'!G14, t_nasccLMP2, 2, FALSE), IF(AND(IF(AD13 = 2.1, TRUE, FALSE), IF(AE13 = 3, TRUE, FALSE)), VLOOKUP('Full Season Entries'!G14, t_nasccGTLM, 2, FALSE), IF(AND(IF(AD13 = 2.1, TRUE, FALSE), IF(AE13 = 4, TRUE, FALSE)), VLOOKUP('Full Season Entries'!G14, t_nasccGTD, 2, FALSE), IF(AND(IF(AD13 = 2.2, TRUE, FALSE), IF(AE13 = 1, TRUE, FALSE)), VLOOKUP('Full Season Entries'!G14, t_nasccDPi, 2, FALSE), IF(AND(IF(AD13 = 2.2, TRUE, FALSE), IF(AE13 = 2, TRUE, FALSE)), VLOOKUP('Full Season Entries'!G14, t_nasccLMP2, 2, FALSE), IF(AND(IF(AD13 = 2.2, TRUE, FALSE), IF(AE13 = 3, TRUE, FALSE)), VLOOKUP('Full Season Entries'!G14, t_nasccGTLM, 2, FALSE), IF(AND(IF(AD13 = 2.2, TRUE, FALSE), IF(AE13 = 4, TRUE, FALSE)), VLOOKUP('Full Season Entries'!G14, t_nasccGTD, 2, FALSE), IF(AND(IF(AD13 = 3, TRUE, FALSE), IF(AE13 = 1, TRUE, FALSE)), VLOOKUP('Full Season Entries'!G14, t_euemLMP2, 2, FALSE), IF(AND(IF(AD13 = 3, TRUE, FALSE), IF(AE13 = 2, TRUE, FALSE)), VLOOKUP('Full Season Entries'!G14, t_euemLMP3, 2, FALSE), IF(AND(IF(AD13 = 3, TRUE, FALSE), IF(AE13 = 3, TRUE, FALSE)), VLOOKUP('Full Season Entries'!G14, t_euemLMGTE, 2, FALSE), IF(AND(IF(AD13 = 4, TRUE, FALSE), IF(AE13 = 1, TRUE, FALSE)), VLOOKUP('Full Season Entries'!G14, t_wgtssGT3, 2, FALSE), IF(AND(IF(AD13 = 4, TRUE, FALSE), IF(AE13 = 2, TRUE, FALSE)), VLOOKUP('Full Season Entries'!G14, t_wgtssGT4, 2, FALSE), IF(AND(IF(AD13 = 5, TRUE, FALSE), IF(AE13 = 1, TRUE, FALSE)), VLOOKUP('Full Season Entries'!G14, t_wgtmGT3P, 2, FALSE), IF(AND(IF(AD13 = 5, TRUE, FALSE), IF(AE13 = 2, TRUE, FALSE)), VLOOKUP('Full Season Entries'!G14, t_wgtmGT3A, 2, FALSE), IF(AND(IF(AD13 = 5, TRUE, FALSE), IF(AE13 = 3, TRUE, FALSE)), VLOOKUP('Full Season Entries'!G14, t_wgtmGT4, 2, FALSE), IF(AND(IF(AD13 = 7, TRUE, FALSE), IF(AE13 = 1, TRUE, FALSE)), VLOOKUP('Full Season Entries'!G14, t_asmLMP3, 2, FALSE), IF(AND(IF(AD13 = 7, TRUE, FALSE), IF(AE13 = 2, TRUE, FALSE)), VLOOKUP('Full Season Entries'!G14, t_asmGT3, 2, FALSE), IF(AND(IF(AD13 = 7, TRUE, FALSE), IF(AE13 = 3, TRUE, FALSE)), VLOOKUP('Full Season Entries'!G14, t_asmGT4, 2, FALSE), "")))))))))))))))))))))))))))</f>
        <v/>
      </c>
      <c r="AJ13" s="1" t="str">
        <f t="shared" si="4"/>
        <v/>
      </c>
      <c r="AK13" s="1" t="str">
        <f t="shared" si="5"/>
        <v/>
      </c>
      <c r="AL13" s="1" t="str">
        <f t="shared" si="24"/>
        <v/>
      </c>
      <c r="AM13" s="1" t="str">
        <f t="shared" si="6"/>
        <v/>
      </c>
      <c r="AO13" s="1" t="str">
        <f>'Full Season Entries'!I14</f>
        <v/>
      </c>
      <c r="AQ13" s="1">
        <f t="shared" si="7"/>
        <v>0</v>
      </c>
      <c r="AR13" s="1">
        <f>'Full Season Entries'!P14</f>
        <v>0</v>
      </c>
      <c r="AS13" s="1">
        <f>IF('Full Season Entries'!Q14 &lt;&gt; "", REPLACE('Full Season Entries'!Q14, 1, 1, "Level "), 0)</f>
        <v>0</v>
      </c>
      <c r="AT13" s="1">
        <f t="shared" si="8"/>
        <v>0</v>
      </c>
      <c r="AU13" s="1">
        <f>'Full Season Entries'!R14</f>
        <v>0</v>
      </c>
      <c r="AV13" s="1">
        <f>IF('Full Season Entries'!S14 &lt;&gt; "", REPLACE('Full Season Entries'!S14, 1, 1, "Level "), 0)</f>
        <v>0</v>
      </c>
      <c r="AW13" s="1">
        <f>IF('Full Season Entries'!T14 &lt;&gt; "", VLOOKUP('Full Season Entries'!T14, setupCostsReliability, 2, FALSE), 0)</f>
        <v>0</v>
      </c>
      <c r="AZ13" s="47" t="str">
        <f>IF('One-Off Entries'!I14 = "Yes", 0, IF(BQ13 &lt;&gt; "", IF(BQ13 = 1, VLOOKUP(BT13, gemCosts, 5, FALSE), IF(BQ13 = 2, VLOOKUP(BT13, nasccCosts, 5, FALSE), IF(BQ13 = 2.1, VLOOKUP(BT13, nasccScCosts, 5, FALSE), IF(BQ13 = 2.2, VLOOKUP(BT13, nasccEcCosts, 5, FALSE), IF(BQ13 = 3, VLOOKUP(BT13, euemCosts, 5, FALSE), IF(BQ13 = 4, VLOOKUP(BT13, wgtssCosts, 5, FALSE), IF(BQ13 = 5, VLOOKUP(BT13, wgtmCosts, 5, FALSE), IF(BQ13 = 6, VLOOKUP(BT13, wpcCosts, 5, FALSE), IF(BQ13 = 7, VLOOKUP(BT13, asmCosts, 5, FALSE), "")))))))))))</f>
        <v/>
      </c>
      <c r="BA13" s="47" t="str">
        <f t="shared" si="25"/>
        <v/>
      </c>
      <c r="BB13" s="47" t="str">
        <f t="shared" si="26"/>
        <v/>
      </c>
      <c r="BC13" s="51" t="str">
        <f>IF('One-Off Entries'!M14 &lt;&gt; "", IF('One-Off Entries'!M14 = "Bronze", -BX13, VLOOKUP('One-Off Entries'!M14, driverCosts, 2, FALSE) * BM13), "")</f>
        <v/>
      </c>
      <c r="BD13" s="2" t="str">
        <f>IF('One-Off Entries'!N14 &lt;&gt; "", IF('One-Off Entries'!N14 = "Bronze", -BY13, VLOOKUP('One-Off Entries'!N14, driverCosts, 2, FALSE) * BM13), "")</f>
        <v/>
      </c>
      <c r="BE13" s="2" t="str">
        <f>IF('One-Off Entries'!O14 &lt;&gt; "", IF('One-Off Entries'!O14 = "Bronze", -BZ13, VLOOKUP('One-Off Entries'!O14, driverCosts, 2, FALSE) * BM13), "")</f>
        <v/>
      </c>
      <c r="BF13" s="52" t="str">
        <f>IF('One-Off Entries'!P14 &lt;&gt; "", IF('One-Off Entries'!P14 = "Bronze", -CA13, VLOOKUP('One-Off Entries'!P14, driverCosts, 2, FALSE) * BM13), "")</f>
        <v/>
      </c>
      <c r="BG13" s="51">
        <f t="shared" si="27"/>
        <v>0</v>
      </c>
      <c r="BH13" s="2">
        <f t="shared" si="28"/>
        <v>0</v>
      </c>
      <c r="BI13" s="52">
        <f t="shared" si="29"/>
        <v>0</v>
      </c>
      <c r="BL13" s="1" t="str">
        <f t="shared" si="9"/>
        <v/>
      </c>
      <c r="BM13" s="1" t="str">
        <f t="shared" si="10"/>
        <v/>
      </c>
      <c r="BO13" s="1">
        <f>'One-Off Entries'!C14</f>
        <v>0</v>
      </c>
      <c r="BP13" s="1" t="str">
        <f>'One-Off Entries'!L14</f>
        <v/>
      </c>
      <c r="BQ13" s="1">
        <f>'One-Off Entries'!AI14</f>
        <v>0</v>
      </c>
      <c r="BR13" s="1">
        <f>'One-Off Entries'!AJ14</f>
        <v>0</v>
      </c>
      <c r="BT13" s="1" t="str">
        <f>'One-Off Entries'!E14</f>
        <v/>
      </c>
      <c r="BV13" s="1" t="str">
        <f>IF(AND(IF(BQ13 = 1, TRUE, FALSE), IF(BR13 = 1, TRUE, FALSE)), VLOOKUP('One-Off Entries'!H14, t_gemLMP1, 2, FALSE), IF(AND(IF(BQ13 = 1, TRUE, FALSE), IF(BR13 = 2, TRUE, FALSE)), VLOOKUP('One-Off Entries'!H14, t_gemLMP2, 2, FALSE), IF(AND(IF(BQ13 = 1, TRUE, FALSE), IF(BR13 = 3, TRUE, FALSE)), VLOOKUP('One-Off Entries'!H14, t_gemLMGTE, 2, FALSE), IF(AND(IF(BQ13 = 1, TRUE, FALSE), IF(BR13 = 4, TRUE, FALSE)), VLOOKUP('One-Off Entries'!H14, t_gemLMGTE, 2, FALSE), IF(AND(IF(BQ13 = 2, TRUE, FALSE), IF(BR13 = 1, TRUE, FALSE)), VLOOKUP('One-Off Entries'!H14, t_nasccDPi, 2, FALSE), IF(AND(IF(BQ13 = 2, TRUE, FALSE), IF(BR13 = 2, TRUE, FALSE)), VLOOKUP('One-Off Entries'!H14, t_nasccLMP2, 2, FALSE), IF(AND(IF(BQ13 = 2, TRUE, FALSE), IF(BR13 = 3, TRUE, FALSE)), VLOOKUP('One-Off Entries'!H14, t_nasccGTLM, 2, FALSE), IF(AND(IF(BQ13 = 2, TRUE, FALSE), IF(BR13 = 4, TRUE, FALSE)), VLOOKUP('One-Off Entries'!H14, t_nasccGTD, 2, FALSE), IF(AND(IF(BQ13 = 2.1, TRUE, FALSE), IF(BR13 = 1, TRUE, FALSE)), VLOOKUP('One-Off Entries'!H14, t_nasccDPi, 2, FALSE), IF(AND(IF(BQ13 = 2.1, TRUE, FALSE), IF(BR13 = 2, TRUE, FALSE)), VLOOKUP('One-Off Entries'!H14, t_nasccLMP2, 2, FALSE), IF(AND(IF(BQ13 = 2.1, TRUE, FALSE), IF(BR13 = 3, TRUE, FALSE)), VLOOKUP('One-Off Entries'!H14, t_nasccGTLM, 2, FALSE), IF(AND(IF(BQ13 = 2.1, TRUE, FALSE), IF(BR13 = 4, TRUE, FALSE)), VLOOKUP('One-Off Entries'!H14, t_nasccGTD, 2, FALSE), IF(AND(IF(BQ13 = 2.2, TRUE, FALSE), IF(BR13 = 1, TRUE, FALSE)), VLOOKUP('One-Off Entries'!H14, t_nasccDPi, 2, FALSE), IF(AND(IF(BQ13 = 2.2, TRUE, FALSE), IF(BR13 = 2, TRUE, FALSE)), VLOOKUP('One-Off Entries'!H14, t_nasccLMP2, 2, FALSE), IF(AND(IF(BQ13 = 2.2, TRUE, FALSE), IF(BR13 = 3, TRUE, FALSE)), VLOOKUP('One-Off Entries'!H14, t_nasccGTLM, 2, FALSE), IF(AND(IF(BQ13 = 2.2, TRUE, FALSE), IF(BR13 = 4, TRUE, FALSE)), VLOOKUP('One-Off Entries'!H14, t_nasccGTD, 2, FALSE), IF(AND(IF(BQ13 = 3, TRUE, FALSE), IF(BR13 = 1, TRUE, FALSE)), VLOOKUP('One-Off Entries'!H14, t_euemLMP2, 2, FALSE), IF(AND(IF(BQ13 = 3, TRUE, FALSE), IF(BR13 = 2, TRUE, FALSE)), VLOOKUP('One-Off Entries'!H14, t_euemLMP3, 2, FALSE), IF(AND(IF(BQ13 = 3, TRUE, FALSE), IF(BR13 = 3, TRUE, FALSE)), VLOOKUP('One-Off Entries'!H14, t_euemLMGTE, 2, FALSE), IF(AND(IF(BQ13 = 4, TRUE, FALSE), IF(BR13 = 1, TRUE, FALSE)), VLOOKUP('One-Off Entries'!H14, t_wgtssGT3, 2, FALSE), IF(AND(IF(BQ13 = 4, TRUE, FALSE), IF(BR13 = 2, TRUE, FALSE)), VLOOKUP('One-Off Entries'!H14, t_wgtssGT4, 2, FALSE), IF(AND(IF(BQ13 = 5, TRUE, FALSE), IF(BR13 = 1, TRUE, FALSE)), VLOOKUP('One-Off Entries'!H14, t_wgtmGT3P, 2, FALSE), IF(AND(IF(BQ13 = 5, TRUE, FALSE), IF(BR13 = 2, TRUE, FALSE)), VLOOKUP('One-Off Entries'!H14, t_wgtmGT3A, 2, FALSE), IF(AND(IF(BQ13 = 5, TRUE, FALSE), IF(BR13 = 3, TRUE, FALSE)), VLOOKUP('One-Off Entries'!H14, t_wgtmGT4, 2, FALSE), IF(AND(IF(BQ13 = 7, TRUE, FALSE), IF(BR13 = 1, TRUE, FALSE)), VLOOKUP('One-Off Entries'!H14, t_asmLMP3, 2, FALSE), IF(AND(IF(BQ13 = 7, TRUE, FALSE), IF(BR13 = 2, TRUE, FALSE)), VLOOKUP('One-Off Entries'!H14, t_asmGT3, 2, FALSE), IF(AND(IF(BQ13 = 7, TRUE, FALSE), IF(BR13 = 3, TRUE, FALSE)), VLOOKUP('One-Off Entries'!H14, t_asmGT4, 2, FALSE), "")))))))))))))))))))))))))))</f>
        <v/>
      </c>
      <c r="BX13" s="1" t="str">
        <f t="shared" si="11"/>
        <v/>
      </c>
      <c r="BY13" s="1" t="str">
        <f t="shared" si="12"/>
        <v/>
      </c>
      <c r="BZ13" s="1" t="str">
        <f t="shared" si="13"/>
        <v/>
      </c>
      <c r="CA13" s="1" t="str">
        <f t="shared" si="14"/>
        <v/>
      </c>
      <c r="CC13" s="1" t="str">
        <f>'One-Off Entries'!K14</f>
        <v/>
      </c>
      <c r="CD13" s="1">
        <f t="shared" si="15"/>
        <v>0</v>
      </c>
      <c r="CE13" s="1">
        <f>'One-Off Entries'!R14</f>
        <v>0</v>
      </c>
      <c r="CF13" s="1">
        <f>IF('One-Off Entries'!S14 &lt;&gt; "", REPLACE('One-Off Entries'!S14, 1, 1, "Level "), 0)</f>
        <v>0</v>
      </c>
      <c r="CG13" s="1">
        <f t="shared" si="16"/>
        <v>0</v>
      </c>
      <c r="CH13" s="1">
        <f>'One-Off Entries'!T14</f>
        <v>0</v>
      </c>
      <c r="CI13" s="1">
        <f>IF('One-Off Entries'!U14 &lt;&gt; "", REPLACE('One-Off Entries'!U14, 1, 1, "Level "), 0)</f>
        <v>0</v>
      </c>
      <c r="CJ13" s="1">
        <f>IF('One-Off Entries'!V14 &lt;&gt; "", VLOOKUP('One-Off Entries'!V14, setupCostsReliability, 2, FALSE), 0)</f>
        <v>0</v>
      </c>
    </row>
    <row r="14" spans="2:88" ht="18" customHeight="1" thickBot="1" x14ac:dyDescent="0.35">
      <c r="B14" s="47" t="s">
        <v>492</v>
      </c>
      <c r="C14" s="47">
        <f>ROUND(SUM(T5:V39, BG5:BI39), 3)</f>
        <v>0</v>
      </c>
      <c r="D14" s="47" t="str">
        <f t="shared" si="30"/>
        <v>$0 Million</v>
      </c>
      <c r="G14" s="47">
        <f>IF('Car Purchase'!D14 &lt;&gt; "", VLOOKUP('Car Purchase'!D14, modelData, 3, FALSE), "")</f>
        <v>4.8</v>
      </c>
      <c r="H14" s="51">
        <f>IF('Car Purchase'!I14 &lt;&gt; "", VLOOKUP('Car Purchase'!I14, modelData, 4, FALSE) * 'Car Purchase'!J14, "")</f>
        <v>0</v>
      </c>
      <c r="I14" s="2">
        <f>IF('Car Purchase'!I14 &lt;&gt; "", VLOOKUP('Car Purchase'!I14, modelData, 5, FALSE) * 'Car Purchase'!K14, "")</f>
        <v>0</v>
      </c>
      <c r="J14" s="52">
        <f>IF('Car Purchase'!I14 &lt;&gt; "", VLOOKUP('Car Purchase'!I14, modelData, 6, FALSE) * 'Car Purchase'!L14, "")</f>
        <v>0</v>
      </c>
      <c r="M14" s="47" t="str">
        <f t="shared" si="0"/>
        <v/>
      </c>
      <c r="N14" s="47" t="str">
        <f t="shared" si="18"/>
        <v/>
      </c>
      <c r="O14" s="47" t="str">
        <f t="shared" si="1"/>
        <v/>
      </c>
      <c r="P14" s="51" t="str">
        <f>IF('Full Season Entries'!K15 &lt;&gt; "", IF('Full Season Entries'!K15 = "Bronze", -AJ14, VLOOKUP('Full Season Entries'!K15, driverCosts, 2, FALSE) * Z14), "")</f>
        <v/>
      </c>
      <c r="Q14" s="2" t="str">
        <f>IF('Full Season Entries'!L15 &lt;&gt; "", IF('Full Season Entries'!L15 = "Bronze", -AK14, VLOOKUP('Full Season Entries'!L15, driverCosts, 2, FALSE) * Z14), "")</f>
        <v/>
      </c>
      <c r="R14" s="2" t="str">
        <f>IF('Full Season Entries'!M15 &lt;&gt; "", IF('Full Season Entries'!M15 = "Bronze", -AL14, IF(AND(AD14 = 2, OR(AF14 = "DPi", AF14 = "GTLM")), VLOOKUP('Full Season Entries'!M15, driverCosts, 2, FALSE) * VLOOKUP(AF14, nasccEcCosts, 3, FALSE), IF(AD14 = 7, VLOOKUP('Full Season Entries'!M15, driverCosts, 2, FALSE) * VLOOKUP("ASM 210 Minutes of CoTA", oneOffs, 3, FALSE), VLOOKUP('Full Season Entries'!M15, driverCosts, 2, FALSE) * Z14))), "")</f>
        <v/>
      </c>
      <c r="S14" s="52" t="str">
        <f>IF('Full Season Entries'!N15 &lt;&gt; "", IF('Full Season Entries'!N15 = "Bronze", -AM14, VLOOKUP('Full Season Entries'!N15, driverCosts, 2, FALSE) * Z14), "")</f>
        <v/>
      </c>
      <c r="T14" s="51">
        <f t="shared" si="19"/>
        <v>0</v>
      </c>
      <c r="U14" s="2">
        <f t="shared" si="20"/>
        <v>0</v>
      </c>
      <c r="V14" s="52">
        <f t="shared" si="21"/>
        <v>0</v>
      </c>
      <c r="Y14" s="1" t="str">
        <f t="shared" si="22"/>
        <v/>
      </c>
      <c r="Z14" s="1">
        <f t="shared" si="23"/>
        <v>0</v>
      </c>
      <c r="AA14" s="1">
        <f t="shared" si="3"/>
        <v>0</v>
      </c>
      <c r="AC14" s="1" t="str">
        <f>'Full Season Entries'!J15</f>
        <v/>
      </c>
      <c r="AD14" s="1">
        <f>'Full Season Entries'!AF15</f>
        <v>0</v>
      </c>
      <c r="AE14" s="1">
        <f>'Full Season Entries'!AG15</f>
        <v>0</v>
      </c>
      <c r="AF14" s="1" t="str">
        <f>'Full Season Entries'!D15</f>
        <v/>
      </c>
      <c r="AH14" s="1" t="str">
        <f>IF(AND(IF(AD14 = 1, TRUE, FALSE), IF(AE14 = 1, TRUE, FALSE)), VLOOKUP('Full Season Entries'!G15, t_gemLMP1, 2, FALSE), IF(AND(IF(AD14 = 1, TRUE, FALSE), IF(AE14 = 2, TRUE, FALSE)), VLOOKUP('Full Season Entries'!G15, t_gemLMP2, 2, FALSE), IF(AND(IF(AD14 = 1, TRUE, FALSE), IF(AE14 = 3, TRUE, FALSE)), VLOOKUP('Full Season Entries'!G15, t_gemLMGTE, 2, FALSE), IF(AND(IF(AD14 = 1, TRUE, FALSE), IF(AE14 = 4, TRUE, FALSE)), VLOOKUP('Full Season Entries'!G15, t_gemLMGTE, 2, FALSE), IF(AND(IF(AD14 = 2, TRUE, FALSE), IF(AE14 = 1, TRUE, FALSE)), VLOOKUP('Full Season Entries'!G15, t_nasccDPi, 2, FALSE), IF(AND(IF(AD14 = 2, TRUE, FALSE), IF(AE14 = 2, TRUE, FALSE)), VLOOKUP('Full Season Entries'!G15, t_nasccLMP2, 2, FALSE), IF(AND(IF(AD14 = 2, TRUE, FALSE), IF(AE14 = 3, TRUE, FALSE)), VLOOKUP('Full Season Entries'!G15, t_nasccGTLM, 2, FALSE), IF(AND(IF(AD14 = 2, TRUE, FALSE), IF(AE14 = 4, TRUE, FALSE)), VLOOKUP('Full Season Entries'!G15, t_nasccGTD, 2, FALSE), IF(AND(IF(AD14 = 2.1, TRUE, FALSE), IF(AE14 = 1, TRUE, FALSE)), VLOOKUP('Full Season Entries'!G15, t_nasccDPi, 2, FALSE), IF(AND(IF(AD14 = 2.1, TRUE, FALSE), IF(AE14 = 2, TRUE, FALSE)), VLOOKUP('Full Season Entries'!G15, t_nasccLMP2, 2, FALSE), IF(AND(IF(AD14 = 2.1, TRUE, FALSE), IF(AE14 = 3, TRUE, FALSE)), VLOOKUP('Full Season Entries'!G15, t_nasccGTLM, 2, FALSE), IF(AND(IF(AD14 = 2.1, TRUE, FALSE), IF(AE14 = 4, TRUE, FALSE)), VLOOKUP('Full Season Entries'!G15, t_nasccGTD, 2, FALSE), IF(AND(IF(AD14 = 2.2, TRUE, FALSE), IF(AE14 = 1, TRUE, FALSE)), VLOOKUP('Full Season Entries'!G15, t_nasccDPi, 2, FALSE), IF(AND(IF(AD14 = 2.2, TRUE, FALSE), IF(AE14 = 2, TRUE, FALSE)), VLOOKUP('Full Season Entries'!G15, t_nasccLMP2, 2, FALSE), IF(AND(IF(AD14 = 2.2, TRUE, FALSE), IF(AE14 = 3, TRUE, FALSE)), VLOOKUP('Full Season Entries'!G15, t_nasccGTLM, 2, FALSE), IF(AND(IF(AD14 = 2.2, TRUE, FALSE), IF(AE14 = 4, TRUE, FALSE)), VLOOKUP('Full Season Entries'!G15, t_nasccGTD, 2, FALSE), IF(AND(IF(AD14 = 3, TRUE, FALSE), IF(AE14 = 1, TRUE, FALSE)), VLOOKUP('Full Season Entries'!G15, t_euemLMP2, 2, FALSE), IF(AND(IF(AD14 = 3, TRUE, FALSE), IF(AE14 = 2, TRUE, FALSE)), VLOOKUP('Full Season Entries'!G15, t_euemLMP3, 2, FALSE), IF(AND(IF(AD14 = 3, TRUE, FALSE), IF(AE14 = 3, TRUE, FALSE)), VLOOKUP('Full Season Entries'!G15, t_euemLMGTE, 2, FALSE), IF(AND(IF(AD14 = 4, TRUE, FALSE), IF(AE14 = 1, TRUE, FALSE)), VLOOKUP('Full Season Entries'!G15, t_wgtssGT3, 2, FALSE), IF(AND(IF(AD14 = 4, TRUE, FALSE), IF(AE14 = 2, TRUE, FALSE)), VLOOKUP('Full Season Entries'!G15, t_wgtssGT4, 2, FALSE), IF(AND(IF(AD14 = 5, TRUE, FALSE), IF(AE14 = 1, TRUE, FALSE)), VLOOKUP('Full Season Entries'!G15, t_wgtmGT3P, 2, FALSE), IF(AND(IF(AD14 = 5, TRUE, FALSE), IF(AE14 = 2, TRUE, FALSE)), VLOOKUP('Full Season Entries'!G15, t_wgtmGT3A, 2, FALSE), IF(AND(IF(AD14 = 5, TRUE, FALSE), IF(AE14 = 3, TRUE, FALSE)), VLOOKUP('Full Season Entries'!G15, t_wgtmGT4, 2, FALSE), IF(AND(IF(AD14 = 7, TRUE, FALSE), IF(AE14 = 1, TRUE, FALSE)), VLOOKUP('Full Season Entries'!G15, t_asmLMP3, 2, FALSE), IF(AND(IF(AD14 = 7, TRUE, FALSE), IF(AE14 = 2, TRUE, FALSE)), VLOOKUP('Full Season Entries'!G15, t_asmGT3, 2, FALSE), IF(AND(IF(AD14 = 7, TRUE, FALSE), IF(AE14 = 3, TRUE, FALSE)), VLOOKUP('Full Season Entries'!G15, t_asmGT4, 2, FALSE), "")))))))))))))))))))))))))))</f>
        <v/>
      </c>
      <c r="AJ14" s="1" t="str">
        <f t="shared" si="4"/>
        <v/>
      </c>
      <c r="AK14" s="1" t="str">
        <f t="shared" si="5"/>
        <v/>
      </c>
      <c r="AL14" s="1" t="str">
        <f t="shared" si="24"/>
        <v/>
      </c>
      <c r="AM14" s="1" t="str">
        <f t="shared" si="6"/>
        <v/>
      </c>
      <c r="AO14" s="1" t="str">
        <f>'Full Season Entries'!I15</f>
        <v/>
      </c>
      <c r="AQ14" s="1">
        <f t="shared" si="7"/>
        <v>0</v>
      </c>
      <c r="AR14" s="1">
        <f>'Full Season Entries'!P15</f>
        <v>0</v>
      </c>
      <c r="AS14" s="1">
        <f>IF('Full Season Entries'!Q15 &lt;&gt; "", REPLACE('Full Season Entries'!Q15, 1, 1, "Level "), 0)</f>
        <v>0</v>
      </c>
      <c r="AT14" s="1">
        <f t="shared" si="8"/>
        <v>0</v>
      </c>
      <c r="AU14" s="1">
        <f>'Full Season Entries'!R15</f>
        <v>0</v>
      </c>
      <c r="AV14" s="1">
        <f>IF('Full Season Entries'!S15 &lt;&gt; "", REPLACE('Full Season Entries'!S15, 1, 1, "Level "), 0)</f>
        <v>0</v>
      </c>
      <c r="AW14" s="1">
        <f>IF('Full Season Entries'!T15 &lt;&gt; "", VLOOKUP('Full Season Entries'!T15, setupCostsReliability, 2, FALSE), 0)</f>
        <v>0</v>
      </c>
      <c r="AZ14" s="47" t="str">
        <f>IF('One-Off Entries'!I15 = "Yes", 0, IF(BQ14 &lt;&gt; "", IF(BQ14 = 1, VLOOKUP(BT14, gemCosts, 5, FALSE), IF(BQ14 = 2, VLOOKUP(BT14, nasccCosts, 5, FALSE), IF(BQ14 = 2.1, VLOOKUP(BT14, nasccScCosts, 5, FALSE), IF(BQ14 = 2.2, VLOOKUP(BT14, nasccEcCosts, 5, FALSE), IF(BQ14 = 3, VLOOKUP(BT14, euemCosts, 5, FALSE), IF(BQ14 = 4, VLOOKUP(BT14, wgtssCosts, 5, FALSE), IF(BQ14 = 5, VLOOKUP(BT14, wgtmCosts, 5, FALSE), IF(BQ14 = 6, VLOOKUP(BT14, wpcCosts, 5, FALSE), IF(BQ14 = 7, VLOOKUP(BT14, asmCosts, 5, FALSE), "")))))))))))</f>
        <v/>
      </c>
      <c r="BA14" s="47" t="str">
        <f t="shared" si="25"/>
        <v/>
      </c>
      <c r="BB14" s="47" t="str">
        <f t="shared" si="26"/>
        <v/>
      </c>
      <c r="BC14" s="51" t="str">
        <f>IF('One-Off Entries'!M15 &lt;&gt; "", IF('One-Off Entries'!M15 = "Bronze", -BX14, VLOOKUP('One-Off Entries'!M15, driverCosts, 2, FALSE) * BM14), "")</f>
        <v/>
      </c>
      <c r="BD14" s="2" t="str">
        <f>IF('One-Off Entries'!N15 &lt;&gt; "", IF('One-Off Entries'!N15 = "Bronze", -BY14, VLOOKUP('One-Off Entries'!N15, driverCosts, 2, FALSE) * BM14), "")</f>
        <v/>
      </c>
      <c r="BE14" s="2" t="str">
        <f>IF('One-Off Entries'!O15 &lt;&gt; "", IF('One-Off Entries'!O15 = "Bronze", -BZ14, VLOOKUP('One-Off Entries'!O15, driverCosts, 2, FALSE) * BM14), "")</f>
        <v/>
      </c>
      <c r="BF14" s="52" t="str">
        <f>IF('One-Off Entries'!P15 &lt;&gt; "", IF('One-Off Entries'!P15 = "Bronze", -CA14, VLOOKUP('One-Off Entries'!P15, driverCosts, 2, FALSE) * BM14), "")</f>
        <v/>
      </c>
      <c r="BG14" s="51">
        <f t="shared" si="27"/>
        <v>0</v>
      </c>
      <c r="BH14" s="2">
        <f t="shared" si="28"/>
        <v>0</v>
      </c>
      <c r="BI14" s="52">
        <f t="shared" si="29"/>
        <v>0</v>
      </c>
      <c r="BL14" s="1" t="str">
        <f t="shared" si="9"/>
        <v/>
      </c>
      <c r="BM14" s="1" t="str">
        <f t="shared" si="10"/>
        <v/>
      </c>
      <c r="BO14" s="1">
        <f>'One-Off Entries'!C15</f>
        <v>0</v>
      </c>
      <c r="BP14" s="1" t="str">
        <f>'One-Off Entries'!L15</f>
        <v/>
      </c>
      <c r="BQ14" s="1">
        <f>'One-Off Entries'!AI15</f>
        <v>0</v>
      </c>
      <c r="BR14" s="1">
        <f>'One-Off Entries'!AJ15</f>
        <v>0</v>
      </c>
      <c r="BT14" s="1" t="str">
        <f>'One-Off Entries'!E15</f>
        <v/>
      </c>
      <c r="BV14" s="1" t="str">
        <f>IF(AND(IF(BQ14 = 1, TRUE, FALSE), IF(BR14 = 1, TRUE, FALSE)), VLOOKUP('One-Off Entries'!H15, t_gemLMP1, 2, FALSE), IF(AND(IF(BQ14 = 1, TRUE, FALSE), IF(BR14 = 2, TRUE, FALSE)), VLOOKUP('One-Off Entries'!H15, t_gemLMP2, 2, FALSE), IF(AND(IF(BQ14 = 1, TRUE, FALSE), IF(BR14 = 3, TRUE, FALSE)), VLOOKUP('One-Off Entries'!H15, t_gemLMGTE, 2, FALSE), IF(AND(IF(BQ14 = 1, TRUE, FALSE), IF(BR14 = 4, TRUE, FALSE)), VLOOKUP('One-Off Entries'!H15, t_gemLMGTE, 2, FALSE), IF(AND(IF(BQ14 = 2, TRUE, FALSE), IF(BR14 = 1, TRUE, FALSE)), VLOOKUP('One-Off Entries'!H15, t_nasccDPi, 2, FALSE), IF(AND(IF(BQ14 = 2, TRUE, FALSE), IF(BR14 = 2, TRUE, FALSE)), VLOOKUP('One-Off Entries'!H15, t_nasccLMP2, 2, FALSE), IF(AND(IF(BQ14 = 2, TRUE, FALSE), IF(BR14 = 3, TRUE, FALSE)), VLOOKUP('One-Off Entries'!H15, t_nasccGTLM, 2, FALSE), IF(AND(IF(BQ14 = 2, TRUE, FALSE), IF(BR14 = 4, TRUE, FALSE)), VLOOKUP('One-Off Entries'!H15, t_nasccGTD, 2, FALSE), IF(AND(IF(BQ14 = 2.1, TRUE, FALSE), IF(BR14 = 1, TRUE, FALSE)), VLOOKUP('One-Off Entries'!H15, t_nasccDPi, 2, FALSE), IF(AND(IF(BQ14 = 2.1, TRUE, FALSE), IF(BR14 = 2, TRUE, FALSE)), VLOOKUP('One-Off Entries'!H15, t_nasccLMP2, 2, FALSE), IF(AND(IF(BQ14 = 2.1, TRUE, FALSE), IF(BR14 = 3, TRUE, FALSE)), VLOOKUP('One-Off Entries'!H15, t_nasccGTLM, 2, FALSE), IF(AND(IF(BQ14 = 2.1, TRUE, FALSE), IF(BR14 = 4, TRUE, FALSE)), VLOOKUP('One-Off Entries'!H15, t_nasccGTD, 2, FALSE), IF(AND(IF(BQ14 = 2.2, TRUE, FALSE), IF(BR14 = 1, TRUE, FALSE)), VLOOKUP('One-Off Entries'!H15, t_nasccDPi, 2, FALSE), IF(AND(IF(BQ14 = 2.2, TRUE, FALSE), IF(BR14 = 2, TRUE, FALSE)), VLOOKUP('One-Off Entries'!H15, t_nasccLMP2, 2, FALSE), IF(AND(IF(BQ14 = 2.2, TRUE, FALSE), IF(BR14 = 3, TRUE, FALSE)), VLOOKUP('One-Off Entries'!H15, t_nasccGTLM, 2, FALSE), IF(AND(IF(BQ14 = 2.2, TRUE, FALSE), IF(BR14 = 4, TRUE, FALSE)), VLOOKUP('One-Off Entries'!H15, t_nasccGTD, 2, FALSE), IF(AND(IF(BQ14 = 3, TRUE, FALSE), IF(BR14 = 1, TRUE, FALSE)), VLOOKUP('One-Off Entries'!H15, t_euemLMP2, 2, FALSE), IF(AND(IF(BQ14 = 3, TRUE, FALSE), IF(BR14 = 2, TRUE, FALSE)), VLOOKUP('One-Off Entries'!H15, t_euemLMP3, 2, FALSE), IF(AND(IF(BQ14 = 3, TRUE, FALSE), IF(BR14 = 3, TRUE, FALSE)), VLOOKUP('One-Off Entries'!H15, t_euemLMGTE, 2, FALSE), IF(AND(IF(BQ14 = 4, TRUE, FALSE), IF(BR14 = 1, TRUE, FALSE)), VLOOKUP('One-Off Entries'!H15, t_wgtssGT3, 2, FALSE), IF(AND(IF(BQ14 = 4, TRUE, FALSE), IF(BR14 = 2, TRUE, FALSE)), VLOOKUP('One-Off Entries'!H15, t_wgtssGT4, 2, FALSE), IF(AND(IF(BQ14 = 5, TRUE, FALSE), IF(BR14 = 1, TRUE, FALSE)), VLOOKUP('One-Off Entries'!H15, t_wgtmGT3P, 2, FALSE), IF(AND(IF(BQ14 = 5, TRUE, FALSE), IF(BR14 = 2, TRUE, FALSE)), VLOOKUP('One-Off Entries'!H15, t_wgtmGT3A, 2, FALSE), IF(AND(IF(BQ14 = 5, TRUE, FALSE), IF(BR14 = 3, TRUE, FALSE)), VLOOKUP('One-Off Entries'!H15, t_wgtmGT4, 2, FALSE), IF(AND(IF(BQ14 = 7, TRUE, FALSE), IF(BR14 = 1, TRUE, FALSE)), VLOOKUP('One-Off Entries'!H15, t_asmLMP3, 2, FALSE), IF(AND(IF(BQ14 = 7, TRUE, FALSE), IF(BR14 = 2, TRUE, FALSE)), VLOOKUP('One-Off Entries'!H15, t_asmGT3, 2, FALSE), IF(AND(IF(BQ14 = 7, TRUE, FALSE), IF(BR14 = 3, TRUE, FALSE)), VLOOKUP('One-Off Entries'!H15, t_asmGT4, 2, FALSE), "")))))))))))))))))))))))))))</f>
        <v/>
      </c>
      <c r="BX14" s="1" t="str">
        <f t="shared" si="11"/>
        <v/>
      </c>
      <c r="BY14" s="1" t="str">
        <f t="shared" si="12"/>
        <v/>
      </c>
      <c r="BZ14" s="1" t="str">
        <f t="shared" si="13"/>
        <v/>
      </c>
      <c r="CA14" s="1" t="str">
        <f t="shared" si="14"/>
        <v/>
      </c>
      <c r="CC14" s="1" t="str">
        <f>'One-Off Entries'!K15</f>
        <v/>
      </c>
      <c r="CD14" s="1">
        <f t="shared" si="15"/>
        <v>0</v>
      </c>
      <c r="CE14" s="1">
        <f>'One-Off Entries'!R15</f>
        <v>0</v>
      </c>
      <c r="CF14" s="1">
        <f>IF('One-Off Entries'!S15 &lt;&gt; "", REPLACE('One-Off Entries'!S15, 1, 1, "Level "), 0)</f>
        <v>0</v>
      </c>
      <c r="CG14" s="1">
        <f t="shared" si="16"/>
        <v>0</v>
      </c>
      <c r="CH14" s="1">
        <f>'One-Off Entries'!T15</f>
        <v>0</v>
      </c>
      <c r="CI14" s="1">
        <f>IF('One-Off Entries'!U15 &lt;&gt; "", REPLACE('One-Off Entries'!U15, 1, 1, "Level "), 0)</f>
        <v>0</v>
      </c>
      <c r="CJ14" s="1">
        <f>IF('One-Off Entries'!V15 &lt;&gt; "", VLOOKUP('One-Off Entries'!V15, setupCostsReliability, 2, FALSE), 0)</f>
        <v>0</v>
      </c>
    </row>
    <row r="15" spans="2:88" ht="18" customHeight="1" thickBot="1" x14ac:dyDescent="0.35">
      <c r="B15" s="49" t="s">
        <v>239</v>
      </c>
      <c r="C15" s="49">
        <f>SUM(C5:C14)</f>
        <v>22.9</v>
      </c>
      <c r="D15" s="49" t="str">
        <f>CONCATENATE("$", C15, " Million")</f>
        <v>$22.9 Million</v>
      </c>
      <c r="G15" s="47" t="str">
        <f>IF('Car Purchase'!D15 &lt;&gt; "", VLOOKUP('Car Purchase'!D15, modelData, 3, FALSE), "")</f>
        <v/>
      </c>
      <c r="H15" s="51" t="str">
        <f>IF('Car Purchase'!I15 &lt;&gt; "", VLOOKUP('Car Purchase'!I15, modelData, 4, FALSE) * 'Car Purchase'!J15, "")</f>
        <v/>
      </c>
      <c r="I15" s="2" t="str">
        <f>IF('Car Purchase'!I15 &lt;&gt; "", VLOOKUP('Car Purchase'!I15, modelData, 5, FALSE) * 'Car Purchase'!K15, "")</f>
        <v/>
      </c>
      <c r="J15" s="52" t="str">
        <f>IF('Car Purchase'!I15 &lt;&gt; "", VLOOKUP('Car Purchase'!I15, modelData, 6, FALSE) * 'Car Purchase'!L15, "")</f>
        <v/>
      </c>
      <c r="M15" s="47" t="str">
        <f t="shared" si="0"/>
        <v/>
      </c>
      <c r="N15" s="47" t="str">
        <f t="shared" si="18"/>
        <v/>
      </c>
      <c r="O15" s="47" t="str">
        <f t="shared" si="1"/>
        <v/>
      </c>
      <c r="P15" s="51" t="str">
        <f>IF('Full Season Entries'!K16 &lt;&gt; "", IF('Full Season Entries'!K16 = "Bronze", -AJ15, VLOOKUP('Full Season Entries'!K16, driverCosts, 2, FALSE) * Z15), "")</f>
        <v/>
      </c>
      <c r="Q15" s="2" t="str">
        <f>IF('Full Season Entries'!L16 &lt;&gt; "", IF('Full Season Entries'!L16 = "Bronze", -AK15, VLOOKUP('Full Season Entries'!L16, driverCosts, 2, FALSE) * Z15), "")</f>
        <v/>
      </c>
      <c r="R15" s="2" t="str">
        <f>IF('Full Season Entries'!M16 &lt;&gt; "", IF('Full Season Entries'!M16 = "Bronze", -AL15, IF(AND(AD15 = 2, OR(AF15 = "DPi", AF15 = "GTLM")), VLOOKUP('Full Season Entries'!M16, driverCosts, 2, FALSE) * VLOOKUP(AF15, nasccEcCosts, 3, FALSE), IF(AD15 = 7, VLOOKUP('Full Season Entries'!M16, driverCosts, 2, FALSE) * VLOOKUP("ASM 210 Minutes of CoTA", oneOffs, 3, FALSE), VLOOKUP('Full Season Entries'!M16, driverCosts, 2, FALSE) * Z15))), "")</f>
        <v/>
      </c>
      <c r="S15" s="52" t="str">
        <f>IF('Full Season Entries'!N16 &lt;&gt; "", IF('Full Season Entries'!N16 = "Bronze", -AM15, VLOOKUP('Full Season Entries'!N16, driverCosts, 2, FALSE) * Z15), "")</f>
        <v/>
      </c>
      <c r="T15" s="51">
        <f t="shared" si="19"/>
        <v>0</v>
      </c>
      <c r="U15" s="2">
        <f t="shared" si="20"/>
        <v>0</v>
      </c>
      <c r="V15" s="52">
        <f t="shared" si="21"/>
        <v>0</v>
      </c>
      <c r="Y15" s="1" t="str">
        <f t="shared" si="22"/>
        <v/>
      </c>
      <c r="Z15" s="1">
        <f t="shared" si="23"/>
        <v>0</v>
      </c>
      <c r="AA15" s="1">
        <f t="shared" si="3"/>
        <v>0</v>
      </c>
      <c r="AC15" s="1" t="str">
        <f>'Full Season Entries'!J16</f>
        <v/>
      </c>
      <c r="AD15" s="1">
        <f>'Full Season Entries'!AF16</f>
        <v>0</v>
      </c>
      <c r="AE15" s="1">
        <f>'Full Season Entries'!AG16</f>
        <v>0</v>
      </c>
      <c r="AF15" s="1" t="str">
        <f>'Full Season Entries'!D16</f>
        <v/>
      </c>
      <c r="AH15" s="1" t="str">
        <f>IF(AND(IF(AD15 = 1, TRUE, FALSE), IF(AE15 = 1, TRUE, FALSE)), VLOOKUP('Full Season Entries'!G16, t_gemLMP1, 2, FALSE), IF(AND(IF(AD15 = 1, TRUE, FALSE), IF(AE15 = 2, TRUE, FALSE)), VLOOKUP('Full Season Entries'!G16, t_gemLMP2, 2, FALSE), IF(AND(IF(AD15 = 1, TRUE, FALSE), IF(AE15 = 3, TRUE, FALSE)), VLOOKUP('Full Season Entries'!G16, t_gemLMGTE, 2, FALSE), IF(AND(IF(AD15 = 1, TRUE, FALSE), IF(AE15 = 4, TRUE, FALSE)), VLOOKUP('Full Season Entries'!G16, t_gemLMGTE, 2, FALSE), IF(AND(IF(AD15 = 2, TRUE, FALSE), IF(AE15 = 1, TRUE, FALSE)), VLOOKUP('Full Season Entries'!G16, t_nasccDPi, 2, FALSE), IF(AND(IF(AD15 = 2, TRUE, FALSE), IF(AE15 = 2, TRUE, FALSE)), VLOOKUP('Full Season Entries'!G16, t_nasccLMP2, 2, FALSE), IF(AND(IF(AD15 = 2, TRUE, FALSE), IF(AE15 = 3, TRUE, FALSE)), VLOOKUP('Full Season Entries'!G16, t_nasccGTLM, 2, FALSE), IF(AND(IF(AD15 = 2, TRUE, FALSE), IF(AE15 = 4, TRUE, FALSE)), VLOOKUP('Full Season Entries'!G16, t_nasccGTD, 2, FALSE), IF(AND(IF(AD15 = 2.1, TRUE, FALSE), IF(AE15 = 1, TRUE, FALSE)), VLOOKUP('Full Season Entries'!G16, t_nasccDPi, 2, FALSE), IF(AND(IF(AD15 = 2.1, TRUE, FALSE), IF(AE15 = 2, TRUE, FALSE)), VLOOKUP('Full Season Entries'!G16, t_nasccLMP2, 2, FALSE), IF(AND(IF(AD15 = 2.1, TRUE, FALSE), IF(AE15 = 3, TRUE, FALSE)), VLOOKUP('Full Season Entries'!G16, t_nasccGTLM, 2, FALSE), IF(AND(IF(AD15 = 2.1, TRUE, FALSE), IF(AE15 = 4, TRUE, FALSE)), VLOOKUP('Full Season Entries'!G16, t_nasccGTD, 2, FALSE), IF(AND(IF(AD15 = 2.2, TRUE, FALSE), IF(AE15 = 1, TRUE, FALSE)), VLOOKUP('Full Season Entries'!G16, t_nasccDPi, 2, FALSE), IF(AND(IF(AD15 = 2.2, TRUE, FALSE), IF(AE15 = 2, TRUE, FALSE)), VLOOKUP('Full Season Entries'!G16, t_nasccLMP2, 2, FALSE), IF(AND(IF(AD15 = 2.2, TRUE, FALSE), IF(AE15 = 3, TRUE, FALSE)), VLOOKUP('Full Season Entries'!G16, t_nasccGTLM, 2, FALSE), IF(AND(IF(AD15 = 2.2, TRUE, FALSE), IF(AE15 = 4, TRUE, FALSE)), VLOOKUP('Full Season Entries'!G16, t_nasccGTD, 2, FALSE), IF(AND(IF(AD15 = 3, TRUE, FALSE), IF(AE15 = 1, TRUE, FALSE)), VLOOKUP('Full Season Entries'!G16, t_euemLMP2, 2, FALSE), IF(AND(IF(AD15 = 3, TRUE, FALSE), IF(AE15 = 2, TRUE, FALSE)), VLOOKUP('Full Season Entries'!G16, t_euemLMP3, 2, FALSE), IF(AND(IF(AD15 = 3, TRUE, FALSE), IF(AE15 = 3, TRUE, FALSE)), VLOOKUP('Full Season Entries'!G16, t_euemLMGTE, 2, FALSE), IF(AND(IF(AD15 = 4, TRUE, FALSE), IF(AE15 = 1, TRUE, FALSE)), VLOOKUP('Full Season Entries'!G16, t_wgtssGT3, 2, FALSE), IF(AND(IF(AD15 = 4, TRUE, FALSE), IF(AE15 = 2, TRUE, FALSE)), VLOOKUP('Full Season Entries'!G16, t_wgtssGT4, 2, FALSE), IF(AND(IF(AD15 = 5, TRUE, FALSE), IF(AE15 = 1, TRUE, FALSE)), VLOOKUP('Full Season Entries'!G16, t_wgtmGT3P, 2, FALSE), IF(AND(IF(AD15 = 5, TRUE, FALSE), IF(AE15 = 2, TRUE, FALSE)), VLOOKUP('Full Season Entries'!G16, t_wgtmGT3A, 2, FALSE), IF(AND(IF(AD15 = 5, TRUE, FALSE), IF(AE15 = 3, TRUE, FALSE)), VLOOKUP('Full Season Entries'!G16, t_wgtmGT4, 2, FALSE), IF(AND(IF(AD15 = 7, TRUE, FALSE), IF(AE15 = 1, TRUE, FALSE)), VLOOKUP('Full Season Entries'!G16, t_asmLMP3, 2, FALSE), IF(AND(IF(AD15 = 7, TRUE, FALSE), IF(AE15 = 2, TRUE, FALSE)), VLOOKUP('Full Season Entries'!G16, t_asmGT3, 2, FALSE), IF(AND(IF(AD15 = 7, TRUE, FALSE), IF(AE15 = 3, TRUE, FALSE)), VLOOKUP('Full Season Entries'!G16, t_asmGT4, 2, FALSE), "")))))))))))))))))))))))))))</f>
        <v/>
      </c>
      <c r="AJ15" s="1" t="str">
        <f t="shared" si="4"/>
        <v/>
      </c>
      <c r="AK15" s="1" t="str">
        <f t="shared" si="5"/>
        <v/>
      </c>
      <c r="AL15" s="1" t="str">
        <f t="shared" si="24"/>
        <v/>
      </c>
      <c r="AM15" s="1" t="str">
        <f t="shared" si="6"/>
        <v/>
      </c>
      <c r="AO15" s="1" t="str">
        <f>'Full Season Entries'!I16</f>
        <v/>
      </c>
      <c r="AQ15" s="1">
        <f t="shared" si="7"/>
        <v>0</v>
      </c>
      <c r="AR15" s="1">
        <f>'Full Season Entries'!P16</f>
        <v>0</v>
      </c>
      <c r="AS15" s="1">
        <f>IF('Full Season Entries'!Q16 &lt;&gt; "", REPLACE('Full Season Entries'!Q16, 1, 1, "Level "), 0)</f>
        <v>0</v>
      </c>
      <c r="AT15" s="1">
        <f t="shared" si="8"/>
        <v>0</v>
      </c>
      <c r="AU15" s="1">
        <f>'Full Season Entries'!R16</f>
        <v>0</v>
      </c>
      <c r="AV15" s="1">
        <f>IF('Full Season Entries'!S16 &lt;&gt; "", REPLACE('Full Season Entries'!S16, 1, 1, "Level "), 0)</f>
        <v>0</v>
      </c>
      <c r="AW15" s="1">
        <f>IF('Full Season Entries'!T16 &lt;&gt; "", VLOOKUP('Full Season Entries'!T16, setupCostsReliability, 2, FALSE), 0)</f>
        <v>0</v>
      </c>
      <c r="AZ15" s="47" t="str">
        <f>IF('One-Off Entries'!I16 = "Yes", 0, IF(BQ15 &lt;&gt; "", IF(BQ15 = 1, VLOOKUP(BT15, gemCosts, 5, FALSE), IF(BQ15 = 2, VLOOKUP(BT15, nasccCosts, 5, FALSE), IF(BQ15 = 2.1, VLOOKUP(BT15, nasccScCosts, 5, FALSE), IF(BQ15 = 2.2, VLOOKUP(BT15, nasccEcCosts, 5, FALSE), IF(BQ15 = 3, VLOOKUP(BT15, euemCosts, 5, FALSE), IF(BQ15 = 4, VLOOKUP(BT15, wgtssCosts, 5, FALSE), IF(BQ15 = 5, VLOOKUP(BT15, wgtmCosts, 5, FALSE), IF(BQ15 = 6, VLOOKUP(BT15, wpcCosts, 5, FALSE), IF(BQ15 = 7, VLOOKUP(BT15, asmCosts, 5, FALSE), "")))))))))))</f>
        <v/>
      </c>
      <c r="BA15" s="47" t="str">
        <f t="shared" si="25"/>
        <v/>
      </c>
      <c r="BB15" s="47" t="str">
        <f t="shared" si="26"/>
        <v/>
      </c>
      <c r="BC15" s="51" t="str">
        <f>IF('One-Off Entries'!M16 &lt;&gt; "", IF('One-Off Entries'!M16 = "Bronze", -BX15, VLOOKUP('One-Off Entries'!M16, driverCosts, 2, FALSE) * BM15), "")</f>
        <v/>
      </c>
      <c r="BD15" s="2" t="str">
        <f>IF('One-Off Entries'!N16 &lt;&gt; "", IF('One-Off Entries'!N16 = "Bronze", -BY15, VLOOKUP('One-Off Entries'!N16, driverCosts, 2, FALSE) * BM15), "")</f>
        <v/>
      </c>
      <c r="BE15" s="2" t="str">
        <f>IF('One-Off Entries'!O16 &lt;&gt; "", IF('One-Off Entries'!O16 = "Bronze", -BZ15, VLOOKUP('One-Off Entries'!O16, driverCosts, 2, FALSE) * BM15), "")</f>
        <v/>
      </c>
      <c r="BF15" s="52" t="str">
        <f>IF('One-Off Entries'!P16 &lt;&gt; "", IF('One-Off Entries'!P16 = "Bronze", -CA15, VLOOKUP('One-Off Entries'!P16, driverCosts, 2, FALSE) * BM15), "")</f>
        <v/>
      </c>
      <c r="BG15" s="51">
        <f t="shared" si="27"/>
        <v>0</v>
      </c>
      <c r="BH15" s="2">
        <f t="shared" si="28"/>
        <v>0</v>
      </c>
      <c r="BI15" s="52">
        <f t="shared" si="29"/>
        <v>0</v>
      </c>
      <c r="BL15" s="1" t="str">
        <f t="shared" si="9"/>
        <v/>
      </c>
      <c r="BM15" s="1" t="str">
        <f t="shared" si="10"/>
        <v/>
      </c>
      <c r="BO15" s="1">
        <f>'One-Off Entries'!C16</f>
        <v>0</v>
      </c>
      <c r="BP15" s="1" t="str">
        <f>'One-Off Entries'!L16</f>
        <v/>
      </c>
      <c r="BQ15" s="1">
        <f>'One-Off Entries'!AI16</f>
        <v>0</v>
      </c>
      <c r="BR15" s="1">
        <f>'One-Off Entries'!AJ16</f>
        <v>0</v>
      </c>
      <c r="BT15" s="1" t="str">
        <f>'One-Off Entries'!E16</f>
        <v/>
      </c>
      <c r="BV15" s="1" t="str">
        <f>IF(AND(IF(BQ15 = 1, TRUE, FALSE), IF(BR15 = 1, TRUE, FALSE)), VLOOKUP('One-Off Entries'!H16, t_gemLMP1, 2, FALSE), IF(AND(IF(BQ15 = 1, TRUE, FALSE), IF(BR15 = 2, TRUE, FALSE)), VLOOKUP('One-Off Entries'!H16, t_gemLMP2, 2, FALSE), IF(AND(IF(BQ15 = 1, TRUE, FALSE), IF(BR15 = 3, TRUE, FALSE)), VLOOKUP('One-Off Entries'!H16, t_gemLMGTE, 2, FALSE), IF(AND(IF(BQ15 = 1, TRUE, FALSE), IF(BR15 = 4, TRUE, FALSE)), VLOOKUP('One-Off Entries'!H16, t_gemLMGTE, 2, FALSE), IF(AND(IF(BQ15 = 2, TRUE, FALSE), IF(BR15 = 1, TRUE, FALSE)), VLOOKUP('One-Off Entries'!H16, t_nasccDPi, 2, FALSE), IF(AND(IF(BQ15 = 2, TRUE, FALSE), IF(BR15 = 2, TRUE, FALSE)), VLOOKUP('One-Off Entries'!H16, t_nasccLMP2, 2, FALSE), IF(AND(IF(BQ15 = 2, TRUE, FALSE), IF(BR15 = 3, TRUE, FALSE)), VLOOKUP('One-Off Entries'!H16, t_nasccGTLM, 2, FALSE), IF(AND(IF(BQ15 = 2, TRUE, FALSE), IF(BR15 = 4, TRUE, FALSE)), VLOOKUP('One-Off Entries'!H16, t_nasccGTD, 2, FALSE), IF(AND(IF(BQ15 = 2.1, TRUE, FALSE), IF(BR15 = 1, TRUE, FALSE)), VLOOKUP('One-Off Entries'!H16, t_nasccDPi, 2, FALSE), IF(AND(IF(BQ15 = 2.1, TRUE, FALSE), IF(BR15 = 2, TRUE, FALSE)), VLOOKUP('One-Off Entries'!H16, t_nasccLMP2, 2, FALSE), IF(AND(IF(BQ15 = 2.1, TRUE, FALSE), IF(BR15 = 3, TRUE, FALSE)), VLOOKUP('One-Off Entries'!H16, t_nasccGTLM, 2, FALSE), IF(AND(IF(BQ15 = 2.1, TRUE, FALSE), IF(BR15 = 4, TRUE, FALSE)), VLOOKUP('One-Off Entries'!H16, t_nasccGTD, 2, FALSE), IF(AND(IF(BQ15 = 2.2, TRUE, FALSE), IF(BR15 = 1, TRUE, FALSE)), VLOOKUP('One-Off Entries'!H16, t_nasccDPi, 2, FALSE), IF(AND(IF(BQ15 = 2.2, TRUE, FALSE), IF(BR15 = 2, TRUE, FALSE)), VLOOKUP('One-Off Entries'!H16, t_nasccLMP2, 2, FALSE), IF(AND(IF(BQ15 = 2.2, TRUE, FALSE), IF(BR15 = 3, TRUE, FALSE)), VLOOKUP('One-Off Entries'!H16, t_nasccGTLM, 2, FALSE), IF(AND(IF(BQ15 = 2.2, TRUE, FALSE), IF(BR15 = 4, TRUE, FALSE)), VLOOKUP('One-Off Entries'!H16, t_nasccGTD, 2, FALSE), IF(AND(IF(BQ15 = 3, TRUE, FALSE), IF(BR15 = 1, TRUE, FALSE)), VLOOKUP('One-Off Entries'!H16, t_euemLMP2, 2, FALSE), IF(AND(IF(BQ15 = 3, TRUE, FALSE), IF(BR15 = 2, TRUE, FALSE)), VLOOKUP('One-Off Entries'!H16, t_euemLMP3, 2, FALSE), IF(AND(IF(BQ15 = 3, TRUE, FALSE), IF(BR15 = 3, TRUE, FALSE)), VLOOKUP('One-Off Entries'!H16, t_euemLMGTE, 2, FALSE), IF(AND(IF(BQ15 = 4, TRUE, FALSE), IF(BR15 = 1, TRUE, FALSE)), VLOOKUP('One-Off Entries'!H16, t_wgtssGT3, 2, FALSE), IF(AND(IF(BQ15 = 4, TRUE, FALSE), IF(BR15 = 2, TRUE, FALSE)), VLOOKUP('One-Off Entries'!H16, t_wgtssGT4, 2, FALSE), IF(AND(IF(BQ15 = 5, TRUE, FALSE), IF(BR15 = 1, TRUE, FALSE)), VLOOKUP('One-Off Entries'!H16, t_wgtmGT3P, 2, FALSE), IF(AND(IF(BQ15 = 5, TRUE, FALSE), IF(BR15 = 2, TRUE, FALSE)), VLOOKUP('One-Off Entries'!H16, t_wgtmGT3A, 2, FALSE), IF(AND(IF(BQ15 = 5, TRUE, FALSE), IF(BR15 = 3, TRUE, FALSE)), VLOOKUP('One-Off Entries'!H16, t_wgtmGT4, 2, FALSE), IF(AND(IF(BQ15 = 7, TRUE, FALSE), IF(BR15 = 1, TRUE, FALSE)), VLOOKUP('One-Off Entries'!H16, t_asmLMP3, 2, FALSE), IF(AND(IF(BQ15 = 7, TRUE, FALSE), IF(BR15 = 2, TRUE, FALSE)), VLOOKUP('One-Off Entries'!H16, t_asmGT3, 2, FALSE), IF(AND(IF(BQ15 = 7, TRUE, FALSE), IF(BR15 = 3, TRUE, FALSE)), VLOOKUP('One-Off Entries'!H16, t_asmGT4, 2, FALSE), "")))))))))))))))))))))))))))</f>
        <v/>
      </c>
      <c r="BX15" s="1" t="str">
        <f t="shared" si="11"/>
        <v/>
      </c>
      <c r="BY15" s="1" t="str">
        <f t="shared" si="12"/>
        <v/>
      </c>
      <c r="BZ15" s="1" t="str">
        <f t="shared" si="13"/>
        <v/>
      </c>
      <c r="CA15" s="1" t="str">
        <f t="shared" si="14"/>
        <v/>
      </c>
      <c r="CC15" s="1" t="str">
        <f>'One-Off Entries'!K16</f>
        <v/>
      </c>
      <c r="CD15" s="1">
        <f t="shared" si="15"/>
        <v>0</v>
      </c>
      <c r="CE15" s="1">
        <f>'One-Off Entries'!R16</f>
        <v>0</v>
      </c>
      <c r="CF15" s="1">
        <f>IF('One-Off Entries'!S16 &lt;&gt; "", REPLACE('One-Off Entries'!S16, 1, 1, "Level "), 0)</f>
        <v>0</v>
      </c>
      <c r="CG15" s="1">
        <f t="shared" si="16"/>
        <v>0</v>
      </c>
      <c r="CH15" s="1">
        <f>'One-Off Entries'!T16</f>
        <v>0</v>
      </c>
      <c r="CI15" s="1">
        <f>IF('One-Off Entries'!U16 &lt;&gt; "", REPLACE('One-Off Entries'!U16, 1, 1, "Level "), 0)</f>
        <v>0</v>
      </c>
      <c r="CJ15" s="1">
        <f>IF('One-Off Entries'!V16 &lt;&gt; "", VLOOKUP('One-Off Entries'!V16, setupCostsReliability, 2, FALSE), 0)</f>
        <v>0</v>
      </c>
    </row>
    <row r="16" spans="2:88" ht="18" customHeight="1" x14ac:dyDescent="0.3">
      <c r="G16" s="47" t="str">
        <f>IF('Car Purchase'!D16 &lt;&gt; "", VLOOKUP('Car Purchase'!D16, modelData, 3, FALSE), "")</f>
        <v/>
      </c>
      <c r="H16" s="51" t="str">
        <f>IF('Car Purchase'!I16 &lt;&gt; "", VLOOKUP('Car Purchase'!I16, modelData, 4, FALSE) * 'Car Purchase'!J16, "")</f>
        <v/>
      </c>
      <c r="I16" s="2" t="str">
        <f>IF('Car Purchase'!I16 &lt;&gt; "", VLOOKUP('Car Purchase'!I16, modelData, 5, FALSE) * 'Car Purchase'!K16, "")</f>
        <v/>
      </c>
      <c r="J16" s="52" t="str">
        <f>IF('Car Purchase'!I16 &lt;&gt; "", VLOOKUP('Car Purchase'!I16, modelData, 6, FALSE) * 'Car Purchase'!L16, "")</f>
        <v/>
      </c>
      <c r="M16" s="47" t="str">
        <f t="shared" si="0"/>
        <v/>
      </c>
      <c r="N16" s="47" t="str">
        <f t="shared" si="18"/>
        <v/>
      </c>
      <c r="O16" s="47" t="str">
        <f t="shared" si="1"/>
        <v/>
      </c>
      <c r="P16" s="51" t="str">
        <f>IF('Full Season Entries'!K17 &lt;&gt; "", IF('Full Season Entries'!K17 = "Bronze", -AJ16, VLOOKUP('Full Season Entries'!K17, driverCosts, 2, FALSE) * Z16), "")</f>
        <v/>
      </c>
      <c r="Q16" s="2" t="str">
        <f>IF('Full Season Entries'!L17 &lt;&gt; "", IF('Full Season Entries'!L17 = "Bronze", -AK16, VLOOKUP('Full Season Entries'!L17, driverCosts, 2, FALSE) * Z16), "")</f>
        <v/>
      </c>
      <c r="R16" s="2" t="str">
        <f>IF('Full Season Entries'!M17 &lt;&gt; "", IF('Full Season Entries'!M17 = "Bronze", -AL16, IF(AND(AD16 = 2, OR(AF16 = "DPi", AF16 = "GTLM")), VLOOKUP('Full Season Entries'!M17, driverCosts, 2, FALSE) * VLOOKUP(AF16, nasccEcCosts, 3, FALSE), IF(AD16 = 7, VLOOKUP('Full Season Entries'!M17, driverCosts, 2, FALSE) * VLOOKUP("ASM 210 Minutes of CoTA", oneOffs, 3, FALSE), VLOOKUP('Full Season Entries'!M17, driverCosts, 2, FALSE) * Z16))), "")</f>
        <v/>
      </c>
      <c r="S16" s="52" t="str">
        <f>IF('Full Season Entries'!N17 &lt;&gt; "", IF('Full Season Entries'!N17 = "Bronze", -AM16, VLOOKUP('Full Season Entries'!N17, driverCosts, 2, FALSE) * Z16), "")</f>
        <v/>
      </c>
      <c r="T16" s="51">
        <f t="shared" si="19"/>
        <v>0</v>
      </c>
      <c r="U16" s="2">
        <f t="shared" si="20"/>
        <v>0</v>
      </c>
      <c r="V16" s="52">
        <f t="shared" si="21"/>
        <v>0</v>
      </c>
      <c r="Y16" s="1" t="str">
        <f t="shared" si="22"/>
        <v/>
      </c>
      <c r="Z16" s="1">
        <f t="shared" si="23"/>
        <v>0</v>
      </c>
      <c r="AA16" s="1">
        <f t="shared" si="3"/>
        <v>0</v>
      </c>
      <c r="AC16" s="1" t="str">
        <f>'Full Season Entries'!J17</f>
        <v/>
      </c>
      <c r="AD16" s="1">
        <f>'Full Season Entries'!AF17</f>
        <v>0</v>
      </c>
      <c r="AE16" s="1">
        <f>'Full Season Entries'!AG17</f>
        <v>0</v>
      </c>
      <c r="AF16" s="1" t="str">
        <f>'Full Season Entries'!D17</f>
        <v/>
      </c>
      <c r="AH16" s="1" t="str">
        <f>IF(AND(IF(AD16 = 1, TRUE, FALSE), IF(AE16 = 1, TRUE, FALSE)), VLOOKUP('Full Season Entries'!G17, t_gemLMP1, 2, FALSE), IF(AND(IF(AD16 = 1, TRUE, FALSE), IF(AE16 = 2, TRUE, FALSE)), VLOOKUP('Full Season Entries'!G17, t_gemLMP2, 2, FALSE), IF(AND(IF(AD16 = 1, TRUE, FALSE), IF(AE16 = 3, TRUE, FALSE)), VLOOKUP('Full Season Entries'!G17, t_gemLMGTE, 2, FALSE), IF(AND(IF(AD16 = 1, TRUE, FALSE), IF(AE16 = 4, TRUE, FALSE)), VLOOKUP('Full Season Entries'!G17, t_gemLMGTE, 2, FALSE), IF(AND(IF(AD16 = 2, TRUE, FALSE), IF(AE16 = 1, TRUE, FALSE)), VLOOKUP('Full Season Entries'!G17, t_nasccDPi, 2, FALSE), IF(AND(IF(AD16 = 2, TRUE, FALSE), IF(AE16 = 2, TRUE, FALSE)), VLOOKUP('Full Season Entries'!G17, t_nasccLMP2, 2, FALSE), IF(AND(IF(AD16 = 2, TRUE, FALSE), IF(AE16 = 3, TRUE, FALSE)), VLOOKUP('Full Season Entries'!G17, t_nasccGTLM, 2, FALSE), IF(AND(IF(AD16 = 2, TRUE, FALSE), IF(AE16 = 4, TRUE, FALSE)), VLOOKUP('Full Season Entries'!G17, t_nasccGTD, 2, FALSE), IF(AND(IF(AD16 = 2.1, TRUE, FALSE), IF(AE16 = 1, TRUE, FALSE)), VLOOKUP('Full Season Entries'!G17, t_nasccDPi, 2, FALSE), IF(AND(IF(AD16 = 2.1, TRUE, FALSE), IF(AE16 = 2, TRUE, FALSE)), VLOOKUP('Full Season Entries'!G17, t_nasccLMP2, 2, FALSE), IF(AND(IF(AD16 = 2.1, TRUE, FALSE), IF(AE16 = 3, TRUE, FALSE)), VLOOKUP('Full Season Entries'!G17, t_nasccGTLM, 2, FALSE), IF(AND(IF(AD16 = 2.1, TRUE, FALSE), IF(AE16 = 4, TRUE, FALSE)), VLOOKUP('Full Season Entries'!G17, t_nasccGTD, 2, FALSE), IF(AND(IF(AD16 = 2.2, TRUE, FALSE), IF(AE16 = 1, TRUE, FALSE)), VLOOKUP('Full Season Entries'!G17, t_nasccDPi, 2, FALSE), IF(AND(IF(AD16 = 2.2, TRUE, FALSE), IF(AE16 = 2, TRUE, FALSE)), VLOOKUP('Full Season Entries'!G17, t_nasccLMP2, 2, FALSE), IF(AND(IF(AD16 = 2.2, TRUE, FALSE), IF(AE16 = 3, TRUE, FALSE)), VLOOKUP('Full Season Entries'!G17, t_nasccGTLM, 2, FALSE), IF(AND(IF(AD16 = 2.2, TRUE, FALSE), IF(AE16 = 4, TRUE, FALSE)), VLOOKUP('Full Season Entries'!G17, t_nasccGTD, 2, FALSE), IF(AND(IF(AD16 = 3, TRUE, FALSE), IF(AE16 = 1, TRUE, FALSE)), VLOOKUP('Full Season Entries'!G17, t_euemLMP2, 2, FALSE), IF(AND(IF(AD16 = 3, TRUE, FALSE), IF(AE16 = 2, TRUE, FALSE)), VLOOKUP('Full Season Entries'!G17, t_euemLMP3, 2, FALSE), IF(AND(IF(AD16 = 3, TRUE, FALSE), IF(AE16 = 3, TRUE, FALSE)), VLOOKUP('Full Season Entries'!G17, t_euemLMGTE, 2, FALSE), IF(AND(IF(AD16 = 4, TRUE, FALSE), IF(AE16 = 1, TRUE, FALSE)), VLOOKUP('Full Season Entries'!G17, t_wgtssGT3, 2, FALSE), IF(AND(IF(AD16 = 4, TRUE, FALSE), IF(AE16 = 2, TRUE, FALSE)), VLOOKUP('Full Season Entries'!G17, t_wgtssGT4, 2, FALSE), IF(AND(IF(AD16 = 5, TRUE, FALSE), IF(AE16 = 1, TRUE, FALSE)), VLOOKUP('Full Season Entries'!G17, t_wgtmGT3P, 2, FALSE), IF(AND(IF(AD16 = 5, TRUE, FALSE), IF(AE16 = 2, TRUE, FALSE)), VLOOKUP('Full Season Entries'!G17, t_wgtmGT3A, 2, FALSE), IF(AND(IF(AD16 = 5, TRUE, FALSE), IF(AE16 = 3, TRUE, FALSE)), VLOOKUP('Full Season Entries'!G17, t_wgtmGT4, 2, FALSE), IF(AND(IF(AD16 = 7, TRUE, FALSE), IF(AE16 = 1, TRUE, FALSE)), VLOOKUP('Full Season Entries'!G17, t_asmLMP3, 2, FALSE), IF(AND(IF(AD16 = 7, TRUE, FALSE), IF(AE16 = 2, TRUE, FALSE)), VLOOKUP('Full Season Entries'!G17, t_asmGT3, 2, FALSE), IF(AND(IF(AD16 = 7, TRUE, FALSE), IF(AE16 = 3, TRUE, FALSE)), VLOOKUP('Full Season Entries'!G17, t_asmGT4, 2, FALSE), "")))))))))))))))))))))))))))</f>
        <v/>
      </c>
      <c r="AJ16" s="1" t="str">
        <f t="shared" si="4"/>
        <v/>
      </c>
      <c r="AK16" s="1" t="str">
        <f t="shared" si="5"/>
        <v/>
      </c>
      <c r="AL16" s="1" t="str">
        <f t="shared" si="24"/>
        <v/>
      </c>
      <c r="AM16" s="1" t="str">
        <f t="shared" si="6"/>
        <v/>
      </c>
      <c r="AO16" s="1" t="str">
        <f>'Full Season Entries'!I17</f>
        <v/>
      </c>
      <c r="AQ16" s="1">
        <f t="shared" si="7"/>
        <v>0</v>
      </c>
      <c r="AR16" s="1">
        <f>'Full Season Entries'!P17</f>
        <v>0</v>
      </c>
      <c r="AS16" s="1">
        <f>IF('Full Season Entries'!Q17 &lt;&gt; "", REPLACE('Full Season Entries'!Q17, 1, 1, "Level "), 0)</f>
        <v>0</v>
      </c>
      <c r="AT16" s="1">
        <f t="shared" si="8"/>
        <v>0</v>
      </c>
      <c r="AU16" s="1">
        <f>'Full Season Entries'!R17</f>
        <v>0</v>
      </c>
      <c r="AV16" s="1">
        <f>IF('Full Season Entries'!S17 &lt;&gt; "", REPLACE('Full Season Entries'!S17, 1, 1, "Level "), 0)</f>
        <v>0</v>
      </c>
      <c r="AW16" s="1">
        <f>IF('Full Season Entries'!T17 &lt;&gt; "", VLOOKUP('Full Season Entries'!T17, setupCostsReliability, 2, FALSE), 0)</f>
        <v>0</v>
      </c>
      <c r="AZ16" s="47" t="str">
        <f>IF('One-Off Entries'!I17 = "Yes", 0, IF(BQ16 &lt;&gt; "", IF(BQ16 = 1, VLOOKUP(BT16, gemCosts, 5, FALSE), IF(BQ16 = 2, VLOOKUP(BT16, nasccCosts, 5, FALSE), IF(BQ16 = 2.1, VLOOKUP(BT16, nasccScCosts, 5, FALSE), IF(BQ16 = 2.2, VLOOKUP(BT16, nasccEcCosts, 5, FALSE), IF(BQ16 = 3, VLOOKUP(BT16, euemCosts, 5, FALSE), IF(BQ16 = 4, VLOOKUP(BT16, wgtssCosts, 5, FALSE), IF(BQ16 = 5, VLOOKUP(BT16, wgtmCosts, 5, FALSE), IF(BQ16 = 6, VLOOKUP(BT16, wpcCosts, 5, FALSE), IF(BQ16 = 7, VLOOKUP(BT16, asmCosts, 5, FALSE), "")))))))))))</f>
        <v/>
      </c>
      <c r="BA16" s="47" t="str">
        <f t="shared" si="25"/>
        <v/>
      </c>
      <c r="BB16" s="47" t="str">
        <f t="shared" si="26"/>
        <v/>
      </c>
      <c r="BC16" s="51" t="str">
        <f>IF('One-Off Entries'!M17 &lt;&gt; "", IF('One-Off Entries'!M17 = "Bronze", -BX16, VLOOKUP('One-Off Entries'!M17, driverCosts, 2, FALSE) * BM16), "")</f>
        <v/>
      </c>
      <c r="BD16" s="2" t="str">
        <f>IF('One-Off Entries'!N17 &lt;&gt; "", IF('One-Off Entries'!N17 = "Bronze", -BY16, VLOOKUP('One-Off Entries'!N17, driverCosts, 2, FALSE) * BM16), "")</f>
        <v/>
      </c>
      <c r="BE16" s="2" t="str">
        <f>IF('One-Off Entries'!O17 &lt;&gt; "", IF('One-Off Entries'!O17 = "Bronze", -BZ16, VLOOKUP('One-Off Entries'!O17, driverCosts, 2, FALSE) * BM16), "")</f>
        <v/>
      </c>
      <c r="BF16" s="52" t="str">
        <f>IF('One-Off Entries'!P17 &lt;&gt; "", IF('One-Off Entries'!P17 = "Bronze", -CA16, VLOOKUP('One-Off Entries'!P17, driverCosts, 2, FALSE) * BM16), "")</f>
        <v/>
      </c>
      <c r="BG16" s="51">
        <f t="shared" si="27"/>
        <v>0</v>
      </c>
      <c r="BH16" s="2">
        <f t="shared" si="28"/>
        <v>0</v>
      </c>
      <c r="BI16" s="52">
        <f t="shared" si="29"/>
        <v>0</v>
      </c>
      <c r="BL16" s="1" t="str">
        <f t="shared" si="9"/>
        <v/>
      </c>
      <c r="BM16" s="1" t="str">
        <f t="shared" si="10"/>
        <v/>
      </c>
      <c r="BO16" s="1">
        <f>'One-Off Entries'!C17</f>
        <v>0</v>
      </c>
      <c r="BP16" s="1" t="str">
        <f>'One-Off Entries'!L17</f>
        <v/>
      </c>
      <c r="BQ16" s="1">
        <f>'One-Off Entries'!AI17</f>
        <v>0</v>
      </c>
      <c r="BR16" s="1">
        <f>'One-Off Entries'!AJ17</f>
        <v>0</v>
      </c>
      <c r="BT16" s="1" t="str">
        <f>'One-Off Entries'!E17</f>
        <v/>
      </c>
      <c r="BV16" s="1" t="str">
        <f>IF(AND(IF(BQ16 = 1, TRUE, FALSE), IF(BR16 = 1, TRUE, FALSE)), VLOOKUP('One-Off Entries'!H17, t_gemLMP1, 2, FALSE), IF(AND(IF(BQ16 = 1, TRUE, FALSE), IF(BR16 = 2, TRUE, FALSE)), VLOOKUP('One-Off Entries'!H17, t_gemLMP2, 2, FALSE), IF(AND(IF(BQ16 = 1, TRUE, FALSE), IF(BR16 = 3, TRUE, FALSE)), VLOOKUP('One-Off Entries'!H17, t_gemLMGTE, 2, FALSE), IF(AND(IF(BQ16 = 1, TRUE, FALSE), IF(BR16 = 4, TRUE, FALSE)), VLOOKUP('One-Off Entries'!H17, t_gemLMGTE, 2, FALSE), IF(AND(IF(BQ16 = 2, TRUE, FALSE), IF(BR16 = 1, TRUE, FALSE)), VLOOKUP('One-Off Entries'!H17, t_nasccDPi, 2, FALSE), IF(AND(IF(BQ16 = 2, TRUE, FALSE), IF(BR16 = 2, TRUE, FALSE)), VLOOKUP('One-Off Entries'!H17, t_nasccLMP2, 2, FALSE), IF(AND(IF(BQ16 = 2, TRUE, FALSE), IF(BR16 = 3, TRUE, FALSE)), VLOOKUP('One-Off Entries'!H17, t_nasccGTLM, 2, FALSE), IF(AND(IF(BQ16 = 2, TRUE, FALSE), IF(BR16 = 4, TRUE, FALSE)), VLOOKUP('One-Off Entries'!H17, t_nasccGTD, 2, FALSE), IF(AND(IF(BQ16 = 2.1, TRUE, FALSE), IF(BR16 = 1, TRUE, FALSE)), VLOOKUP('One-Off Entries'!H17, t_nasccDPi, 2, FALSE), IF(AND(IF(BQ16 = 2.1, TRUE, FALSE), IF(BR16 = 2, TRUE, FALSE)), VLOOKUP('One-Off Entries'!H17, t_nasccLMP2, 2, FALSE), IF(AND(IF(BQ16 = 2.1, TRUE, FALSE), IF(BR16 = 3, TRUE, FALSE)), VLOOKUP('One-Off Entries'!H17, t_nasccGTLM, 2, FALSE), IF(AND(IF(BQ16 = 2.1, TRUE, FALSE), IF(BR16 = 4, TRUE, FALSE)), VLOOKUP('One-Off Entries'!H17, t_nasccGTD, 2, FALSE), IF(AND(IF(BQ16 = 2.2, TRUE, FALSE), IF(BR16 = 1, TRUE, FALSE)), VLOOKUP('One-Off Entries'!H17, t_nasccDPi, 2, FALSE), IF(AND(IF(BQ16 = 2.2, TRUE, FALSE), IF(BR16 = 2, TRUE, FALSE)), VLOOKUP('One-Off Entries'!H17, t_nasccLMP2, 2, FALSE), IF(AND(IF(BQ16 = 2.2, TRUE, FALSE), IF(BR16 = 3, TRUE, FALSE)), VLOOKUP('One-Off Entries'!H17, t_nasccGTLM, 2, FALSE), IF(AND(IF(BQ16 = 2.2, TRUE, FALSE), IF(BR16 = 4, TRUE, FALSE)), VLOOKUP('One-Off Entries'!H17, t_nasccGTD, 2, FALSE), IF(AND(IF(BQ16 = 3, TRUE, FALSE), IF(BR16 = 1, TRUE, FALSE)), VLOOKUP('One-Off Entries'!H17, t_euemLMP2, 2, FALSE), IF(AND(IF(BQ16 = 3, TRUE, FALSE), IF(BR16 = 2, TRUE, FALSE)), VLOOKUP('One-Off Entries'!H17, t_euemLMP3, 2, FALSE), IF(AND(IF(BQ16 = 3, TRUE, FALSE), IF(BR16 = 3, TRUE, FALSE)), VLOOKUP('One-Off Entries'!H17, t_euemLMGTE, 2, FALSE), IF(AND(IF(BQ16 = 4, TRUE, FALSE), IF(BR16 = 1, TRUE, FALSE)), VLOOKUP('One-Off Entries'!H17, t_wgtssGT3, 2, FALSE), IF(AND(IF(BQ16 = 4, TRUE, FALSE), IF(BR16 = 2, TRUE, FALSE)), VLOOKUP('One-Off Entries'!H17, t_wgtssGT4, 2, FALSE), IF(AND(IF(BQ16 = 5, TRUE, FALSE), IF(BR16 = 1, TRUE, FALSE)), VLOOKUP('One-Off Entries'!H17, t_wgtmGT3P, 2, FALSE), IF(AND(IF(BQ16 = 5, TRUE, FALSE), IF(BR16 = 2, TRUE, FALSE)), VLOOKUP('One-Off Entries'!H17, t_wgtmGT3A, 2, FALSE), IF(AND(IF(BQ16 = 5, TRUE, FALSE), IF(BR16 = 3, TRUE, FALSE)), VLOOKUP('One-Off Entries'!H17, t_wgtmGT4, 2, FALSE), IF(AND(IF(BQ16 = 7, TRUE, FALSE), IF(BR16 = 1, TRUE, FALSE)), VLOOKUP('One-Off Entries'!H17, t_asmLMP3, 2, FALSE), IF(AND(IF(BQ16 = 7, TRUE, FALSE), IF(BR16 = 2, TRUE, FALSE)), VLOOKUP('One-Off Entries'!H17, t_asmGT3, 2, FALSE), IF(AND(IF(BQ16 = 7, TRUE, FALSE), IF(BR16 = 3, TRUE, FALSE)), VLOOKUP('One-Off Entries'!H17, t_asmGT4, 2, FALSE), "")))))))))))))))))))))))))))</f>
        <v/>
      </c>
      <c r="BX16" s="1" t="str">
        <f t="shared" si="11"/>
        <v/>
      </c>
      <c r="BY16" s="1" t="str">
        <f t="shared" si="12"/>
        <v/>
      </c>
      <c r="BZ16" s="1" t="str">
        <f t="shared" si="13"/>
        <v/>
      </c>
      <c r="CA16" s="1" t="str">
        <f t="shared" si="14"/>
        <v/>
      </c>
      <c r="CC16" s="1" t="str">
        <f>'One-Off Entries'!K17</f>
        <v/>
      </c>
      <c r="CD16" s="1">
        <f t="shared" si="15"/>
        <v>0</v>
      </c>
      <c r="CE16" s="1">
        <f>'One-Off Entries'!R17</f>
        <v>0</v>
      </c>
      <c r="CF16" s="1">
        <f>IF('One-Off Entries'!S17 &lt;&gt; "", REPLACE('One-Off Entries'!S17, 1, 1, "Level "), 0)</f>
        <v>0</v>
      </c>
      <c r="CG16" s="1">
        <f t="shared" si="16"/>
        <v>0</v>
      </c>
      <c r="CH16" s="1">
        <f>'One-Off Entries'!T17</f>
        <v>0</v>
      </c>
      <c r="CI16" s="1">
        <f>IF('One-Off Entries'!U17 &lt;&gt; "", REPLACE('One-Off Entries'!U17, 1, 1, "Level "), 0)</f>
        <v>0</v>
      </c>
      <c r="CJ16" s="1">
        <f>IF('One-Off Entries'!V17 &lt;&gt; "", VLOOKUP('One-Off Entries'!V17, setupCostsReliability, 2, FALSE), 0)</f>
        <v>0</v>
      </c>
    </row>
    <row r="17" spans="7:88" ht="18" customHeight="1" x14ac:dyDescent="0.3">
      <c r="G17" s="47" t="str">
        <f>IF('Car Purchase'!D17 &lt;&gt; "", VLOOKUP('Car Purchase'!D17, modelData, 3, FALSE), "")</f>
        <v/>
      </c>
      <c r="H17" s="51" t="str">
        <f>IF('Car Purchase'!I17 &lt;&gt; "", VLOOKUP('Car Purchase'!I17, modelData, 4, FALSE) * 'Car Purchase'!J17, "")</f>
        <v/>
      </c>
      <c r="I17" s="2" t="str">
        <f>IF('Car Purchase'!I17 &lt;&gt; "", VLOOKUP('Car Purchase'!I17, modelData, 5, FALSE) * 'Car Purchase'!K17, "")</f>
        <v/>
      </c>
      <c r="J17" s="52" t="str">
        <f>IF('Car Purchase'!I17 &lt;&gt; "", VLOOKUP('Car Purchase'!I17, modelData, 6, FALSE) * 'Car Purchase'!L17, "")</f>
        <v/>
      </c>
      <c r="M17" s="47" t="str">
        <f t="shared" si="0"/>
        <v/>
      </c>
      <c r="N17" s="47" t="str">
        <f t="shared" si="18"/>
        <v/>
      </c>
      <c r="O17" s="47" t="str">
        <f t="shared" si="1"/>
        <v/>
      </c>
      <c r="P17" s="51" t="str">
        <f>IF('Full Season Entries'!K18 &lt;&gt; "", IF('Full Season Entries'!K18 = "Bronze", -AJ17, VLOOKUP('Full Season Entries'!K18, driverCosts, 2, FALSE) * Z17), "")</f>
        <v/>
      </c>
      <c r="Q17" s="2" t="str">
        <f>IF('Full Season Entries'!L18 &lt;&gt; "", IF('Full Season Entries'!L18 = "Bronze", -AK17, VLOOKUP('Full Season Entries'!L18, driverCosts, 2, FALSE) * Z17), "")</f>
        <v/>
      </c>
      <c r="R17" s="2" t="str">
        <f>IF('Full Season Entries'!M18 &lt;&gt; "", IF('Full Season Entries'!M18 = "Bronze", -AL17, IF(AND(AD17 = 2, OR(AF17 = "DPi", AF17 = "GTLM")), VLOOKUP('Full Season Entries'!M18, driverCosts, 2, FALSE) * VLOOKUP(AF17, nasccEcCosts, 3, FALSE), IF(AD17 = 7, VLOOKUP('Full Season Entries'!M18, driverCosts, 2, FALSE) * VLOOKUP("ASM 210 Minutes of CoTA", oneOffs, 3, FALSE), VLOOKUP('Full Season Entries'!M18, driverCosts, 2, FALSE) * Z17))), "")</f>
        <v/>
      </c>
      <c r="S17" s="52" t="str">
        <f>IF('Full Season Entries'!N18 &lt;&gt; "", IF('Full Season Entries'!N18 = "Bronze", -AM17, VLOOKUP('Full Season Entries'!N18, driverCosts, 2, FALSE) * Z17), "")</f>
        <v/>
      </c>
      <c r="T17" s="51">
        <f t="shared" si="19"/>
        <v>0</v>
      </c>
      <c r="U17" s="2">
        <f t="shared" si="20"/>
        <v>0</v>
      </c>
      <c r="V17" s="52">
        <f t="shared" si="21"/>
        <v>0</v>
      </c>
      <c r="Y17" s="1" t="str">
        <f t="shared" si="22"/>
        <v/>
      </c>
      <c r="Z17" s="1">
        <f t="shared" si="23"/>
        <v>0</v>
      </c>
      <c r="AA17" s="1">
        <f t="shared" si="3"/>
        <v>0</v>
      </c>
      <c r="AC17" s="1" t="str">
        <f>'Full Season Entries'!J18</f>
        <v/>
      </c>
      <c r="AD17" s="1">
        <f>'Full Season Entries'!AF18</f>
        <v>0</v>
      </c>
      <c r="AE17" s="1">
        <f>'Full Season Entries'!AG18</f>
        <v>0</v>
      </c>
      <c r="AF17" s="1" t="str">
        <f>'Full Season Entries'!D18</f>
        <v/>
      </c>
      <c r="AH17" s="1" t="str">
        <f>IF(AND(IF(AD17 = 1, TRUE, FALSE), IF(AE17 = 1, TRUE, FALSE)), VLOOKUP('Full Season Entries'!G18, t_gemLMP1, 2, FALSE), IF(AND(IF(AD17 = 1, TRUE, FALSE), IF(AE17 = 2, TRUE, FALSE)), VLOOKUP('Full Season Entries'!G18, t_gemLMP2, 2, FALSE), IF(AND(IF(AD17 = 1, TRUE, FALSE), IF(AE17 = 3, TRUE, FALSE)), VLOOKUP('Full Season Entries'!G18, t_gemLMGTE, 2, FALSE), IF(AND(IF(AD17 = 1, TRUE, FALSE), IF(AE17 = 4, TRUE, FALSE)), VLOOKUP('Full Season Entries'!G18, t_gemLMGTE, 2, FALSE), IF(AND(IF(AD17 = 2, TRUE, FALSE), IF(AE17 = 1, TRUE, FALSE)), VLOOKUP('Full Season Entries'!G18, t_nasccDPi, 2, FALSE), IF(AND(IF(AD17 = 2, TRUE, FALSE), IF(AE17 = 2, TRUE, FALSE)), VLOOKUP('Full Season Entries'!G18, t_nasccLMP2, 2, FALSE), IF(AND(IF(AD17 = 2, TRUE, FALSE), IF(AE17 = 3, TRUE, FALSE)), VLOOKUP('Full Season Entries'!G18, t_nasccGTLM, 2, FALSE), IF(AND(IF(AD17 = 2, TRUE, FALSE), IF(AE17 = 4, TRUE, FALSE)), VLOOKUP('Full Season Entries'!G18, t_nasccGTD, 2, FALSE), IF(AND(IF(AD17 = 2.1, TRUE, FALSE), IF(AE17 = 1, TRUE, FALSE)), VLOOKUP('Full Season Entries'!G18, t_nasccDPi, 2, FALSE), IF(AND(IF(AD17 = 2.1, TRUE, FALSE), IF(AE17 = 2, TRUE, FALSE)), VLOOKUP('Full Season Entries'!G18, t_nasccLMP2, 2, FALSE), IF(AND(IF(AD17 = 2.1, TRUE, FALSE), IF(AE17 = 3, TRUE, FALSE)), VLOOKUP('Full Season Entries'!G18, t_nasccGTLM, 2, FALSE), IF(AND(IF(AD17 = 2.1, TRUE, FALSE), IF(AE17 = 4, TRUE, FALSE)), VLOOKUP('Full Season Entries'!G18, t_nasccGTD, 2, FALSE), IF(AND(IF(AD17 = 2.2, TRUE, FALSE), IF(AE17 = 1, TRUE, FALSE)), VLOOKUP('Full Season Entries'!G18, t_nasccDPi, 2, FALSE), IF(AND(IF(AD17 = 2.2, TRUE, FALSE), IF(AE17 = 2, TRUE, FALSE)), VLOOKUP('Full Season Entries'!G18, t_nasccLMP2, 2, FALSE), IF(AND(IF(AD17 = 2.2, TRUE, FALSE), IF(AE17 = 3, TRUE, FALSE)), VLOOKUP('Full Season Entries'!G18, t_nasccGTLM, 2, FALSE), IF(AND(IF(AD17 = 2.2, TRUE, FALSE), IF(AE17 = 4, TRUE, FALSE)), VLOOKUP('Full Season Entries'!G18, t_nasccGTD, 2, FALSE), IF(AND(IF(AD17 = 3, TRUE, FALSE), IF(AE17 = 1, TRUE, FALSE)), VLOOKUP('Full Season Entries'!G18, t_euemLMP2, 2, FALSE), IF(AND(IF(AD17 = 3, TRUE, FALSE), IF(AE17 = 2, TRUE, FALSE)), VLOOKUP('Full Season Entries'!G18, t_euemLMP3, 2, FALSE), IF(AND(IF(AD17 = 3, TRUE, FALSE), IF(AE17 = 3, TRUE, FALSE)), VLOOKUP('Full Season Entries'!G18, t_euemLMGTE, 2, FALSE), IF(AND(IF(AD17 = 4, TRUE, FALSE), IF(AE17 = 1, TRUE, FALSE)), VLOOKUP('Full Season Entries'!G18, t_wgtssGT3, 2, FALSE), IF(AND(IF(AD17 = 4, TRUE, FALSE), IF(AE17 = 2, TRUE, FALSE)), VLOOKUP('Full Season Entries'!G18, t_wgtssGT4, 2, FALSE), IF(AND(IF(AD17 = 5, TRUE, FALSE), IF(AE17 = 1, TRUE, FALSE)), VLOOKUP('Full Season Entries'!G18, t_wgtmGT3P, 2, FALSE), IF(AND(IF(AD17 = 5, TRUE, FALSE), IF(AE17 = 2, TRUE, FALSE)), VLOOKUP('Full Season Entries'!G18, t_wgtmGT3A, 2, FALSE), IF(AND(IF(AD17 = 5, TRUE, FALSE), IF(AE17 = 3, TRUE, FALSE)), VLOOKUP('Full Season Entries'!G18, t_wgtmGT4, 2, FALSE), IF(AND(IF(AD17 = 7, TRUE, FALSE), IF(AE17 = 1, TRUE, FALSE)), VLOOKUP('Full Season Entries'!G18, t_asmLMP3, 2, FALSE), IF(AND(IF(AD17 = 7, TRUE, FALSE), IF(AE17 = 2, TRUE, FALSE)), VLOOKUP('Full Season Entries'!G18, t_asmGT3, 2, FALSE), IF(AND(IF(AD17 = 7, TRUE, FALSE), IF(AE17 = 3, TRUE, FALSE)), VLOOKUP('Full Season Entries'!G18, t_asmGT4, 2, FALSE), "")))))))))))))))))))))))))))</f>
        <v/>
      </c>
      <c r="AJ17" s="1" t="str">
        <f t="shared" si="4"/>
        <v/>
      </c>
      <c r="AK17" s="1" t="str">
        <f t="shared" si="5"/>
        <v/>
      </c>
      <c r="AL17" s="1" t="str">
        <f t="shared" si="24"/>
        <v/>
      </c>
      <c r="AM17" s="1" t="str">
        <f t="shared" si="6"/>
        <v/>
      </c>
      <c r="AO17" s="1" t="str">
        <f>'Full Season Entries'!I18</f>
        <v/>
      </c>
      <c r="AQ17" s="1">
        <f t="shared" si="7"/>
        <v>0</v>
      </c>
      <c r="AR17" s="1">
        <f>'Full Season Entries'!P18</f>
        <v>0</v>
      </c>
      <c r="AS17" s="1">
        <f>IF('Full Season Entries'!Q18 &lt;&gt; "", REPLACE('Full Season Entries'!Q18, 1, 1, "Level "), 0)</f>
        <v>0</v>
      </c>
      <c r="AT17" s="1">
        <f t="shared" si="8"/>
        <v>0</v>
      </c>
      <c r="AU17" s="1">
        <f>'Full Season Entries'!R18</f>
        <v>0</v>
      </c>
      <c r="AV17" s="1">
        <f>IF('Full Season Entries'!S18 &lt;&gt; "", REPLACE('Full Season Entries'!S18, 1, 1, "Level "), 0)</f>
        <v>0</v>
      </c>
      <c r="AW17" s="1">
        <f>IF('Full Season Entries'!T18 &lt;&gt; "", VLOOKUP('Full Season Entries'!T18, setupCostsReliability, 2, FALSE), 0)</f>
        <v>0</v>
      </c>
      <c r="AZ17" s="47" t="str">
        <f>IF('One-Off Entries'!I18 = "Yes", 0, IF(BQ17 &lt;&gt; "", IF(BQ17 = 1, VLOOKUP(BT17, gemCosts, 5, FALSE), IF(BQ17 = 2, VLOOKUP(BT17, nasccCosts, 5, FALSE), IF(BQ17 = 2.1, VLOOKUP(BT17, nasccScCosts, 5, FALSE), IF(BQ17 = 2.2, VLOOKUP(BT17, nasccEcCosts, 5, FALSE), IF(BQ17 = 3, VLOOKUP(BT17, euemCosts, 5, FALSE), IF(BQ17 = 4, VLOOKUP(BT17, wgtssCosts, 5, FALSE), IF(BQ17 = 5, VLOOKUP(BT17, wgtmCosts, 5, FALSE), IF(BQ17 = 6, VLOOKUP(BT17, wpcCosts, 5, FALSE), IF(BQ17 = 7, VLOOKUP(BT17, asmCosts, 5, FALSE), "")))))))))))</f>
        <v/>
      </c>
      <c r="BA17" s="47" t="str">
        <f t="shared" si="25"/>
        <v/>
      </c>
      <c r="BB17" s="47" t="str">
        <f t="shared" si="26"/>
        <v/>
      </c>
      <c r="BC17" s="51" t="str">
        <f>IF('One-Off Entries'!M18 &lt;&gt; "", IF('One-Off Entries'!M18 = "Bronze", -BX17, VLOOKUP('One-Off Entries'!M18, driverCosts, 2, FALSE) * BM17), "")</f>
        <v/>
      </c>
      <c r="BD17" s="2" t="str">
        <f>IF('One-Off Entries'!N18 &lt;&gt; "", IF('One-Off Entries'!N18 = "Bronze", -BY17, VLOOKUP('One-Off Entries'!N18, driverCosts, 2, FALSE) * BM17), "")</f>
        <v/>
      </c>
      <c r="BE17" s="2" t="str">
        <f>IF('One-Off Entries'!O18 &lt;&gt; "", IF('One-Off Entries'!O18 = "Bronze", -BZ17, VLOOKUP('One-Off Entries'!O18, driverCosts, 2, FALSE) * BM17), "")</f>
        <v/>
      </c>
      <c r="BF17" s="52" t="str">
        <f>IF('One-Off Entries'!P18 &lt;&gt; "", IF('One-Off Entries'!P18 = "Bronze", -CA17, VLOOKUP('One-Off Entries'!P18, driverCosts, 2, FALSE) * BM17), "")</f>
        <v/>
      </c>
      <c r="BG17" s="51">
        <f t="shared" si="27"/>
        <v>0</v>
      </c>
      <c r="BH17" s="2">
        <f t="shared" si="28"/>
        <v>0</v>
      </c>
      <c r="BI17" s="52">
        <f t="shared" si="29"/>
        <v>0</v>
      </c>
      <c r="BL17" s="1" t="str">
        <f t="shared" si="9"/>
        <v/>
      </c>
      <c r="BM17" s="1" t="str">
        <f t="shared" si="10"/>
        <v/>
      </c>
      <c r="BO17" s="1">
        <f>'One-Off Entries'!C18</f>
        <v>0</v>
      </c>
      <c r="BP17" s="1" t="str">
        <f>'One-Off Entries'!L18</f>
        <v/>
      </c>
      <c r="BQ17" s="1">
        <f>'One-Off Entries'!AI18</f>
        <v>0</v>
      </c>
      <c r="BR17" s="1">
        <f>'One-Off Entries'!AJ18</f>
        <v>0</v>
      </c>
      <c r="BT17" s="1" t="str">
        <f>'One-Off Entries'!E18</f>
        <v/>
      </c>
      <c r="BV17" s="1" t="str">
        <f>IF(AND(IF(BQ17 = 1, TRUE, FALSE), IF(BR17 = 1, TRUE, FALSE)), VLOOKUP('One-Off Entries'!H18, t_gemLMP1, 2, FALSE), IF(AND(IF(BQ17 = 1, TRUE, FALSE), IF(BR17 = 2, TRUE, FALSE)), VLOOKUP('One-Off Entries'!H18, t_gemLMP2, 2, FALSE), IF(AND(IF(BQ17 = 1, TRUE, FALSE), IF(BR17 = 3, TRUE, FALSE)), VLOOKUP('One-Off Entries'!H18, t_gemLMGTE, 2, FALSE), IF(AND(IF(BQ17 = 1, TRUE, FALSE), IF(BR17 = 4, TRUE, FALSE)), VLOOKUP('One-Off Entries'!H18, t_gemLMGTE, 2, FALSE), IF(AND(IF(BQ17 = 2, TRUE, FALSE), IF(BR17 = 1, TRUE, FALSE)), VLOOKUP('One-Off Entries'!H18, t_nasccDPi, 2, FALSE), IF(AND(IF(BQ17 = 2, TRUE, FALSE), IF(BR17 = 2, TRUE, FALSE)), VLOOKUP('One-Off Entries'!H18, t_nasccLMP2, 2, FALSE), IF(AND(IF(BQ17 = 2, TRUE, FALSE), IF(BR17 = 3, TRUE, FALSE)), VLOOKUP('One-Off Entries'!H18, t_nasccGTLM, 2, FALSE), IF(AND(IF(BQ17 = 2, TRUE, FALSE), IF(BR17 = 4, TRUE, FALSE)), VLOOKUP('One-Off Entries'!H18, t_nasccGTD, 2, FALSE), IF(AND(IF(BQ17 = 2.1, TRUE, FALSE), IF(BR17 = 1, TRUE, FALSE)), VLOOKUP('One-Off Entries'!H18, t_nasccDPi, 2, FALSE), IF(AND(IF(BQ17 = 2.1, TRUE, FALSE), IF(BR17 = 2, TRUE, FALSE)), VLOOKUP('One-Off Entries'!H18, t_nasccLMP2, 2, FALSE), IF(AND(IF(BQ17 = 2.1, TRUE, FALSE), IF(BR17 = 3, TRUE, FALSE)), VLOOKUP('One-Off Entries'!H18, t_nasccGTLM, 2, FALSE), IF(AND(IF(BQ17 = 2.1, TRUE, FALSE), IF(BR17 = 4, TRUE, FALSE)), VLOOKUP('One-Off Entries'!H18, t_nasccGTD, 2, FALSE), IF(AND(IF(BQ17 = 2.2, TRUE, FALSE), IF(BR17 = 1, TRUE, FALSE)), VLOOKUP('One-Off Entries'!H18, t_nasccDPi, 2, FALSE), IF(AND(IF(BQ17 = 2.2, TRUE, FALSE), IF(BR17 = 2, TRUE, FALSE)), VLOOKUP('One-Off Entries'!H18, t_nasccLMP2, 2, FALSE), IF(AND(IF(BQ17 = 2.2, TRUE, FALSE), IF(BR17 = 3, TRUE, FALSE)), VLOOKUP('One-Off Entries'!H18, t_nasccGTLM, 2, FALSE), IF(AND(IF(BQ17 = 2.2, TRUE, FALSE), IF(BR17 = 4, TRUE, FALSE)), VLOOKUP('One-Off Entries'!H18, t_nasccGTD, 2, FALSE), IF(AND(IF(BQ17 = 3, TRUE, FALSE), IF(BR17 = 1, TRUE, FALSE)), VLOOKUP('One-Off Entries'!H18, t_euemLMP2, 2, FALSE), IF(AND(IF(BQ17 = 3, TRUE, FALSE), IF(BR17 = 2, TRUE, FALSE)), VLOOKUP('One-Off Entries'!H18, t_euemLMP3, 2, FALSE), IF(AND(IF(BQ17 = 3, TRUE, FALSE), IF(BR17 = 3, TRUE, FALSE)), VLOOKUP('One-Off Entries'!H18, t_euemLMGTE, 2, FALSE), IF(AND(IF(BQ17 = 4, TRUE, FALSE), IF(BR17 = 1, TRUE, FALSE)), VLOOKUP('One-Off Entries'!H18, t_wgtssGT3, 2, FALSE), IF(AND(IF(BQ17 = 4, TRUE, FALSE), IF(BR17 = 2, TRUE, FALSE)), VLOOKUP('One-Off Entries'!H18, t_wgtssGT4, 2, FALSE), IF(AND(IF(BQ17 = 5, TRUE, FALSE), IF(BR17 = 1, TRUE, FALSE)), VLOOKUP('One-Off Entries'!H18, t_wgtmGT3P, 2, FALSE), IF(AND(IF(BQ17 = 5, TRUE, FALSE), IF(BR17 = 2, TRUE, FALSE)), VLOOKUP('One-Off Entries'!H18, t_wgtmGT3A, 2, FALSE), IF(AND(IF(BQ17 = 5, TRUE, FALSE), IF(BR17 = 3, TRUE, FALSE)), VLOOKUP('One-Off Entries'!H18, t_wgtmGT4, 2, FALSE), IF(AND(IF(BQ17 = 7, TRUE, FALSE), IF(BR17 = 1, TRUE, FALSE)), VLOOKUP('One-Off Entries'!H18, t_asmLMP3, 2, FALSE), IF(AND(IF(BQ17 = 7, TRUE, FALSE), IF(BR17 = 2, TRUE, FALSE)), VLOOKUP('One-Off Entries'!H18, t_asmGT3, 2, FALSE), IF(AND(IF(BQ17 = 7, TRUE, FALSE), IF(BR17 = 3, TRUE, FALSE)), VLOOKUP('One-Off Entries'!H18, t_asmGT4, 2, FALSE), "")))))))))))))))))))))))))))</f>
        <v/>
      </c>
      <c r="BX17" s="1" t="str">
        <f t="shared" si="11"/>
        <v/>
      </c>
      <c r="BY17" s="1" t="str">
        <f t="shared" si="12"/>
        <v/>
      </c>
      <c r="BZ17" s="1" t="str">
        <f t="shared" si="13"/>
        <v/>
      </c>
      <c r="CA17" s="1" t="str">
        <f t="shared" si="14"/>
        <v/>
      </c>
      <c r="CC17" s="1" t="str">
        <f>'One-Off Entries'!K18</f>
        <v/>
      </c>
      <c r="CD17" s="1">
        <f t="shared" si="15"/>
        <v>0</v>
      </c>
      <c r="CE17" s="1">
        <f>'One-Off Entries'!R18</f>
        <v>0</v>
      </c>
      <c r="CF17" s="1">
        <f>IF('One-Off Entries'!S18 &lt;&gt; "", REPLACE('One-Off Entries'!S18, 1, 1, "Level "), 0)</f>
        <v>0</v>
      </c>
      <c r="CG17" s="1">
        <f t="shared" si="16"/>
        <v>0</v>
      </c>
      <c r="CH17" s="1">
        <f>'One-Off Entries'!T18</f>
        <v>0</v>
      </c>
      <c r="CI17" s="1">
        <f>IF('One-Off Entries'!U18 &lt;&gt; "", REPLACE('One-Off Entries'!U18, 1, 1, "Level "), 0)</f>
        <v>0</v>
      </c>
      <c r="CJ17" s="1">
        <f>IF('One-Off Entries'!V18 &lt;&gt; "", VLOOKUP('One-Off Entries'!V18, setupCostsReliability, 2, FALSE), 0)</f>
        <v>0</v>
      </c>
    </row>
    <row r="18" spans="7:88" ht="18" customHeight="1" x14ac:dyDescent="0.3">
      <c r="G18" s="47" t="str">
        <f>IF('Car Purchase'!D18 &lt;&gt; "", VLOOKUP('Car Purchase'!D18, modelData, 3, FALSE), "")</f>
        <v/>
      </c>
      <c r="H18" s="51" t="str">
        <f>IF('Car Purchase'!I18 &lt;&gt; "", VLOOKUP('Car Purchase'!I18, modelData, 4, FALSE) * 'Car Purchase'!J18, "")</f>
        <v/>
      </c>
      <c r="I18" s="2" t="str">
        <f>IF('Car Purchase'!I18 &lt;&gt; "", VLOOKUP('Car Purchase'!I18, modelData, 5, FALSE) * 'Car Purchase'!K18, "")</f>
        <v/>
      </c>
      <c r="J18" s="52" t="str">
        <f>IF('Car Purchase'!I18 &lt;&gt; "", VLOOKUP('Car Purchase'!I18, modelData, 6, FALSE) * 'Car Purchase'!L18, "")</f>
        <v/>
      </c>
      <c r="M18" s="47" t="str">
        <f t="shared" si="0"/>
        <v/>
      </c>
      <c r="N18" s="47" t="str">
        <f t="shared" si="18"/>
        <v/>
      </c>
      <c r="O18" s="47" t="str">
        <f t="shared" si="1"/>
        <v/>
      </c>
      <c r="P18" s="51" t="str">
        <f>IF('Full Season Entries'!K19 &lt;&gt; "", IF('Full Season Entries'!K19 = "Bronze", -AJ18, VLOOKUP('Full Season Entries'!K19, driverCosts, 2, FALSE) * Z18), "")</f>
        <v/>
      </c>
      <c r="Q18" s="2" t="str">
        <f>IF('Full Season Entries'!L19 &lt;&gt; "", IF('Full Season Entries'!L19 = "Bronze", -AK18, VLOOKUP('Full Season Entries'!L19, driverCosts, 2, FALSE) * Z18), "")</f>
        <v/>
      </c>
      <c r="R18" s="2" t="str">
        <f>IF('Full Season Entries'!M19 &lt;&gt; "", IF('Full Season Entries'!M19 = "Bronze", -AL18, IF(AND(AD18 = 2, OR(AF18 = "DPi", AF18 = "GTLM")), VLOOKUP('Full Season Entries'!M19, driverCosts, 2, FALSE) * VLOOKUP(AF18, nasccEcCosts, 3, FALSE), IF(AD18 = 7, VLOOKUP('Full Season Entries'!M19, driverCosts, 2, FALSE) * VLOOKUP("ASM 210 Minutes of CoTA", oneOffs, 3, FALSE), VLOOKUP('Full Season Entries'!M19, driverCosts, 2, FALSE) * Z18))), "")</f>
        <v/>
      </c>
      <c r="S18" s="52" t="str">
        <f>IF('Full Season Entries'!N19 &lt;&gt; "", IF('Full Season Entries'!N19 = "Bronze", -AM18, VLOOKUP('Full Season Entries'!N19, driverCosts, 2, FALSE) * Z18), "")</f>
        <v/>
      </c>
      <c r="T18" s="51">
        <f t="shared" si="19"/>
        <v>0</v>
      </c>
      <c r="U18" s="2">
        <f t="shared" si="20"/>
        <v>0</v>
      </c>
      <c r="V18" s="52">
        <f t="shared" si="21"/>
        <v>0</v>
      </c>
      <c r="Y18" s="1" t="str">
        <f t="shared" si="22"/>
        <v/>
      </c>
      <c r="Z18" s="1">
        <f t="shared" si="23"/>
        <v>0</v>
      </c>
      <c r="AA18" s="1">
        <f t="shared" si="3"/>
        <v>0</v>
      </c>
      <c r="AC18" s="1" t="str">
        <f>'Full Season Entries'!J19</f>
        <v/>
      </c>
      <c r="AD18" s="1">
        <f>'Full Season Entries'!AF19</f>
        <v>0</v>
      </c>
      <c r="AE18" s="1">
        <f>'Full Season Entries'!AG19</f>
        <v>0</v>
      </c>
      <c r="AF18" s="1" t="str">
        <f>'Full Season Entries'!D19</f>
        <v/>
      </c>
      <c r="AH18" s="1" t="str">
        <f>IF(AND(IF(AD18 = 1, TRUE, FALSE), IF(AE18 = 1, TRUE, FALSE)), VLOOKUP('Full Season Entries'!G19, t_gemLMP1, 2, FALSE), IF(AND(IF(AD18 = 1, TRUE, FALSE), IF(AE18 = 2, TRUE, FALSE)), VLOOKUP('Full Season Entries'!G19, t_gemLMP2, 2, FALSE), IF(AND(IF(AD18 = 1, TRUE, FALSE), IF(AE18 = 3, TRUE, FALSE)), VLOOKUP('Full Season Entries'!G19, t_gemLMGTE, 2, FALSE), IF(AND(IF(AD18 = 1, TRUE, FALSE), IF(AE18 = 4, TRUE, FALSE)), VLOOKUP('Full Season Entries'!G19, t_gemLMGTE, 2, FALSE), IF(AND(IF(AD18 = 2, TRUE, FALSE), IF(AE18 = 1, TRUE, FALSE)), VLOOKUP('Full Season Entries'!G19, t_nasccDPi, 2, FALSE), IF(AND(IF(AD18 = 2, TRUE, FALSE), IF(AE18 = 2, TRUE, FALSE)), VLOOKUP('Full Season Entries'!G19, t_nasccLMP2, 2, FALSE), IF(AND(IF(AD18 = 2, TRUE, FALSE), IF(AE18 = 3, TRUE, FALSE)), VLOOKUP('Full Season Entries'!G19, t_nasccGTLM, 2, FALSE), IF(AND(IF(AD18 = 2, TRUE, FALSE), IF(AE18 = 4, TRUE, FALSE)), VLOOKUP('Full Season Entries'!G19, t_nasccGTD, 2, FALSE), IF(AND(IF(AD18 = 2.1, TRUE, FALSE), IF(AE18 = 1, TRUE, FALSE)), VLOOKUP('Full Season Entries'!G19, t_nasccDPi, 2, FALSE), IF(AND(IF(AD18 = 2.1, TRUE, FALSE), IF(AE18 = 2, TRUE, FALSE)), VLOOKUP('Full Season Entries'!G19, t_nasccLMP2, 2, FALSE), IF(AND(IF(AD18 = 2.1, TRUE, FALSE), IF(AE18 = 3, TRUE, FALSE)), VLOOKUP('Full Season Entries'!G19, t_nasccGTLM, 2, FALSE), IF(AND(IF(AD18 = 2.1, TRUE, FALSE), IF(AE18 = 4, TRUE, FALSE)), VLOOKUP('Full Season Entries'!G19, t_nasccGTD, 2, FALSE), IF(AND(IF(AD18 = 2.2, TRUE, FALSE), IF(AE18 = 1, TRUE, FALSE)), VLOOKUP('Full Season Entries'!G19, t_nasccDPi, 2, FALSE), IF(AND(IF(AD18 = 2.2, TRUE, FALSE), IF(AE18 = 2, TRUE, FALSE)), VLOOKUP('Full Season Entries'!G19, t_nasccLMP2, 2, FALSE), IF(AND(IF(AD18 = 2.2, TRUE, FALSE), IF(AE18 = 3, TRUE, FALSE)), VLOOKUP('Full Season Entries'!G19, t_nasccGTLM, 2, FALSE), IF(AND(IF(AD18 = 2.2, TRUE, FALSE), IF(AE18 = 4, TRUE, FALSE)), VLOOKUP('Full Season Entries'!G19, t_nasccGTD, 2, FALSE), IF(AND(IF(AD18 = 3, TRUE, FALSE), IF(AE18 = 1, TRUE, FALSE)), VLOOKUP('Full Season Entries'!G19, t_euemLMP2, 2, FALSE), IF(AND(IF(AD18 = 3, TRUE, FALSE), IF(AE18 = 2, TRUE, FALSE)), VLOOKUP('Full Season Entries'!G19, t_euemLMP3, 2, FALSE), IF(AND(IF(AD18 = 3, TRUE, FALSE), IF(AE18 = 3, TRUE, FALSE)), VLOOKUP('Full Season Entries'!G19, t_euemLMGTE, 2, FALSE), IF(AND(IF(AD18 = 4, TRUE, FALSE), IF(AE18 = 1, TRUE, FALSE)), VLOOKUP('Full Season Entries'!G19, t_wgtssGT3, 2, FALSE), IF(AND(IF(AD18 = 4, TRUE, FALSE), IF(AE18 = 2, TRUE, FALSE)), VLOOKUP('Full Season Entries'!G19, t_wgtssGT4, 2, FALSE), IF(AND(IF(AD18 = 5, TRUE, FALSE), IF(AE18 = 1, TRUE, FALSE)), VLOOKUP('Full Season Entries'!G19, t_wgtmGT3P, 2, FALSE), IF(AND(IF(AD18 = 5, TRUE, FALSE), IF(AE18 = 2, TRUE, FALSE)), VLOOKUP('Full Season Entries'!G19, t_wgtmGT3A, 2, FALSE), IF(AND(IF(AD18 = 5, TRUE, FALSE), IF(AE18 = 3, TRUE, FALSE)), VLOOKUP('Full Season Entries'!G19, t_wgtmGT4, 2, FALSE), IF(AND(IF(AD18 = 7, TRUE, FALSE), IF(AE18 = 1, TRUE, FALSE)), VLOOKUP('Full Season Entries'!G19, t_asmLMP3, 2, FALSE), IF(AND(IF(AD18 = 7, TRUE, FALSE), IF(AE18 = 2, TRUE, FALSE)), VLOOKUP('Full Season Entries'!G19, t_asmGT3, 2, FALSE), IF(AND(IF(AD18 = 7, TRUE, FALSE), IF(AE18 = 3, TRUE, FALSE)), VLOOKUP('Full Season Entries'!G19, t_asmGT4, 2, FALSE), "")))))))))))))))))))))))))))</f>
        <v/>
      </c>
      <c r="AJ18" s="1" t="str">
        <f t="shared" si="4"/>
        <v/>
      </c>
      <c r="AK18" s="1" t="str">
        <f t="shared" si="5"/>
        <v/>
      </c>
      <c r="AL18" s="1" t="str">
        <f t="shared" si="24"/>
        <v/>
      </c>
      <c r="AM18" s="1" t="str">
        <f t="shared" si="6"/>
        <v/>
      </c>
      <c r="AO18" s="1" t="str">
        <f>'Full Season Entries'!I19</f>
        <v/>
      </c>
      <c r="AQ18" s="1">
        <f t="shared" si="7"/>
        <v>0</v>
      </c>
      <c r="AR18" s="1">
        <f>'Full Season Entries'!P19</f>
        <v>0</v>
      </c>
      <c r="AS18" s="1">
        <f>IF('Full Season Entries'!Q19 &lt;&gt; "", REPLACE('Full Season Entries'!Q19, 1, 1, "Level "), 0)</f>
        <v>0</v>
      </c>
      <c r="AT18" s="1">
        <f t="shared" si="8"/>
        <v>0</v>
      </c>
      <c r="AU18" s="1">
        <f>'Full Season Entries'!R19</f>
        <v>0</v>
      </c>
      <c r="AV18" s="1">
        <f>IF('Full Season Entries'!S19 &lt;&gt; "", REPLACE('Full Season Entries'!S19, 1, 1, "Level "), 0)</f>
        <v>0</v>
      </c>
      <c r="AW18" s="1">
        <f>IF('Full Season Entries'!T19 &lt;&gt; "", VLOOKUP('Full Season Entries'!T19, setupCostsReliability, 2, FALSE), 0)</f>
        <v>0</v>
      </c>
      <c r="AZ18" s="47" t="str">
        <f>IF('One-Off Entries'!I19 = "Yes", 0, IF(BQ18 &lt;&gt; "", IF(BQ18 = 1, VLOOKUP(BT18, gemCosts, 5, FALSE), IF(BQ18 = 2, VLOOKUP(BT18, nasccCosts, 5, FALSE), IF(BQ18 = 2.1, VLOOKUP(BT18, nasccScCosts, 5, FALSE), IF(BQ18 = 2.2, VLOOKUP(BT18, nasccEcCosts, 5, FALSE), IF(BQ18 = 3, VLOOKUP(BT18, euemCosts, 5, FALSE), IF(BQ18 = 4, VLOOKUP(BT18, wgtssCosts, 5, FALSE), IF(BQ18 = 5, VLOOKUP(BT18, wgtmCosts, 5, FALSE), IF(BQ18 = 6, VLOOKUP(BT18, wpcCosts, 5, FALSE), IF(BQ18 = 7, VLOOKUP(BT18, asmCosts, 5, FALSE), "")))))))))))</f>
        <v/>
      </c>
      <c r="BA18" s="47" t="str">
        <f t="shared" si="25"/>
        <v/>
      </c>
      <c r="BB18" s="47" t="str">
        <f t="shared" si="26"/>
        <v/>
      </c>
      <c r="BC18" s="51" t="str">
        <f>IF('One-Off Entries'!M19 &lt;&gt; "", IF('One-Off Entries'!M19 = "Bronze", -BX18, VLOOKUP('One-Off Entries'!M19, driverCosts, 2, FALSE) * BM18), "")</f>
        <v/>
      </c>
      <c r="BD18" s="2" t="str">
        <f>IF('One-Off Entries'!N19 &lt;&gt; "", IF('One-Off Entries'!N19 = "Bronze", -BY18, VLOOKUP('One-Off Entries'!N19, driverCosts, 2, FALSE) * BM18), "")</f>
        <v/>
      </c>
      <c r="BE18" s="2" t="str">
        <f>IF('One-Off Entries'!O19 &lt;&gt; "", IF('One-Off Entries'!O19 = "Bronze", -BZ18, VLOOKUP('One-Off Entries'!O19, driverCosts, 2, FALSE) * BM18), "")</f>
        <v/>
      </c>
      <c r="BF18" s="52" t="str">
        <f>IF('One-Off Entries'!P19 &lt;&gt; "", IF('One-Off Entries'!P19 = "Bronze", -CA18, VLOOKUP('One-Off Entries'!P19, driverCosts, 2, FALSE) * BM18), "")</f>
        <v/>
      </c>
      <c r="BG18" s="51">
        <f t="shared" si="27"/>
        <v>0</v>
      </c>
      <c r="BH18" s="2">
        <f t="shared" si="28"/>
        <v>0</v>
      </c>
      <c r="BI18" s="52">
        <f t="shared" si="29"/>
        <v>0</v>
      </c>
      <c r="BL18" s="1" t="str">
        <f t="shared" si="9"/>
        <v/>
      </c>
      <c r="BM18" s="1" t="str">
        <f t="shared" si="10"/>
        <v/>
      </c>
      <c r="BO18" s="1">
        <f>'One-Off Entries'!C19</f>
        <v>0</v>
      </c>
      <c r="BP18" s="1" t="str">
        <f>'One-Off Entries'!L19</f>
        <v/>
      </c>
      <c r="BQ18" s="1">
        <f>'One-Off Entries'!AI19</f>
        <v>0</v>
      </c>
      <c r="BR18" s="1">
        <f>'One-Off Entries'!AJ19</f>
        <v>0</v>
      </c>
      <c r="BT18" s="1" t="str">
        <f>'One-Off Entries'!E19</f>
        <v/>
      </c>
      <c r="BV18" s="1" t="str">
        <f>IF(AND(IF(BQ18 = 1, TRUE, FALSE), IF(BR18 = 1, TRUE, FALSE)), VLOOKUP('One-Off Entries'!H19, t_gemLMP1, 2, FALSE), IF(AND(IF(BQ18 = 1, TRUE, FALSE), IF(BR18 = 2, TRUE, FALSE)), VLOOKUP('One-Off Entries'!H19, t_gemLMP2, 2, FALSE), IF(AND(IF(BQ18 = 1, TRUE, FALSE), IF(BR18 = 3, TRUE, FALSE)), VLOOKUP('One-Off Entries'!H19, t_gemLMGTE, 2, FALSE), IF(AND(IF(BQ18 = 1, TRUE, FALSE), IF(BR18 = 4, TRUE, FALSE)), VLOOKUP('One-Off Entries'!H19, t_gemLMGTE, 2, FALSE), IF(AND(IF(BQ18 = 2, TRUE, FALSE), IF(BR18 = 1, TRUE, FALSE)), VLOOKUP('One-Off Entries'!H19, t_nasccDPi, 2, FALSE), IF(AND(IF(BQ18 = 2, TRUE, FALSE), IF(BR18 = 2, TRUE, FALSE)), VLOOKUP('One-Off Entries'!H19, t_nasccLMP2, 2, FALSE), IF(AND(IF(BQ18 = 2, TRUE, FALSE), IF(BR18 = 3, TRUE, FALSE)), VLOOKUP('One-Off Entries'!H19, t_nasccGTLM, 2, FALSE), IF(AND(IF(BQ18 = 2, TRUE, FALSE), IF(BR18 = 4, TRUE, FALSE)), VLOOKUP('One-Off Entries'!H19, t_nasccGTD, 2, FALSE), IF(AND(IF(BQ18 = 2.1, TRUE, FALSE), IF(BR18 = 1, TRUE, FALSE)), VLOOKUP('One-Off Entries'!H19, t_nasccDPi, 2, FALSE), IF(AND(IF(BQ18 = 2.1, TRUE, FALSE), IF(BR18 = 2, TRUE, FALSE)), VLOOKUP('One-Off Entries'!H19, t_nasccLMP2, 2, FALSE), IF(AND(IF(BQ18 = 2.1, TRUE, FALSE), IF(BR18 = 3, TRUE, FALSE)), VLOOKUP('One-Off Entries'!H19, t_nasccGTLM, 2, FALSE), IF(AND(IF(BQ18 = 2.1, TRUE, FALSE), IF(BR18 = 4, TRUE, FALSE)), VLOOKUP('One-Off Entries'!H19, t_nasccGTD, 2, FALSE), IF(AND(IF(BQ18 = 2.2, TRUE, FALSE), IF(BR18 = 1, TRUE, FALSE)), VLOOKUP('One-Off Entries'!H19, t_nasccDPi, 2, FALSE), IF(AND(IF(BQ18 = 2.2, TRUE, FALSE), IF(BR18 = 2, TRUE, FALSE)), VLOOKUP('One-Off Entries'!H19, t_nasccLMP2, 2, FALSE), IF(AND(IF(BQ18 = 2.2, TRUE, FALSE), IF(BR18 = 3, TRUE, FALSE)), VLOOKUP('One-Off Entries'!H19, t_nasccGTLM, 2, FALSE), IF(AND(IF(BQ18 = 2.2, TRUE, FALSE), IF(BR18 = 4, TRUE, FALSE)), VLOOKUP('One-Off Entries'!H19, t_nasccGTD, 2, FALSE), IF(AND(IF(BQ18 = 3, TRUE, FALSE), IF(BR18 = 1, TRUE, FALSE)), VLOOKUP('One-Off Entries'!H19, t_euemLMP2, 2, FALSE), IF(AND(IF(BQ18 = 3, TRUE, FALSE), IF(BR18 = 2, TRUE, FALSE)), VLOOKUP('One-Off Entries'!H19, t_euemLMP3, 2, FALSE), IF(AND(IF(BQ18 = 3, TRUE, FALSE), IF(BR18 = 3, TRUE, FALSE)), VLOOKUP('One-Off Entries'!H19, t_euemLMGTE, 2, FALSE), IF(AND(IF(BQ18 = 4, TRUE, FALSE), IF(BR18 = 1, TRUE, FALSE)), VLOOKUP('One-Off Entries'!H19, t_wgtssGT3, 2, FALSE), IF(AND(IF(BQ18 = 4, TRUE, FALSE), IF(BR18 = 2, TRUE, FALSE)), VLOOKUP('One-Off Entries'!H19, t_wgtssGT4, 2, FALSE), IF(AND(IF(BQ18 = 5, TRUE, FALSE), IF(BR18 = 1, TRUE, FALSE)), VLOOKUP('One-Off Entries'!H19, t_wgtmGT3P, 2, FALSE), IF(AND(IF(BQ18 = 5, TRUE, FALSE), IF(BR18 = 2, TRUE, FALSE)), VLOOKUP('One-Off Entries'!H19, t_wgtmGT3A, 2, FALSE), IF(AND(IF(BQ18 = 5, TRUE, FALSE), IF(BR18 = 3, TRUE, FALSE)), VLOOKUP('One-Off Entries'!H19, t_wgtmGT4, 2, FALSE), IF(AND(IF(BQ18 = 7, TRUE, FALSE), IF(BR18 = 1, TRUE, FALSE)), VLOOKUP('One-Off Entries'!H19, t_asmLMP3, 2, FALSE), IF(AND(IF(BQ18 = 7, TRUE, FALSE), IF(BR18 = 2, TRUE, FALSE)), VLOOKUP('One-Off Entries'!H19, t_asmGT3, 2, FALSE), IF(AND(IF(BQ18 = 7, TRUE, FALSE), IF(BR18 = 3, TRUE, FALSE)), VLOOKUP('One-Off Entries'!H19, t_asmGT4, 2, FALSE), "")))))))))))))))))))))))))))</f>
        <v/>
      </c>
      <c r="BX18" s="1" t="str">
        <f t="shared" si="11"/>
        <v/>
      </c>
      <c r="BY18" s="1" t="str">
        <f t="shared" si="12"/>
        <v/>
      </c>
      <c r="BZ18" s="1" t="str">
        <f t="shared" si="13"/>
        <v/>
      </c>
      <c r="CA18" s="1" t="str">
        <f t="shared" si="14"/>
        <v/>
      </c>
      <c r="CC18" s="1" t="str">
        <f>'One-Off Entries'!K19</f>
        <v/>
      </c>
      <c r="CD18" s="1">
        <f t="shared" si="15"/>
        <v>0</v>
      </c>
      <c r="CE18" s="1">
        <f>'One-Off Entries'!R19</f>
        <v>0</v>
      </c>
      <c r="CF18" s="1">
        <f>IF('One-Off Entries'!S19 &lt;&gt; "", REPLACE('One-Off Entries'!S19, 1, 1, "Level "), 0)</f>
        <v>0</v>
      </c>
      <c r="CG18" s="1">
        <f t="shared" si="16"/>
        <v>0</v>
      </c>
      <c r="CH18" s="1">
        <f>'One-Off Entries'!T19</f>
        <v>0</v>
      </c>
      <c r="CI18" s="1">
        <f>IF('One-Off Entries'!U19 &lt;&gt; "", REPLACE('One-Off Entries'!U19, 1, 1, "Level "), 0)</f>
        <v>0</v>
      </c>
      <c r="CJ18" s="1">
        <f>IF('One-Off Entries'!V19 &lt;&gt; "", VLOOKUP('One-Off Entries'!V19, setupCostsReliability, 2, FALSE), 0)</f>
        <v>0</v>
      </c>
    </row>
    <row r="19" spans="7:88" ht="18" customHeight="1" x14ac:dyDescent="0.3">
      <c r="G19" s="47" t="str">
        <f>IF('Car Purchase'!D19 &lt;&gt; "", VLOOKUP('Car Purchase'!D19, modelData, 3, FALSE), "")</f>
        <v/>
      </c>
      <c r="H19" s="51" t="str">
        <f>IF('Car Purchase'!I19 &lt;&gt; "", VLOOKUP('Car Purchase'!I19, modelData, 4, FALSE) * 'Car Purchase'!J19, "")</f>
        <v/>
      </c>
      <c r="I19" s="2" t="str">
        <f>IF('Car Purchase'!I19 &lt;&gt; "", VLOOKUP('Car Purchase'!I19, modelData, 5, FALSE) * 'Car Purchase'!K19, "")</f>
        <v/>
      </c>
      <c r="J19" s="52" t="str">
        <f>IF('Car Purchase'!I19 &lt;&gt; "", VLOOKUP('Car Purchase'!I19, modelData, 6, FALSE) * 'Car Purchase'!L19, "")</f>
        <v/>
      </c>
      <c r="M19" s="47" t="str">
        <f t="shared" si="0"/>
        <v/>
      </c>
      <c r="N19" s="47" t="str">
        <f t="shared" si="18"/>
        <v/>
      </c>
      <c r="O19" s="47" t="str">
        <f t="shared" si="1"/>
        <v/>
      </c>
      <c r="P19" s="51" t="str">
        <f>IF('Full Season Entries'!K20 &lt;&gt; "", IF('Full Season Entries'!K20 = "Bronze", -AJ19, VLOOKUP('Full Season Entries'!K20, driverCosts, 2, FALSE) * Z19), "")</f>
        <v/>
      </c>
      <c r="Q19" s="2" t="str">
        <f>IF('Full Season Entries'!L20 &lt;&gt; "", IF('Full Season Entries'!L20 = "Bronze", -AK19, VLOOKUP('Full Season Entries'!L20, driverCosts, 2, FALSE) * Z19), "")</f>
        <v/>
      </c>
      <c r="R19" s="2" t="str">
        <f>IF('Full Season Entries'!M20 &lt;&gt; "", IF('Full Season Entries'!M20 = "Bronze", -AL19, IF(AND(AD19 = 2, OR(AF19 = "DPi", AF19 = "GTLM")), VLOOKUP('Full Season Entries'!M20, driverCosts, 2, FALSE) * VLOOKUP(AF19, nasccEcCosts, 3, FALSE), IF(AD19 = 7, VLOOKUP('Full Season Entries'!M20, driverCosts, 2, FALSE) * VLOOKUP("ASM 210 Minutes of CoTA", oneOffs, 3, FALSE), VLOOKUP('Full Season Entries'!M20, driverCosts, 2, FALSE) * Z19))), "")</f>
        <v/>
      </c>
      <c r="S19" s="52" t="str">
        <f>IF('Full Season Entries'!N20 &lt;&gt; "", IF('Full Season Entries'!N20 = "Bronze", -AM19, VLOOKUP('Full Season Entries'!N20, driverCosts, 2, FALSE) * Z19), "")</f>
        <v/>
      </c>
      <c r="T19" s="51">
        <f t="shared" si="19"/>
        <v>0</v>
      </c>
      <c r="U19" s="2">
        <f t="shared" si="20"/>
        <v>0</v>
      </c>
      <c r="V19" s="52">
        <f t="shared" si="21"/>
        <v>0</v>
      </c>
      <c r="Y19" s="1" t="str">
        <f t="shared" si="22"/>
        <v/>
      </c>
      <c r="Z19" s="1">
        <f t="shared" si="23"/>
        <v>0</v>
      </c>
      <c r="AA19" s="1">
        <f t="shared" si="3"/>
        <v>0</v>
      </c>
      <c r="AC19" s="1" t="str">
        <f>'Full Season Entries'!J20</f>
        <v/>
      </c>
      <c r="AD19" s="1">
        <f>'Full Season Entries'!AF20</f>
        <v>0</v>
      </c>
      <c r="AE19" s="1">
        <f>'Full Season Entries'!AG20</f>
        <v>0</v>
      </c>
      <c r="AF19" s="1" t="str">
        <f>'Full Season Entries'!D20</f>
        <v/>
      </c>
      <c r="AH19" s="1" t="str">
        <f>IF(AND(IF(AD19 = 1, TRUE, FALSE), IF(AE19 = 1, TRUE, FALSE)), VLOOKUP('Full Season Entries'!G20, t_gemLMP1, 2, FALSE), IF(AND(IF(AD19 = 1, TRUE, FALSE), IF(AE19 = 2, TRUE, FALSE)), VLOOKUP('Full Season Entries'!G20, t_gemLMP2, 2, FALSE), IF(AND(IF(AD19 = 1, TRUE, FALSE), IF(AE19 = 3, TRUE, FALSE)), VLOOKUP('Full Season Entries'!G20, t_gemLMGTE, 2, FALSE), IF(AND(IF(AD19 = 1, TRUE, FALSE), IF(AE19 = 4, TRUE, FALSE)), VLOOKUP('Full Season Entries'!G20, t_gemLMGTE, 2, FALSE), IF(AND(IF(AD19 = 2, TRUE, FALSE), IF(AE19 = 1, TRUE, FALSE)), VLOOKUP('Full Season Entries'!G20, t_nasccDPi, 2, FALSE), IF(AND(IF(AD19 = 2, TRUE, FALSE), IF(AE19 = 2, TRUE, FALSE)), VLOOKUP('Full Season Entries'!G20, t_nasccLMP2, 2, FALSE), IF(AND(IF(AD19 = 2, TRUE, FALSE), IF(AE19 = 3, TRUE, FALSE)), VLOOKUP('Full Season Entries'!G20, t_nasccGTLM, 2, FALSE), IF(AND(IF(AD19 = 2, TRUE, FALSE), IF(AE19 = 4, TRUE, FALSE)), VLOOKUP('Full Season Entries'!G20, t_nasccGTD, 2, FALSE), IF(AND(IF(AD19 = 2.1, TRUE, FALSE), IF(AE19 = 1, TRUE, FALSE)), VLOOKUP('Full Season Entries'!G20, t_nasccDPi, 2, FALSE), IF(AND(IF(AD19 = 2.1, TRUE, FALSE), IF(AE19 = 2, TRUE, FALSE)), VLOOKUP('Full Season Entries'!G20, t_nasccLMP2, 2, FALSE), IF(AND(IF(AD19 = 2.1, TRUE, FALSE), IF(AE19 = 3, TRUE, FALSE)), VLOOKUP('Full Season Entries'!G20, t_nasccGTLM, 2, FALSE), IF(AND(IF(AD19 = 2.1, TRUE, FALSE), IF(AE19 = 4, TRUE, FALSE)), VLOOKUP('Full Season Entries'!G20, t_nasccGTD, 2, FALSE), IF(AND(IF(AD19 = 2.2, TRUE, FALSE), IF(AE19 = 1, TRUE, FALSE)), VLOOKUP('Full Season Entries'!G20, t_nasccDPi, 2, FALSE), IF(AND(IF(AD19 = 2.2, TRUE, FALSE), IF(AE19 = 2, TRUE, FALSE)), VLOOKUP('Full Season Entries'!G20, t_nasccLMP2, 2, FALSE), IF(AND(IF(AD19 = 2.2, TRUE, FALSE), IF(AE19 = 3, TRUE, FALSE)), VLOOKUP('Full Season Entries'!G20, t_nasccGTLM, 2, FALSE), IF(AND(IF(AD19 = 2.2, TRUE, FALSE), IF(AE19 = 4, TRUE, FALSE)), VLOOKUP('Full Season Entries'!G20, t_nasccGTD, 2, FALSE), IF(AND(IF(AD19 = 3, TRUE, FALSE), IF(AE19 = 1, TRUE, FALSE)), VLOOKUP('Full Season Entries'!G20, t_euemLMP2, 2, FALSE), IF(AND(IF(AD19 = 3, TRUE, FALSE), IF(AE19 = 2, TRUE, FALSE)), VLOOKUP('Full Season Entries'!G20, t_euemLMP3, 2, FALSE), IF(AND(IF(AD19 = 3, TRUE, FALSE), IF(AE19 = 3, TRUE, FALSE)), VLOOKUP('Full Season Entries'!G20, t_euemLMGTE, 2, FALSE), IF(AND(IF(AD19 = 4, TRUE, FALSE), IF(AE19 = 1, TRUE, FALSE)), VLOOKUP('Full Season Entries'!G20, t_wgtssGT3, 2, FALSE), IF(AND(IF(AD19 = 4, TRUE, FALSE), IF(AE19 = 2, TRUE, FALSE)), VLOOKUP('Full Season Entries'!G20, t_wgtssGT4, 2, FALSE), IF(AND(IF(AD19 = 5, TRUE, FALSE), IF(AE19 = 1, TRUE, FALSE)), VLOOKUP('Full Season Entries'!G20, t_wgtmGT3P, 2, FALSE), IF(AND(IF(AD19 = 5, TRUE, FALSE), IF(AE19 = 2, TRUE, FALSE)), VLOOKUP('Full Season Entries'!G20, t_wgtmGT3A, 2, FALSE), IF(AND(IF(AD19 = 5, TRUE, FALSE), IF(AE19 = 3, TRUE, FALSE)), VLOOKUP('Full Season Entries'!G20, t_wgtmGT4, 2, FALSE), IF(AND(IF(AD19 = 7, TRUE, FALSE), IF(AE19 = 1, TRUE, FALSE)), VLOOKUP('Full Season Entries'!G20, t_asmLMP3, 2, FALSE), IF(AND(IF(AD19 = 7, TRUE, FALSE), IF(AE19 = 2, TRUE, FALSE)), VLOOKUP('Full Season Entries'!G20, t_asmGT3, 2, FALSE), IF(AND(IF(AD19 = 7, TRUE, FALSE), IF(AE19 = 3, TRUE, FALSE)), VLOOKUP('Full Season Entries'!G20, t_asmGT4, 2, FALSE), "")))))))))))))))))))))))))))</f>
        <v/>
      </c>
      <c r="AJ19" s="1" t="str">
        <f t="shared" si="4"/>
        <v/>
      </c>
      <c r="AK19" s="1" t="str">
        <f t="shared" si="5"/>
        <v/>
      </c>
      <c r="AL19" s="1" t="str">
        <f t="shared" si="24"/>
        <v/>
      </c>
      <c r="AM19" s="1" t="str">
        <f t="shared" si="6"/>
        <v/>
      </c>
      <c r="AO19" s="1" t="str">
        <f>'Full Season Entries'!I20</f>
        <v/>
      </c>
      <c r="AQ19" s="1">
        <f t="shared" si="7"/>
        <v>0</v>
      </c>
      <c r="AR19" s="1">
        <f>'Full Season Entries'!P20</f>
        <v>0</v>
      </c>
      <c r="AS19" s="1">
        <f>IF('Full Season Entries'!Q20 &lt;&gt; "", REPLACE('Full Season Entries'!Q20, 1, 1, "Level "), 0)</f>
        <v>0</v>
      </c>
      <c r="AT19" s="1">
        <f t="shared" si="8"/>
        <v>0</v>
      </c>
      <c r="AU19" s="1">
        <f>'Full Season Entries'!R20</f>
        <v>0</v>
      </c>
      <c r="AV19" s="1">
        <f>IF('Full Season Entries'!S20 &lt;&gt; "", REPLACE('Full Season Entries'!S20, 1, 1, "Level "), 0)</f>
        <v>0</v>
      </c>
      <c r="AW19" s="1">
        <f>IF('Full Season Entries'!T20 &lt;&gt; "", VLOOKUP('Full Season Entries'!T20, setupCostsReliability, 2, FALSE), 0)</f>
        <v>0</v>
      </c>
      <c r="AZ19" s="47" t="str">
        <f>IF('One-Off Entries'!I20 = "Yes", 0, IF(BQ19 &lt;&gt; "", IF(BQ19 = 1, VLOOKUP(BT19, gemCosts, 5, FALSE), IF(BQ19 = 2, VLOOKUP(BT19, nasccCosts, 5, FALSE), IF(BQ19 = 2.1, VLOOKUP(BT19, nasccScCosts, 5, FALSE), IF(BQ19 = 2.2, VLOOKUP(BT19, nasccEcCosts, 5, FALSE), IF(BQ19 = 3, VLOOKUP(BT19, euemCosts, 5, FALSE), IF(BQ19 = 4, VLOOKUP(BT19, wgtssCosts, 5, FALSE), IF(BQ19 = 5, VLOOKUP(BT19, wgtmCosts, 5, FALSE), IF(BQ19 = 6, VLOOKUP(BT19, wpcCosts, 5, FALSE), IF(BQ19 = 7, VLOOKUP(BT19, asmCosts, 5, FALSE), "")))))))))))</f>
        <v/>
      </c>
      <c r="BA19" s="47" t="str">
        <f t="shared" si="25"/>
        <v/>
      </c>
      <c r="BB19" s="47" t="str">
        <f t="shared" si="26"/>
        <v/>
      </c>
      <c r="BC19" s="51" t="str">
        <f>IF('One-Off Entries'!M20 &lt;&gt; "", IF('One-Off Entries'!M20 = "Bronze", -BX19, VLOOKUP('One-Off Entries'!M20, driverCosts, 2, FALSE) * BM19), "")</f>
        <v/>
      </c>
      <c r="BD19" s="2" t="str">
        <f>IF('One-Off Entries'!N20 &lt;&gt; "", IF('One-Off Entries'!N20 = "Bronze", -BY19, VLOOKUP('One-Off Entries'!N20, driverCosts, 2, FALSE) * BM19), "")</f>
        <v/>
      </c>
      <c r="BE19" s="2" t="str">
        <f>IF('One-Off Entries'!O20 &lt;&gt; "", IF('One-Off Entries'!O20 = "Bronze", -BZ19, VLOOKUP('One-Off Entries'!O20, driverCosts, 2, FALSE) * BM19), "")</f>
        <v/>
      </c>
      <c r="BF19" s="52" t="str">
        <f>IF('One-Off Entries'!P20 &lt;&gt; "", IF('One-Off Entries'!P20 = "Bronze", -CA19, VLOOKUP('One-Off Entries'!P20, driverCosts, 2, FALSE) * BM19), "")</f>
        <v/>
      </c>
      <c r="BG19" s="51">
        <f t="shared" si="27"/>
        <v>0</v>
      </c>
      <c r="BH19" s="2">
        <f t="shared" si="28"/>
        <v>0</v>
      </c>
      <c r="BI19" s="52">
        <f t="shared" si="29"/>
        <v>0</v>
      </c>
      <c r="BL19" s="1" t="str">
        <f t="shared" si="9"/>
        <v/>
      </c>
      <c r="BM19" s="1" t="str">
        <f t="shared" si="10"/>
        <v/>
      </c>
      <c r="BO19" s="1">
        <f>'One-Off Entries'!C20</f>
        <v>0</v>
      </c>
      <c r="BP19" s="1" t="str">
        <f>'One-Off Entries'!L20</f>
        <v/>
      </c>
      <c r="BQ19" s="1">
        <f>'One-Off Entries'!AI20</f>
        <v>0</v>
      </c>
      <c r="BR19" s="1">
        <f>'One-Off Entries'!AJ20</f>
        <v>0</v>
      </c>
      <c r="BT19" s="1" t="str">
        <f>'One-Off Entries'!E20</f>
        <v/>
      </c>
      <c r="BV19" s="1" t="str">
        <f>IF(AND(IF(BQ19 = 1, TRUE, FALSE), IF(BR19 = 1, TRUE, FALSE)), VLOOKUP('One-Off Entries'!H20, t_gemLMP1, 2, FALSE), IF(AND(IF(BQ19 = 1, TRUE, FALSE), IF(BR19 = 2, TRUE, FALSE)), VLOOKUP('One-Off Entries'!H20, t_gemLMP2, 2, FALSE), IF(AND(IF(BQ19 = 1, TRUE, FALSE), IF(BR19 = 3, TRUE, FALSE)), VLOOKUP('One-Off Entries'!H20, t_gemLMGTE, 2, FALSE), IF(AND(IF(BQ19 = 1, TRUE, FALSE), IF(BR19 = 4, TRUE, FALSE)), VLOOKUP('One-Off Entries'!H20, t_gemLMGTE, 2, FALSE), IF(AND(IF(BQ19 = 2, TRUE, FALSE), IF(BR19 = 1, TRUE, FALSE)), VLOOKUP('One-Off Entries'!H20, t_nasccDPi, 2, FALSE), IF(AND(IF(BQ19 = 2, TRUE, FALSE), IF(BR19 = 2, TRUE, FALSE)), VLOOKUP('One-Off Entries'!H20, t_nasccLMP2, 2, FALSE), IF(AND(IF(BQ19 = 2, TRUE, FALSE), IF(BR19 = 3, TRUE, FALSE)), VLOOKUP('One-Off Entries'!H20, t_nasccGTLM, 2, FALSE), IF(AND(IF(BQ19 = 2, TRUE, FALSE), IF(BR19 = 4, TRUE, FALSE)), VLOOKUP('One-Off Entries'!H20, t_nasccGTD, 2, FALSE), IF(AND(IF(BQ19 = 2.1, TRUE, FALSE), IF(BR19 = 1, TRUE, FALSE)), VLOOKUP('One-Off Entries'!H20, t_nasccDPi, 2, FALSE), IF(AND(IF(BQ19 = 2.1, TRUE, FALSE), IF(BR19 = 2, TRUE, FALSE)), VLOOKUP('One-Off Entries'!H20, t_nasccLMP2, 2, FALSE), IF(AND(IF(BQ19 = 2.1, TRUE, FALSE), IF(BR19 = 3, TRUE, FALSE)), VLOOKUP('One-Off Entries'!H20, t_nasccGTLM, 2, FALSE), IF(AND(IF(BQ19 = 2.1, TRUE, FALSE), IF(BR19 = 4, TRUE, FALSE)), VLOOKUP('One-Off Entries'!H20, t_nasccGTD, 2, FALSE), IF(AND(IF(BQ19 = 2.2, TRUE, FALSE), IF(BR19 = 1, TRUE, FALSE)), VLOOKUP('One-Off Entries'!H20, t_nasccDPi, 2, FALSE), IF(AND(IF(BQ19 = 2.2, TRUE, FALSE), IF(BR19 = 2, TRUE, FALSE)), VLOOKUP('One-Off Entries'!H20, t_nasccLMP2, 2, FALSE), IF(AND(IF(BQ19 = 2.2, TRUE, FALSE), IF(BR19 = 3, TRUE, FALSE)), VLOOKUP('One-Off Entries'!H20, t_nasccGTLM, 2, FALSE), IF(AND(IF(BQ19 = 2.2, TRUE, FALSE), IF(BR19 = 4, TRUE, FALSE)), VLOOKUP('One-Off Entries'!H20, t_nasccGTD, 2, FALSE), IF(AND(IF(BQ19 = 3, TRUE, FALSE), IF(BR19 = 1, TRUE, FALSE)), VLOOKUP('One-Off Entries'!H20, t_euemLMP2, 2, FALSE), IF(AND(IF(BQ19 = 3, TRUE, FALSE), IF(BR19 = 2, TRUE, FALSE)), VLOOKUP('One-Off Entries'!H20, t_euemLMP3, 2, FALSE), IF(AND(IF(BQ19 = 3, TRUE, FALSE), IF(BR19 = 3, TRUE, FALSE)), VLOOKUP('One-Off Entries'!H20, t_euemLMGTE, 2, FALSE), IF(AND(IF(BQ19 = 4, TRUE, FALSE), IF(BR19 = 1, TRUE, FALSE)), VLOOKUP('One-Off Entries'!H20, t_wgtssGT3, 2, FALSE), IF(AND(IF(BQ19 = 4, TRUE, FALSE), IF(BR19 = 2, TRUE, FALSE)), VLOOKUP('One-Off Entries'!H20, t_wgtssGT4, 2, FALSE), IF(AND(IF(BQ19 = 5, TRUE, FALSE), IF(BR19 = 1, TRUE, FALSE)), VLOOKUP('One-Off Entries'!H20, t_wgtmGT3P, 2, FALSE), IF(AND(IF(BQ19 = 5, TRUE, FALSE), IF(BR19 = 2, TRUE, FALSE)), VLOOKUP('One-Off Entries'!H20, t_wgtmGT3A, 2, FALSE), IF(AND(IF(BQ19 = 5, TRUE, FALSE), IF(BR19 = 3, TRUE, FALSE)), VLOOKUP('One-Off Entries'!H20, t_wgtmGT4, 2, FALSE), IF(AND(IF(BQ19 = 7, TRUE, FALSE), IF(BR19 = 1, TRUE, FALSE)), VLOOKUP('One-Off Entries'!H20, t_asmLMP3, 2, FALSE), IF(AND(IF(BQ19 = 7, TRUE, FALSE), IF(BR19 = 2, TRUE, FALSE)), VLOOKUP('One-Off Entries'!H20, t_asmGT3, 2, FALSE), IF(AND(IF(BQ19 = 7, TRUE, FALSE), IF(BR19 = 3, TRUE, FALSE)), VLOOKUP('One-Off Entries'!H20, t_asmGT4, 2, FALSE), "")))))))))))))))))))))))))))</f>
        <v/>
      </c>
      <c r="BX19" s="1" t="str">
        <f t="shared" si="11"/>
        <v/>
      </c>
      <c r="BY19" s="1" t="str">
        <f t="shared" si="12"/>
        <v/>
      </c>
      <c r="BZ19" s="1" t="str">
        <f t="shared" si="13"/>
        <v/>
      </c>
      <c r="CA19" s="1" t="str">
        <f t="shared" si="14"/>
        <v/>
      </c>
      <c r="CC19" s="1" t="str">
        <f>'One-Off Entries'!K20</f>
        <v/>
      </c>
      <c r="CD19" s="1">
        <f t="shared" si="15"/>
        <v>0</v>
      </c>
      <c r="CE19" s="1">
        <f>'One-Off Entries'!R20</f>
        <v>0</v>
      </c>
      <c r="CF19" s="1">
        <f>IF('One-Off Entries'!S20 &lt;&gt; "", REPLACE('One-Off Entries'!S20, 1, 1, "Level "), 0)</f>
        <v>0</v>
      </c>
      <c r="CG19" s="1">
        <f t="shared" si="16"/>
        <v>0</v>
      </c>
      <c r="CH19" s="1">
        <f>'One-Off Entries'!T20</f>
        <v>0</v>
      </c>
      <c r="CI19" s="1">
        <f>IF('One-Off Entries'!U20 &lt;&gt; "", REPLACE('One-Off Entries'!U20, 1, 1, "Level "), 0)</f>
        <v>0</v>
      </c>
      <c r="CJ19" s="1">
        <f>IF('One-Off Entries'!V20 &lt;&gt; "", VLOOKUP('One-Off Entries'!V20, setupCostsReliability, 2, FALSE), 0)</f>
        <v>0</v>
      </c>
    </row>
    <row r="20" spans="7:88" ht="18" customHeight="1" x14ac:dyDescent="0.3">
      <c r="G20" s="47" t="str">
        <f>IF('Car Purchase'!D20 &lt;&gt; "", VLOOKUP('Car Purchase'!D20, modelData, 3, FALSE), "")</f>
        <v/>
      </c>
      <c r="H20" s="51" t="str">
        <f>IF('Car Purchase'!I20 &lt;&gt; "", VLOOKUP('Car Purchase'!I20, modelData, 4, FALSE) * 'Car Purchase'!J20, "")</f>
        <v/>
      </c>
      <c r="I20" s="2" t="str">
        <f>IF('Car Purchase'!I20 &lt;&gt; "", VLOOKUP('Car Purchase'!I20, modelData, 5, FALSE) * 'Car Purchase'!K20, "")</f>
        <v/>
      </c>
      <c r="J20" s="52" t="str">
        <f>IF('Car Purchase'!I20 &lt;&gt; "", VLOOKUP('Car Purchase'!I20, modelData, 6, FALSE) * 'Car Purchase'!L20, "")</f>
        <v/>
      </c>
      <c r="M20" s="47" t="str">
        <f t="shared" si="0"/>
        <v/>
      </c>
      <c r="N20" s="47" t="str">
        <f t="shared" si="18"/>
        <v/>
      </c>
      <c r="O20" s="47" t="str">
        <f t="shared" si="1"/>
        <v/>
      </c>
      <c r="P20" s="51" t="str">
        <f>IF('Full Season Entries'!K21 &lt;&gt; "", IF('Full Season Entries'!K21 = "Bronze", -AJ20, VLOOKUP('Full Season Entries'!K21, driverCosts, 2, FALSE) * Z20), "")</f>
        <v/>
      </c>
      <c r="Q20" s="2" t="str">
        <f>IF('Full Season Entries'!L21 &lt;&gt; "", IF('Full Season Entries'!L21 = "Bronze", -AK20, VLOOKUP('Full Season Entries'!L21, driverCosts, 2, FALSE) * Z20), "")</f>
        <v/>
      </c>
      <c r="R20" s="2" t="str">
        <f>IF('Full Season Entries'!M21 &lt;&gt; "", IF('Full Season Entries'!M21 = "Bronze", -AL20, IF(AND(AD20 = 2, OR(AF20 = "DPi", AF20 = "GTLM")), VLOOKUP('Full Season Entries'!M21, driverCosts, 2, FALSE) * VLOOKUP(AF20, nasccEcCosts, 3, FALSE), IF(AD20 = 7, VLOOKUP('Full Season Entries'!M21, driverCosts, 2, FALSE) * VLOOKUP("ASM 210 Minutes of CoTA", oneOffs, 3, FALSE), VLOOKUP('Full Season Entries'!M21, driverCosts, 2, FALSE) * Z20))), "")</f>
        <v/>
      </c>
      <c r="S20" s="52" t="str">
        <f>IF('Full Season Entries'!N21 &lt;&gt; "", IF('Full Season Entries'!N21 = "Bronze", -AM20, VLOOKUP('Full Season Entries'!N21, driverCosts, 2, FALSE) * Z20), "")</f>
        <v/>
      </c>
      <c r="T20" s="51">
        <f t="shared" si="19"/>
        <v>0</v>
      </c>
      <c r="U20" s="2">
        <f t="shared" si="20"/>
        <v>0</v>
      </c>
      <c r="V20" s="52">
        <f t="shared" si="21"/>
        <v>0</v>
      </c>
      <c r="Y20" s="1" t="str">
        <f t="shared" si="22"/>
        <v/>
      </c>
      <c r="Z20" s="1">
        <f t="shared" si="23"/>
        <v>0</v>
      </c>
      <c r="AA20" s="1">
        <f t="shared" si="3"/>
        <v>0</v>
      </c>
      <c r="AC20" s="1" t="str">
        <f>'Full Season Entries'!J21</f>
        <v/>
      </c>
      <c r="AD20" s="1">
        <f>'Full Season Entries'!AF21</f>
        <v>0</v>
      </c>
      <c r="AE20" s="1">
        <f>'Full Season Entries'!AG21</f>
        <v>0</v>
      </c>
      <c r="AF20" s="1" t="str">
        <f>'Full Season Entries'!D21</f>
        <v/>
      </c>
      <c r="AH20" s="1" t="str">
        <f>IF(AND(IF(AD20 = 1, TRUE, FALSE), IF(AE20 = 1, TRUE, FALSE)), VLOOKUP('Full Season Entries'!G21, t_gemLMP1, 2, FALSE), IF(AND(IF(AD20 = 1, TRUE, FALSE), IF(AE20 = 2, TRUE, FALSE)), VLOOKUP('Full Season Entries'!G21, t_gemLMP2, 2, FALSE), IF(AND(IF(AD20 = 1, TRUE, FALSE), IF(AE20 = 3, TRUE, FALSE)), VLOOKUP('Full Season Entries'!G21, t_gemLMGTE, 2, FALSE), IF(AND(IF(AD20 = 1, TRUE, FALSE), IF(AE20 = 4, TRUE, FALSE)), VLOOKUP('Full Season Entries'!G21, t_gemLMGTE, 2, FALSE), IF(AND(IF(AD20 = 2, TRUE, FALSE), IF(AE20 = 1, TRUE, FALSE)), VLOOKUP('Full Season Entries'!G21, t_nasccDPi, 2, FALSE), IF(AND(IF(AD20 = 2, TRUE, FALSE), IF(AE20 = 2, TRUE, FALSE)), VLOOKUP('Full Season Entries'!G21, t_nasccLMP2, 2, FALSE), IF(AND(IF(AD20 = 2, TRUE, FALSE), IF(AE20 = 3, TRUE, FALSE)), VLOOKUP('Full Season Entries'!G21, t_nasccGTLM, 2, FALSE), IF(AND(IF(AD20 = 2, TRUE, FALSE), IF(AE20 = 4, TRUE, FALSE)), VLOOKUP('Full Season Entries'!G21, t_nasccGTD, 2, FALSE), IF(AND(IF(AD20 = 2.1, TRUE, FALSE), IF(AE20 = 1, TRUE, FALSE)), VLOOKUP('Full Season Entries'!G21, t_nasccDPi, 2, FALSE), IF(AND(IF(AD20 = 2.1, TRUE, FALSE), IF(AE20 = 2, TRUE, FALSE)), VLOOKUP('Full Season Entries'!G21, t_nasccLMP2, 2, FALSE), IF(AND(IF(AD20 = 2.1, TRUE, FALSE), IF(AE20 = 3, TRUE, FALSE)), VLOOKUP('Full Season Entries'!G21, t_nasccGTLM, 2, FALSE), IF(AND(IF(AD20 = 2.1, TRUE, FALSE), IF(AE20 = 4, TRUE, FALSE)), VLOOKUP('Full Season Entries'!G21, t_nasccGTD, 2, FALSE), IF(AND(IF(AD20 = 2.2, TRUE, FALSE), IF(AE20 = 1, TRUE, FALSE)), VLOOKUP('Full Season Entries'!G21, t_nasccDPi, 2, FALSE), IF(AND(IF(AD20 = 2.2, TRUE, FALSE), IF(AE20 = 2, TRUE, FALSE)), VLOOKUP('Full Season Entries'!G21, t_nasccLMP2, 2, FALSE), IF(AND(IF(AD20 = 2.2, TRUE, FALSE), IF(AE20 = 3, TRUE, FALSE)), VLOOKUP('Full Season Entries'!G21, t_nasccGTLM, 2, FALSE), IF(AND(IF(AD20 = 2.2, TRUE, FALSE), IF(AE20 = 4, TRUE, FALSE)), VLOOKUP('Full Season Entries'!G21, t_nasccGTD, 2, FALSE), IF(AND(IF(AD20 = 3, TRUE, FALSE), IF(AE20 = 1, TRUE, FALSE)), VLOOKUP('Full Season Entries'!G21, t_euemLMP2, 2, FALSE), IF(AND(IF(AD20 = 3, TRUE, FALSE), IF(AE20 = 2, TRUE, FALSE)), VLOOKUP('Full Season Entries'!G21, t_euemLMP3, 2, FALSE), IF(AND(IF(AD20 = 3, TRUE, FALSE), IF(AE20 = 3, TRUE, FALSE)), VLOOKUP('Full Season Entries'!G21, t_euemLMGTE, 2, FALSE), IF(AND(IF(AD20 = 4, TRUE, FALSE), IF(AE20 = 1, TRUE, FALSE)), VLOOKUP('Full Season Entries'!G21, t_wgtssGT3, 2, FALSE), IF(AND(IF(AD20 = 4, TRUE, FALSE), IF(AE20 = 2, TRUE, FALSE)), VLOOKUP('Full Season Entries'!G21, t_wgtssGT4, 2, FALSE), IF(AND(IF(AD20 = 5, TRUE, FALSE), IF(AE20 = 1, TRUE, FALSE)), VLOOKUP('Full Season Entries'!G21, t_wgtmGT3P, 2, FALSE), IF(AND(IF(AD20 = 5, TRUE, FALSE), IF(AE20 = 2, TRUE, FALSE)), VLOOKUP('Full Season Entries'!G21, t_wgtmGT3A, 2, FALSE), IF(AND(IF(AD20 = 5, TRUE, FALSE), IF(AE20 = 3, TRUE, FALSE)), VLOOKUP('Full Season Entries'!G21, t_wgtmGT4, 2, FALSE), IF(AND(IF(AD20 = 7, TRUE, FALSE), IF(AE20 = 1, TRUE, FALSE)), VLOOKUP('Full Season Entries'!G21, t_asmLMP3, 2, FALSE), IF(AND(IF(AD20 = 7, TRUE, FALSE), IF(AE20 = 2, TRUE, FALSE)), VLOOKUP('Full Season Entries'!G21, t_asmGT3, 2, FALSE), IF(AND(IF(AD20 = 7, TRUE, FALSE), IF(AE20 = 3, TRUE, FALSE)), VLOOKUP('Full Season Entries'!G21, t_asmGT4, 2, FALSE), "")))))))))))))))))))))))))))</f>
        <v/>
      </c>
      <c r="AJ20" s="1" t="str">
        <f t="shared" si="4"/>
        <v/>
      </c>
      <c r="AK20" s="1" t="str">
        <f t="shared" si="5"/>
        <v/>
      </c>
      <c r="AL20" s="1" t="str">
        <f t="shared" si="24"/>
        <v/>
      </c>
      <c r="AM20" s="1" t="str">
        <f t="shared" si="6"/>
        <v/>
      </c>
      <c r="AO20" s="1" t="str">
        <f>'Full Season Entries'!I21</f>
        <v/>
      </c>
      <c r="AQ20" s="1">
        <f t="shared" si="7"/>
        <v>0</v>
      </c>
      <c r="AR20" s="1">
        <f>'Full Season Entries'!P21</f>
        <v>0</v>
      </c>
      <c r="AS20" s="1">
        <f>IF('Full Season Entries'!Q21 &lt;&gt; "", REPLACE('Full Season Entries'!Q21, 1, 1, "Level "), 0)</f>
        <v>0</v>
      </c>
      <c r="AT20" s="1">
        <f t="shared" si="8"/>
        <v>0</v>
      </c>
      <c r="AU20" s="1">
        <f>'Full Season Entries'!R21</f>
        <v>0</v>
      </c>
      <c r="AV20" s="1">
        <f>IF('Full Season Entries'!S21 &lt;&gt; "", REPLACE('Full Season Entries'!S21, 1, 1, "Level "), 0)</f>
        <v>0</v>
      </c>
      <c r="AW20" s="1">
        <f>IF('Full Season Entries'!T21 &lt;&gt; "", VLOOKUP('Full Season Entries'!T21, setupCostsReliability, 2, FALSE), 0)</f>
        <v>0</v>
      </c>
      <c r="AZ20" s="47" t="str">
        <f>IF('One-Off Entries'!I21 = "Yes", 0, IF(BQ20 &lt;&gt; "", IF(BQ20 = 1, VLOOKUP(BT20, gemCosts, 5, FALSE), IF(BQ20 = 2, VLOOKUP(BT20, nasccCosts, 5, FALSE), IF(BQ20 = 2.1, VLOOKUP(BT20, nasccScCosts, 5, FALSE), IF(BQ20 = 2.2, VLOOKUP(BT20, nasccEcCosts, 5, FALSE), IF(BQ20 = 3, VLOOKUP(BT20, euemCosts, 5, FALSE), IF(BQ20 = 4, VLOOKUP(BT20, wgtssCosts, 5, FALSE), IF(BQ20 = 5, VLOOKUP(BT20, wgtmCosts, 5, FALSE), IF(BQ20 = 6, VLOOKUP(BT20, wpcCosts, 5, FALSE), IF(BQ20 = 7, VLOOKUP(BT20, asmCosts, 5, FALSE), "")))))))))))</f>
        <v/>
      </c>
      <c r="BA20" s="47" t="str">
        <f t="shared" si="25"/>
        <v/>
      </c>
      <c r="BB20" s="47" t="str">
        <f t="shared" si="26"/>
        <v/>
      </c>
      <c r="BC20" s="51" t="str">
        <f>IF('One-Off Entries'!M21 &lt;&gt; "", IF('One-Off Entries'!M21 = "Bronze", -BX20, VLOOKUP('One-Off Entries'!M21, driverCosts, 2, FALSE) * BM20), "")</f>
        <v/>
      </c>
      <c r="BD20" s="2" t="str">
        <f>IF('One-Off Entries'!N21 &lt;&gt; "", IF('One-Off Entries'!N21 = "Bronze", -BY20, VLOOKUP('One-Off Entries'!N21, driverCosts, 2, FALSE) * BM20), "")</f>
        <v/>
      </c>
      <c r="BE20" s="2" t="str">
        <f>IF('One-Off Entries'!O21 &lt;&gt; "", IF('One-Off Entries'!O21 = "Bronze", -BZ20, VLOOKUP('One-Off Entries'!O21, driverCosts, 2, FALSE) * BM20), "")</f>
        <v/>
      </c>
      <c r="BF20" s="52" t="str">
        <f>IF('One-Off Entries'!P21 &lt;&gt; "", IF('One-Off Entries'!P21 = "Bronze", -CA20, VLOOKUP('One-Off Entries'!P21, driverCosts, 2, FALSE) * BM20), "")</f>
        <v/>
      </c>
      <c r="BG20" s="51">
        <f t="shared" si="27"/>
        <v>0</v>
      </c>
      <c r="BH20" s="2">
        <f t="shared" si="28"/>
        <v>0</v>
      </c>
      <c r="BI20" s="52">
        <f t="shared" si="29"/>
        <v>0</v>
      </c>
      <c r="BL20" s="1" t="str">
        <f t="shared" si="9"/>
        <v/>
      </c>
      <c r="BM20" s="1" t="str">
        <f t="shared" si="10"/>
        <v/>
      </c>
      <c r="BO20" s="1">
        <f>'One-Off Entries'!C21</f>
        <v>0</v>
      </c>
      <c r="BP20" s="1" t="str">
        <f>'One-Off Entries'!L21</f>
        <v/>
      </c>
      <c r="BQ20" s="1">
        <f>'One-Off Entries'!AI21</f>
        <v>0</v>
      </c>
      <c r="BR20" s="1">
        <f>'One-Off Entries'!AJ21</f>
        <v>0</v>
      </c>
      <c r="BT20" s="1" t="str">
        <f>'One-Off Entries'!E21</f>
        <v/>
      </c>
      <c r="BV20" s="1" t="str">
        <f>IF(AND(IF(BQ20 = 1, TRUE, FALSE), IF(BR20 = 1, TRUE, FALSE)), VLOOKUP('One-Off Entries'!H21, t_gemLMP1, 2, FALSE), IF(AND(IF(BQ20 = 1, TRUE, FALSE), IF(BR20 = 2, TRUE, FALSE)), VLOOKUP('One-Off Entries'!H21, t_gemLMP2, 2, FALSE), IF(AND(IF(BQ20 = 1, TRUE, FALSE), IF(BR20 = 3, TRUE, FALSE)), VLOOKUP('One-Off Entries'!H21, t_gemLMGTE, 2, FALSE), IF(AND(IF(BQ20 = 1, TRUE, FALSE), IF(BR20 = 4, TRUE, FALSE)), VLOOKUP('One-Off Entries'!H21, t_gemLMGTE, 2, FALSE), IF(AND(IF(BQ20 = 2, TRUE, FALSE), IF(BR20 = 1, TRUE, FALSE)), VLOOKUP('One-Off Entries'!H21, t_nasccDPi, 2, FALSE), IF(AND(IF(BQ20 = 2, TRUE, FALSE), IF(BR20 = 2, TRUE, FALSE)), VLOOKUP('One-Off Entries'!H21, t_nasccLMP2, 2, FALSE), IF(AND(IF(BQ20 = 2, TRUE, FALSE), IF(BR20 = 3, TRUE, FALSE)), VLOOKUP('One-Off Entries'!H21, t_nasccGTLM, 2, FALSE), IF(AND(IF(BQ20 = 2, TRUE, FALSE), IF(BR20 = 4, TRUE, FALSE)), VLOOKUP('One-Off Entries'!H21, t_nasccGTD, 2, FALSE), IF(AND(IF(BQ20 = 2.1, TRUE, FALSE), IF(BR20 = 1, TRUE, FALSE)), VLOOKUP('One-Off Entries'!H21, t_nasccDPi, 2, FALSE), IF(AND(IF(BQ20 = 2.1, TRUE, FALSE), IF(BR20 = 2, TRUE, FALSE)), VLOOKUP('One-Off Entries'!H21, t_nasccLMP2, 2, FALSE), IF(AND(IF(BQ20 = 2.1, TRUE, FALSE), IF(BR20 = 3, TRUE, FALSE)), VLOOKUP('One-Off Entries'!H21, t_nasccGTLM, 2, FALSE), IF(AND(IF(BQ20 = 2.1, TRUE, FALSE), IF(BR20 = 4, TRUE, FALSE)), VLOOKUP('One-Off Entries'!H21, t_nasccGTD, 2, FALSE), IF(AND(IF(BQ20 = 2.2, TRUE, FALSE), IF(BR20 = 1, TRUE, FALSE)), VLOOKUP('One-Off Entries'!H21, t_nasccDPi, 2, FALSE), IF(AND(IF(BQ20 = 2.2, TRUE, FALSE), IF(BR20 = 2, TRUE, FALSE)), VLOOKUP('One-Off Entries'!H21, t_nasccLMP2, 2, FALSE), IF(AND(IF(BQ20 = 2.2, TRUE, FALSE), IF(BR20 = 3, TRUE, FALSE)), VLOOKUP('One-Off Entries'!H21, t_nasccGTLM, 2, FALSE), IF(AND(IF(BQ20 = 2.2, TRUE, FALSE), IF(BR20 = 4, TRUE, FALSE)), VLOOKUP('One-Off Entries'!H21, t_nasccGTD, 2, FALSE), IF(AND(IF(BQ20 = 3, TRUE, FALSE), IF(BR20 = 1, TRUE, FALSE)), VLOOKUP('One-Off Entries'!H21, t_euemLMP2, 2, FALSE), IF(AND(IF(BQ20 = 3, TRUE, FALSE), IF(BR20 = 2, TRUE, FALSE)), VLOOKUP('One-Off Entries'!H21, t_euemLMP3, 2, FALSE), IF(AND(IF(BQ20 = 3, TRUE, FALSE), IF(BR20 = 3, TRUE, FALSE)), VLOOKUP('One-Off Entries'!H21, t_euemLMGTE, 2, FALSE), IF(AND(IF(BQ20 = 4, TRUE, FALSE), IF(BR20 = 1, TRUE, FALSE)), VLOOKUP('One-Off Entries'!H21, t_wgtssGT3, 2, FALSE), IF(AND(IF(BQ20 = 4, TRUE, FALSE), IF(BR20 = 2, TRUE, FALSE)), VLOOKUP('One-Off Entries'!H21, t_wgtssGT4, 2, FALSE), IF(AND(IF(BQ20 = 5, TRUE, FALSE), IF(BR20 = 1, TRUE, FALSE)), VLOOKUP('One-Off Entries'!H21, t_wgtmGT3P, 2, FALSE), IF(AND(IF(BQ20 = 5, TRUE, FALSE), IF(BR20 = 2, TRUE, FALSE)), VLOOKUP('One-Off Entries'!H21, t_wgtmGT3A, 2, FALSE), IF(AND(IF(BQ20 = 5, TRUE, FALSE), IF(BR20 = 3, TRUE, FALSE)), VLOOKUP('One-Off Entries'!H21, t_wgtmGT4, 2, FALSE), IF(AND(IF(BQ20 = 7, TRUE, FALSE), IF(BR20 = 1, TRUE, FALSE)), VLOOKUP('One-Off Entries'!H21, t_asmLMP3, 2, FALSE), IF(AND(IF(BQ20 = 7, TRUE, FALSE), IF(BR20 = 2, TRUE, FALSE)), VLOOKUP('One-Off Entries'!H21, t_asmGT3, 2, FALSE), IF(AND(IF(BQ20 = 7, TRUE, FALSE), IF(BR20 = 3, TRUE, FALSE)), VLOOKUP('One-Off Entries'!H21, t_asmGT4, 2, FALSE), "")))))))))))))))))))))))))))</f>
        <v/>
      </c>
      <c r="BX20" s="1" t="str">
        <f t="shared" si="11"/>
        <v/>
      </c>
      <c r="BY20" s="1" t="str">
        <f t="shared" si="12"/>
        <v/>
      </c>
      <c r="BZ20" s="1" t="str">
        <f t="shared" si="13"/>
        <v/>
      </c>
      <c r="CA20" s="1" t="str">
        <f t="shared" si="14"/>
        <v/>
      </c>
      <c r="CC20" s="1" t="str">
        <f>'One-Off Entries'!K21</f>
        <v/>
      </c>
      <c r="CD20" s="1">
        <f t="shared" si="15"/>
        <v>0</v>
      </c>
      <c r="CE20" s="1">
        <f>'One-Off Entries'!R21</f>
        <v>0</v>
      </c>
      <c r="CF20" s="1">
        <f>IF('One-Off Entries'!S21 &lt;&gt; "", REPLACE('One-Off Entries'!S21, 1, 1, "Level "), 0)</f>
        <v>0</v>
      </c>
      <c r="CG20" s="1">
        <f t="shared" si="16"/>
        <v>0</v>
      </c>
      <c r="CH20" s="1">
        <f>'One-Off Entries'!T21</f>
        <v>0</v>
      </c>
      <c r="CI20" s="1">
        <f>IF('One-Off Entries'!U21 &lt;&gt; "", REPLACE('One-Off Entries'!U21, 1, 1, "Level "), 0)</f>
        <v>0</v>
      </c>
      <c r="CJ20" s="1">
        <f>IF('One-Off Entries'!V21 &lt;&gt; "", VLOOKUP('One-Off Entries'!V21, setupCostsReliability, 2, FALSE), 0)</f>
        <v>0</v>
      </c>
    </row>
    <row r="21" spans="7:88" ht="18" customHeight="1" x14ac:dyDescent="0.3">
      <c r="G21" s="47" t="str">
        <f>IF('Car Purchase'!D21 &lt;&gt; "", VLOOKUP('Car Purchase'!D21, modelData, 3, FALSE), "")</f>
        <v/>
      </c>
      <c r="H21" s="51" t="str">
        <f>IF('Car Purchase'!I21 &lt;&gt; "", VLOOKUP('Car Purchase'!I21, modelData, 4, FALSE) * 'Car Purchase'!J21, "")</f>
        <v/>
      </c>
      <c r="I21" s="2" t="str">
        <f>IF('Car Purchase'!I21 &lt;&gt; "", VLOOKUP('Car Purchase'!I21, modelData, 5, FALSE) * 'Car Purchase'!K21, "")</f>
        <v/>
      </c>
      <c r="J21" s="52" t="str">
        <f>IF('Car Purchase'!I21 &lt;&gt; "", VLOOKUP('Car Purchase'!I21, modelData, 6, FALSE) * 'Car Purchase'!L21, "")</f>
        <v/>
      </c>
      <c r="M21" s="47" t="str">
        <f t="shared" si="0"/>
        <v/>
      </c>
      <c r="N21" s="47" t="str">
        <f t="shared" si="18"/>
        <v/>
      </c>
      <c r="O21" s="47" t="str">
        <f t="shared" si="1"/>
        <v/>
      </c>
      <c r="P21" s="51" t="str">
        <f>IF('Full Season Entries'!K22 &lt;&gt; "", IF('Full Season Entries'!K22 = "Bronze", -AJ21, VLOOKUP('Full Season Entries'!K22, driverCosts, 2, FALSE) * Z21), "")</f>
        <v/>
      </c>
      <c r="Q21" s="2" t="str">
        <f>IF('Full Season Entries'!L22 &lt;&gt; "", IF('Full Season Entries'!L22 = "Bronze", -AK21, VLOOKUP('Full Season Entries'!L22, driverCosts, 2, FALSE) * Z21), "")</f>
        <v/>
      </c>
      <c r="R21" s="2" t="str">
        <f>IF('Full Season Entries'!M22 &lt;&gt; "", IF('Full Season Entries'!M22 = "Bronze", -AL21, IF(AND(AD21 = 2, OR(AF21 = "DPi", AF21 = "GTLM")), VLOOKUP('Full Season Entries'!M22, driverCosts, 2, FALSE) * VLOOKUP(AF21, nasccEcCosts, 3, FALSE), IF(AD21 = 7, VLOOKUP('Full Season Entries'!M22, driverCosts, 2, FALSE) * VLOOKUP("ASM 210 Minutes of CoTA", oneOffs, 3, FALSE), VLOOKUP('Full Season Entries'!M22, driverCosts, 2, FALSE) * Z21))), "")</f>
        <v/>
      </c>
      <c r="S21" s="52" t="str">
        <f>IF('Full Season Entries'!N22 &lt;&gt; "", IF('Full Season Entries'!N22 = "Bronze", -AM21, VLOOKUP('Full Season Entries'!N22, driverCosts, 2, FALSE) * Z21), "")</f>
        <v/>
      </c>
      <c r="T21" s="51">
        <f t="shared" si="19"/>
        <v>0</v>
      </c>
      <c r="U21" s="2">
        <f t="shared" si="20"/>
        <v>0</v>
      </c>
      <c r="V21" s="52">
        <f t="shared" si="21"/>
        <v>0</v>
      </c>
      <c r="Y21" s="1" t="str">
        <f t="shared" si="22"/>
        <v/>
      </c>
      <c r="Z21" s="1">
        <f t="shared" si="23"/>
        <v>0</v>
      </c>
      <c r="AA21" s="1">
        <f t="shared" si="3"/>
        <v>0</v>
      </c>
      <c r="AC21" s="1" t="str">
        <f>'Full Season Entries'!J22</f>
        <v/>
      </c>
      <c r="AD21" s="1">
        <f>'Full Season Entries'!AF22</f>
        <v>0</v>
      </c>
      <c r="AE21" s="1">
        <f>'Full Season Entries'!AG22</f>
        <v>0</v>
      </c>
      <c r="AF21" s="1" t="str">
        <f>'Full Season Entries'!D22</f>
        <v/>
      </c>
      <c r="AH21" s="1" t="str">
        <f>IF(AND(IF(AD21 = 1, TRUE, FALSE), IF(AE21 = 1, TRUE, FALSE)), VLOOKUP('Full Season Entries'!G22, t_gemLMP1, 2, FALSE), IF(AND(IF(AD21 = 1, TRUE, FALSE), IF(AE21 = 2, TRUE, FALSE)), VLOOKUP('Full Season Entries'!G22, t_gemLMP2, 2, FALSE), IF(AND(IF(AD21 = 1, TRUE, FALSE), IF(AE21 = 3, TRUE, FALSE)), VLOOKUP('Full Season Entries'!G22, t_gemLMGTE, 2, FALSE), IF(AND(IF(AD21 = 1, TRUE, FALSE), IF(AE21 = 4, TRUE, FALSE)), VLOOKUP('Full Season Entries'!G22, t_gemLMGTE, 2, FALSE), IF(AND(IF(AD21 = 2, TRUE, FALSE), IF(AE21 = 1, TRUE, FALSE)), VLOOKUP('Full Season Entries'!G22, t_nasccDPi, 2, FALSE), IF(AND(IF(AD21 = 2, TRUE, FALSE), IF(AE21 = 2, TRUE, FALSE)), VLOOKUP('Full Season Entries'!G22, t_nasccLMP2, 2, FALSE), IF(AND(IF(AD21 = 2, TRUE, FALSE), IF(AE21 = 3, TRUE, FALSE)), VLOOKUP('Full Season Entries'!G22, t_nasccGTLM, 2, FALSE), IF(AND(IF(AD21 = 2, TRUE, FALSE), IF(AE21 = 4, TRUE, FALSE)), VLOOKUP('Full Season Entries'!G22, t_nasccGTD, 2, FALSE), IF(AND(IF(AD21 = 2.1, TRUE, FALSE), IF(AE21 = 1, TRUE, FALSE)), VLOOKUP('Full Season Entries'!G22, t_nasccDPi, 2, FALSE), IF(AND(IF(AD21 = 2.1, TRUE, FALSE), IF(AE21 = 2, TRUE, FALSE)), VLOOKUP('Full Season Entries'!G22, t_nasccLMP2, 2, FALSE), IF(AND(IF(AD21 = 2.1, TRUE, FALSE), IF(AE21 = 3, TRUE, FALSE)), VLOOKUP('Full Season Entries'!G22, t_nasccGTLM, 2, FALSE), IF(AND(IF(AD21 = 2.1, TRUE, FALSE), IF(AE21 = 4, TRUE, FALSE)), VLOOKUP('Full Season Entries'!G22, t_nasccGTD, 2, FALSE), IF(AND(IF(AD21 = 2.2, TRUE, FALSE), IF(AE21 = 1, TRUE, FALSE)), VLOOKUP('Full Season Entries'!G22, t_nasccDPi, 2, FALSE), IF(AND(IF(AD21 = 2.2, TRUE, FALSE), IF(AE21 = 2, TRUE, FALSE)), VLOOKUP('Full Season Entries'!G22, t_nasccLMP2, 2, FALSE), IF(AND(IF(AD21 = 2.2, TRUE, FALSE), IF(AE21 = 3, TRUE, FALSE)), VLOOKUP('Full Season Entries'!G22, t_nasccGTLM, 2, FALSE), IF(AND(IF(AD21 = 2.2, TRUE, FALSE), IF(AE21 = 4, TRUE, FALSE)), VLOOKUP('Full Season Entries'!G22, t_nasccGTD, 2, FALSE), IF(AND(IF(AD21 = 3, TRUE, FALSE), IF(AE21 = 1, TRUE, FALSE)), VLOOKUP('Full Season Entries'!G22, t_euemLMP2, 2, FALSE), IF(AND(IF(AD21 = 3, TRUE, FALSE), IF(AE21 = 2, TRUE, FALSE)), VLOOKUP('Full Season Entries'!G22, t_euemLMP3, 2, FALSE), IF(AND(IF(AD21 = 3, TRUE, FALSE), IF(AE21 = 3, TRUE, FALSE)), VLOOKUP('Full Season Entries'!G22, t_euemLMGTE, 2, FALSE), IF(AND(IF(AD21 = 4, TRUE, FALSE), IF(AE21 = 1, TRUE, FALSE)), VLOOKUP('Full Season Entries'!G22, t_wgtssGT3, 2, FALSE), IF(AND(IF(AD21 = 4, TRUE, FALSE), IF(AE21 = 2, TRUE, FALSE)), VLOOKUP('Full Season Entries'!G22, t_wgtssGT4, 2, FALSE), IF(AND(IF(AD21 = 5, TRUE, FALSE), IF(AE21 = 1, TRUE, FALSE)), VLOOKUP('Full Season Entries'!G22, t_wgtmGT3P, 2, FALSE), IF(AND(IF(AD21 = 5, TRUE, FALSE), IF(AE21 = 2, TRUE, FALSE)), VLOOKUP('Full Season Entries'!G22, t_wgtmGT3A, 2, FALSE), IF(AND(IF(AD21 = 5, TRUE, FALSE), IF(AE21 = 3, TRUE, FALSE)), VLOOKUP('Full Season Entries'!G22, t_wgtmGT4, 2, FALSE), IF(AND(IF(AD21 = 7, TRUE, FALSE), IF(AE21 = 1, TRUE, FALSE)), VLOOKUP('Full Season Entries'!G22, t_asmLMP3, 2, FALSE), IF(AND(IF(AD21 = 7, TRUE, FALSE), IF(AE21 = 2, TRUE, FALSE)), VLOOKUP('Full Season Entries'!G22, t_asmGT3, 2, FALSE), IF(AND(IF(AD21 = 7, TRUE, FALSE), IF(AE21 = 3, TRUE, FALSE)), VLOOKUP('Full Season Entries'!G22, t_asmGT4, 2, FALSE), "")))))))))))))))))))))))))))</f>
        <v/>
      </c>
      <c r="AJ21" s="1" t="str">
        <f t="shared" si="4"/>
        <v/>
      </c>
      <c r="AK21" s="1" t="str">
        <f t="shared" si="5"/>
        <v/>
      </c>
      <c r="AL21" s="1" t="str">
        <f t="shared" si="24"/>
        <v/>
      </c>
      <c r="AM21" s="1" t="str">
        <f t="shared" si="6"/>
        <v/>
      </c>
      <c r="AO21" s="1" t="str">
        <f>'Full Season Entries'!I22</f>
        <v/>
      </c>
      <c r="AQ21" s="1">
        <f t="shared" si="7"/>
        <v>0</v>
      </c>
      <c r="AR21" s="1">
        <f>'Full Season Entries'!P22</f>
        <v>0</v>
      </c>
      <c r="AS21" s="1">
        <f>IF('Full Season Entries'!Q22 &lt;&gt; "", REPLACE('Full Season Entries'!Q22, 1, 1, "Level "), 0)</f>
        <v>0</v>
      </c>
      <c r="AT21" s="1">
        <f t="shared" si="8"/>
        <v>0</v>
      </c>
      <c r="AU21" s="1">
        <f>'Full Season Entries'!R22</f>
        <v>0</v>
      </c>
      <c r="AV21" s="1">
        <f>IF('Full Season Entries'!S22 &lt;&gt; "", REPLACE('Full Season Entries'!S22, 1, 1, "Level "), 0)</f>
        <v>0</v>
      </c>
      <c r="AW21" s="1">
        <f>IF('Full Season Entries'!T22 &lt;&gt; "", VLOOKUP('Full Season Entries'!T22, setupCostsReliability, 2, FALSE), 0)</f>
        <v>0</v>
      </c>
      <c r="AZ21" s="47" t="str">
        <f>IF('One-Off Entries'!I22 = "Yes", 0, IF(BQ21 &lt;&gt; "", IF(BQ21 = 1, VLOOKUP(BT21, gemCosts, 5, FALSE), IF(BQ21 = 2, VLOOKUP(BT21, nasccCosts, 5, FALSE), IF(BQ21 = 2.1, VLOOKUP(BT21, nasccScCosts, 5, FALSE), IF(BQ21 = 2.2, VLOOKUP(BT21, nasccEcCosts, 5, FALSE), IF(BQ21 = 3, VLOOKUP(BT21, euemCosts, 5, FALSE), IF(BQ21 = 4, VLOOKUP(BT21, wgtssCosts, 5, FALSE), IF(BQ21 = 5, VLOOKUP(BT21, wgtmCosts, 5, FALSE), IF(BQ21 = 6, VLOOKUP(BT21, wpcCosts, 5, FALSE), IF(BQ21 = 7, VLOOKUP(BT21, asmCosts, 5, FALSE), "")))))))))))</f>
        <v/>
      </c>
      <c r="BA21" s="47" t="str">
        <f t="shared" si="25"/>
        <v/>
      </c>
      <c r="BB21" s="47" t="str">
        <f t="shared" si="26"/>
        <v/>
      </c>
      <c r="BC21" s="51" t="str">
        <f>IF('One-Off Entries'!M22 &lt;&gt; "", IF('One-Off Entries'!M22 = "Bronze", -BX21, VLOOKUP('One-Off Entries'!M22, driverCosts, 2, FALSE) * BM21), "")</f>
        <v/>
      </c>
      <c r="BD21" s="2" t="str">
        <f>IF('One-Off Entries'!N22 &lt;&gt; "", IF('One-Off Entries'!N22 = "Bronze", -BY21, VLOOKUP('One-Off Entries'!N22, driverCosts, 2, FALSE) * BM21), "")</f>
        <v/>
      </c>
      <c r="BE21" s="2" t="str">
        <f>IF('One-Off Entries'!O22 &lt;&gt; "", IF('One-Off Entries'!O22 = "Bronze", -BZ21, VLOOKUP('One-Off Entries'!O22, driverCosts, 2, FALSE) * BM21), "")</f>
        <v/>
      </c>
      <c r="BF21" s="52" t="str">
        <f>IF('One-Off Entries'!P22 &lt;&gt; "", IF('One-Off Entries'!P22 = "Bronze", -CA21, VLOOKUP('One-Off Entries'!P22, driverCosts, 2, FALSE) * BM21), "")</f>
        <v/>
      </c>
      <c r="BG21" s="51">
        <f t="shared" si="27"/>
        <v>0</v>
      </c>
      <c r="BH21" s="2">
        <f t="shared" si="28"/>
        <v>0</v>
      </c>
      <c r="BI21" s="52">
        <f t="shared" si="29"/>
        <v>0</v>
      </c>
      <c r="BL21" s="1" t="str">
        <f t="shared" si="9"/>
        <v/>
      </c>
      <c r="BM21" s="1" t="str">
        <f t="shared" si="10"/>
        <v/>
      </c>
      <c r="BO21" s="1">
        <f>'One-Off Entries'!C22</f>
        <v>0</v>
      </c>
      <c r="BP21" s="1" t="str">
        <f>'One-Off Entries'!L22</f>
        <v/>
      </c>
      <c r="BQ21" s="1">
        <f>'One-Off Entries'!AI22</f>
        <v>0</v>
      </c>
      <c r="BR21" s="1">
        <f>'One-Off Entries'!AJ22</f>
        <v>0</v>
      </c>
      <c r="BT21" s="1" t="str">
        <f>'One-Off Entries'!E22</f>
        <v/>
      </c>
      <c r="BV21" s="1" t="str">
        <f>IF(AND(IF(BQ21 = 1, TRUE, FALSE), IF(BR21 = 1, TRUE, FALSE)), VLOOKUP('One-Off Entries'!H22, t_gemLMP1, 2, FALSE), IF(AND(IF(BQ21 = 1, TRUE, FALSE), IF(BR21 = 2, TRUE, FALSE)), VLOOKUP('One-Off Entries'!H22, t_gemLMP2, 2, FALSE), IF(AND(IF(BQ21 = 1, TRUE, FALSE), IF(BR21 = 3, TRUE, FALSE)), VLOOKUP('One-Off Entries'!H22, t_gemLMGTE, 2, FALSE), IF(AND(IF(BQ21 = 1, TRUE, FALSE), IF(BR21 = 4, TRUE, FALSE)), VLOOKUP('One-Off Entries'!H22, t_gemLMGTE, 2, FALSE), IF(AND(IF(BQ21 = 2, TRUE, FALSE), IF(BR21 = 1, TRUE, FALSE)), VLOOKUP('One-Off Entries'!H22, t_nasccDPi, 2, FALSE), IF(AND(IF(BQ21 = 2, TRUE, FALSE), IF(BR21 = 2, TRUE, FALSE)), VLOOKUP('One-Off Entries'!H22, t_nasccLMP2, 2, FALSE), IF(AND(IF(BQ21 = 2, TRUE, FALSE), IF(BR21 = 3, TRUE, FALSE)), VLOOKUP('One-Off Entries'!H22, t_nasccGTLM, 2, FALSE), IF(AND(IF(BQ21 = 2, TRUE, FALSE), IF(BR21 = 4, TRUE, FALSE)), VLOOKUP('One-Off Entries'!H22, t_nasccGTD, 2, FALSE), IF(AND(IF(BQ21 = 2.1, TRUE, FALSE), IF(BR21 = 1, TRUE, FALSE)), VLOOKUP('One-Off Entries'!H22, t_nasccDPi, 2, FALSE), IF(AND(IF(BQ21 = 2.1, TRUE, FALSE), IF(BR21 = 2, TRUE, FALSE)), VLOOKUP('One-Off Entries'!H22, t_nasccLMP2, 2, FALSE), IF(AND(IF(BQ21 = 2.1, TRUE, FALSE), IF(BR21 = 3, TRUE, FALSE)), VLOOKUP('One-Off Entries'!H22, t_nasccGTLM, 2, FALSE), IF(AND(IF(BQ21 = 2.1, TRUE, FALSE), IF(BR21 = 4, TRUE, FALSE)), VLOOKUP('One-Off Entries'!H22, t_nasccGTD, 2, FALSE), IF(AND(IF(BQ21 = 2.2, TRUE, FALSE), IF(BR21 = 1, TRUE, FALSE)), VLOOKUP('One-Off Entries'!H22, t_nasccDPi, 2, FALSE), IF(AND(IF(BQ21 = 2.2, TRUE, FALSE), IF(BR21 = 2, TRUE, FALSE)), VLOOKUP('One-Off Entries'!H22, t_nasccLMP2, 2, FALSE), IF(AND(IF(BQ21 = 2.2, TRUE, FALSE), IF(BR21 = 3, TRUE, FALSE)), VLOOKUP('One-Off Entries'!H22, t_nasccGTLM, 2, FALSE), IF(AND(IF(BQ21 = 2.2, TRUE, FALSE), IF(BR21 = 4, TRUE, FALSE)), VLOOKUP('One-Off Entries'!H22, t_nasccGTD, 2, FALSE), IF(AND(IF(BQ21 = 3, TRUE, FALSE), IF(BR21 = 1, TRUE, FALSE)), VLOOKUP('One-Off Entries'!H22, t_euemLMP2, 2, FALSE), IF(AND(IF(BQ21 = 3, TRUE, FALSE), IF(BR21 = 2, TRUE, FALSE)), VLOOKUP('One-Off Entries'!H22, t_euemLMP3, 2, FALSE), IF(AND(IF(BQ21 = 3, TRUE, FALSE), IF(BR21 = 3, TRUE, FALSE)), VLOOKUP('One-Off Entries'!H22, t_euemLMGTE, 2, FALSE), IF(AND(IF(BQ21 = 4, TRUE, FALSE), IF(BR21 = 1, TRUE, FALSE)), VLOOKUP('One-Off Entries'!H22, t_wgtssGT3, 2, FALSE), IF(AND(IF(BQ21 = 4, TRUE, FALSE), IF(BR21 = 2, TRUE, FALSE)), VLOOKUP('One-Off Entries'!H22, t_wgtssGT4, 2, FALSE), IF(AND(IF(BQ21 = 5, TRUE, FALSE), IF(BR21 = 1, TRUE, FALSE)), VLOOKUP('One-Off Entries'!H22, t_wgtmGT3P, 2, FALSE), IF(AND(IF(BQ21 = 5, TRUE, FALSE), IF(BR21 = 2, TRUE, FALSE)), VLOOKUP('One-Off Entries'!H22, t_wgtmGT3A, 2, FALSE), IF(AND(IF(BQ21 = 5, TRUE, FALSE), IF(BR21 = 3, TRUE, FALSE)), VLOOKUP('One-Off Entries'!H22, t_wgtmGT4, 2, FALSE), IF(AND(IF(BQ21 = 7, TRUE, FALSE), IF(BR21 = 1, TRUE, FALSE)), VLOOKUP('One-Off Entries'!H22, t_asmLMP3, 2, FALSE), IF(AND(IF(BQ21 = 7, TRUE, FALSE), IF(BR21 = 2, TRUE, FALSE)), VLOOKUP('One-Off Entries'!H22, t_asmGT3, 2, FALSE), IF(AND(IF(BQ21 = 7, TRUE, FALSE), IF(BR21 = 3, TRUE, FALSE)), VLOOKUP('One-Off Entries'!H22, t_asmGT4, 2, FALSE), "")))))))))))))))))))))))))))</f>
        <v/>
      </c>
      <c r="BX21" s="1" t="str">
        <f t="shared" si="11"/>
        <v/>
      </c>
      <c r="BY21" s="1" t="str">
        <f t="shared" si="12"/>
        <v/>
      </c>
      <c r="BZ21" s="1" t="str">
        <f t="shared" si="13"/>
        <v/>
      </c>
      <c r="CA21" s="1" t="str">
        <f t="shared" si="14"/>
        <v/>
      </c>
      <c r="CC21" s="1" t="str">
        <f>'One-Off Entries'!K22</f>
        <v/>
      </c>
      <c r="CD21" s="1">
        <f t="shared" si="15"/>
        <v>0</v>
      </c>
      <c r="CE21" s="1">
        <f>'One-Off Entries'!R22</f>
        <v>0</v>
      </c>
      <c r="CF21" s="1">
        <f>IF('One-Off Entries'!S22 &lt;&gt; "", REPLACE('One-Off Entries'!S22, 1, 1, "Level "), 0)</f>
        <v>0</v>
      </c>
      <c r="CG21" s="1">
        <f t="shared" si="16"/>
        <v>0</v>
      </c>
      <c r="CH21" s="1">
        <f>'One-Off Entries'!T22</f>
        <v>0</v>
      </c>
      <c r="CI21" s="1">
        <f>IF('One-Off Entries'!U22 &lt;&gt; "", REPLACE('One-Off Entries'!U22, 1, 1, "Level "), 0)</f>
        <v>0</v>
      </c>
      <c r="CJ21" s="1">
        <f>IF('One-Off Entries'!V22 &lt;&gt; "", VLOOKUP('One-Off Entries'!V22, setupCostsReliability, 2, FALSE), 0)</f>
        <v>0</v>
      </c>
    </row>
    <row r="22" spans="7:88" ht="18" customHeight="1" x14ac:dyDescent="0.3">
      <c r="G22" s="47" t="str">
        <f>IF('Car Purchase'!D22 &lt;&gt; "", VLOOKUP('Car Purchase'!D22, modelData, 3, FALSE), "")</f>
        <v/>
      </c>
      <c r="H22" s="51" t="str">
        <f>IF('Car Purchase'!I22 &lt;&gt; "", VLOOKUP('Car Purchase'!I22, modelData, 4, FALSE) * 'Car Purchase'!J22, "")</f>
        <v/>
      </c>
      <c r="I22" s="2" t="str">
        <f>IF('Car Purchase'!I22 &lt;&gt; "", VLOOKUP('Car Purchase'!I22, modelData, 5, FALSE) * 'Car Purchase'!K22, "")</f>
        <v/>
      </c>
      <c r="J22" s="52" t="str">
        <f>IF('Car Purchase'!I22 &lt;&gt; "", VLOOKUP('Car Purchase'!I22, modelData, 6, FALSE) * 'Car Purchase'!L22, "")</f>
        <v/>
      </c>
      <c r="M22" s="47" t="str">
        <f t="shared" si="0"/>
        <v/>
      </c>
      <c r="N22" s="47" t="str">
        <f t="shared" si="18"/>
        <v/>
      </c>
      <c r="O22" s="47" t="str">
        <f t="shared" si="1"/>
        <v/>
      </c>
      <c r="P22" s="51" t="str">
        <f>IF('Full Season Entries'!K23 &lt;&gt; "", IF('Full Season Entries'!K23 = "Bronze", -AJ22, VLOOKUP('Full Season Entries'!K23, driverCosts, 2, FALSE) * Z22), "")</f>
        <v/>
      </c>
      <c r="Q22" s="2" t="str">
        <f>IF('Full Season Entries'!L23 &lt;&gt; "", IF('Full Season Entries'!L23 = "Bronze", -AK22, VLOOKUP('Full Season Entries'!L23, driverCosts, 2, FALSE) * Z22), "")</f>
        <v/>
      </c>
      <c r="R22" s="2" t="str">
        <f>IF('Full Season Entries'!M23 &lt;&gt; "", IF('Full Season Entries'!M23 = "Bronze", -AL22, IF(AND(AD22 = 2, OR(AF22 = "DPi", AF22 = "GTLM")), VLOOKUP('Full Season Entries'!M23, driverCosts, 2, FALSE) * VLOOKUP(AF22, nasccEcCosts, 3, FALSE), IF(AD22 = 7, VLOOKUP('Full Season Entries'!M23, driverCosts, 2, FALSE) * VLOOKUP("ASM 210 Minutes of CoTA", oneOffs, 3, FALSE), VLOOKUP('Full Season Entries'!M23, driverCosts, 2, FALSE) * Z22))), "")</f>
        <v/>
      </c>
      <c r="S22" s="52" t="str">
        <f>IF('Full Season Entries'!N23 &lt;&gt; "", IF('Full Season Entries'!N23 = "Bronze", -AM22, VLOOKUP('Full Season Entries'!N23, driverCosts, 2, FALSE) * Z22), "")</f>
        <v/>
      </c>
      <c r="T22" s="51">
        <f t="shared" si="19"/>
        <v>0</v>
      </c>
      <c r="U22" s="2">
        <f t="shared" si="20"/>
        <v>0</v>
      </c>
      <c r="V22" s="52">
        <f t="shared" si="21"/>
        <v>0</v>
      </c>
      <c r="Y22" s="1" t="str">
        <f t="shared" si="22"/>
        <v/>
      </c>
      <c r="Z22" s="1">
        <f t="shared" si="23"/>
        <v>0</v>
      </c>
      <c r="AA22" s="1">
        <f t="shared" si="3"/>
        <v>0</v>
      </c>
      <c r="AC22" s="1" t="str">
        <f>'Full Season Entries'!J23</f>
        <v/>
      </c>
      <c r="AD22" s="1">
        <f>'Full Season Entries'!AF23</f>
        <v>0</v>
      </c>
      <c r="AE22" s="1">
        <f>'Full Season Entries'!AG23</f>
        <v>0</v>
      </c>
      <c r="AF22" s="1" t="str">
        <f>'Full Season Entries'!D23</f>
        <v/>
      </c>
      <c r="AH22" s="1" t="str">
        <f>IF(AND(IF(AD22 = 1, TRUE, FALSE), IF(AE22 = 1, TRUE, FALSE)), VLOOKUP('Full Season Entries'!G23, t_gemLMP1, 2, FALSE), IF(AND(IF(AD22 = 1, TRUE, FALSE), IF(AE22 = 2, TRUE, FALSE)), VLOOKUP('Full Season Entries'!G23, t_gemLMP2, 2, FALSE), IF(AND(IF(AD22 = 1, TRUE, FALSE), IF(AE22 = 3, TRUE, FALSE)), VLOOKUP('Full Season Entries'!G23, t_gemLMGTE, 2, FALSE), IF(AND(IF(AD22 = 1, TRUE, FALSE), IF(AE22 = 4, TRUE, FALSE)), VLOOKUP('Full Season Entries'!G23, t_gemLMGTE, 2, FALSE), IF(AND(IF(AD22 = 2, TRUE, FALSE), IF(AE22 = 1, TRUE, FALSE)), VLOOKUP('Full Season Entries'!G23, t_nasccDPi, 2, FALSE), IF(AND(IF(AD22 = 2, TRUE, FALSE), IF(AE22 = 2, TRUE, FALSE)), VLOOKUP('Full Season Entries'!G23, t_nasccLMP2, 2, FALSE), IF(AND(IF(AD22 = 2, TRUE, FALSE), IF(AE22 = 3, TRUE, FALSE)), VLOOKUP('Full Season Entries'!G23, t_nasccGTLM, 2, FALSE), IF(AND(IF(AD22 = 2, TRUE, FALSE), IF(AE22 = 4, TRUE, FALSE)), VLOOKUP('Full Season Entries'!G23, t_nasccGTD, 2, FALSE), IF(AND(IF(AD22 = 2.1, TRUE, FALSE), IF(AE22 = 1, TRUE, FALSE)), VLOOKUP('Full Season Entries'!G23, t_nasccDPi, 2, FALSE), IF(AND(IF(AD22 = 2.1, TRUE, FALSE), IF(AE22 = 2, TRUE, FALSE)), VLOOKUP('Full Season Entries'!G23, t_nasccLMP2, 2, FALSE), IF(AND(IF(AD22 = 2.1, TRUE, FALSE), IF(AE22 = 3, TRUE, FALSE)), VLOOKUP('Full Season Entries'!G23, t_nasccGTLM, 2, FALSE), IF(AND(IF(AD22 = 2.1, TRUE, FALSE), IF(AE22 = 4, TRUE, FALSE)), VLOOKUP('Full Season Entries'!G23, t_nasccGTD, 2, FALSE), IF(AND(IF(AD22 = 2.2, TRUE, FALSE), IF(AE22 = 1, TRUE, FALSE)), VLOOKUP('Full Season Entries'!G23, t_nasccDPi, 2, FALSE), IF(AND(IF(AD22 = 2.2, TRUE, FALSE), IF(AE22 = 2, TRUE, FALSE)), VLOOKUP('Full Season Entries'!G23, t_nasccLMP2, 2, FALSE), IF(AND(IF(AD22 = 2.2, TRUE, FALSE), IF(AE22 = 3, TRUE, FALSE)), VLOOKUP('Full Season Entries'!G23, t_nasccGTLM, 2, FALSE), IF(AND(IF(AD22 = 2.2, TRUE, FALSE), IF(AE22 = 4, TRUE, FALSE)), VLOOKUP('Full Season Entries'!G23, t_nasccGTD, 2, FALSE), IF(AND(IF(AD22 = 3, TRUE, FALSE), IF(AE22 = 1, TRUE, FALSE)), VLOOKUP('Full Season Entries'!G23, t_euemLMP2, 2, FALSE), IF(AND(IF(AD22 = 3, TRUE, FALSE), IF(AE22 = 2, TRUE, FALSE)), VLOOKUP('Full Season Entries'!G23, t_euemLMP3, 2, FALSE), IF(AND(IF(AD22 = 3, TRUE, FALSE), IF(AE22 = 3, TRUE, FALSE)), VLOOKUP('Full Season Entries'!G23, t_euemLMGTE, 2, FALSE), IF(AND(IF(AD22 = 4, TRUE, FALSE), IF(AE22 = 1, TRUE, FALSE)), VLOOKUP('Full Season Entries'!G23, t_wgtssGT3, 2, FALSE), IF(AND(IF(AD22 = 4, TRUE, FALSE), IF(AE22 = 2, TRUE, FALSE)), VLOOKUP('Full Season Entries'!G23, t_wgtssGT4, 2, FALSE), IF(AND(IF(AD22 = 5, TRUE, FALSE), IF(AE22 = 1, TRUE, FALSE)), VLOOKUP('Full Season Entries'!G23, t_wgtmGT3P, 2, FALSE), IF(AND(IF(AD22 = 5, TRUE, FALSE), IF(AE22 = 2, TRUE, FALSE)), VLOOKUP('Full Season Entries'!G23, t_wgtmGT3A, 2, FALSE), IF(AND(IF(AD22 = 5, TRUE, FALSE), IF(AE22 = 3, TRUE, FALSE)), VLOOKUP('Full Season Entries'!G23, t_wgtmGT4, 2, FALSE), IF(AND(IF(AD22 = 7, TRUE, FALSE), IF(AE22 = 1, TRUE, FALSE)), VLOOKUP('Full Season Entries'!G23, t_asmLMP3, 2, FALSE), IF(AND(IF(AD22 = 7, TRUE, FALSE), IF(AE22 = 2, TRUE, FALSE)), VLOOKUP('Full Season Entries'!G23, t_asmGT3, 2, FALSE), IF(AND(IF(AD22 = 7, TRUE, FALSE), IF(AE22 = 3, TRUE, FALSE)), VLOOKUP('Full Season Entries'!G23, t_asmGT4, 2, FALSE), "")))))))))))))))))))))))))))</f>
        <v/>
      </c>
      <c r="AJ22" s="1" t="str">
        <f t="shared" si="4"/>
        <v/>
      </c>
      <c r="AK22" s="1" t="str">
        <f t="shared" si="5"/>
        <v/>
      </c>
      <c r="AL22" s="1" t="str">
        <f t="shared" si="24"/>
        <v/>
      </c>
      <c r="AM22" s="1" t="str">
        <f t="shared" si="6"/>
        <v/>
      </c>
      <c r="AO22" s="1" t="str">
        <f>'Full Season Entries'!I23</f>
        <v/>
      </c>
      <c r="AQ22" s="1">
        <f t="shared" si="7"/>
        <v>0</v>
      </c>
      <c r="AR22" s="1">
        <f>'Full Season Entries'!P23</f>
        <v>0</v>
      </c>
      <c r="AS22" s="1">
        <f>IF('Full Season Entries'!Q23 &lt;&gt; "", REPLACE('Full Season Entries'!Q23, 1, 1, "Level "), 0)</f>
        <v>0</v>
      </c>
      <c r="AT22" s="1">
        <f t="shared" si="8"/>
        <v>0</v>
      </c>
      <c r="AU22" s="1">
        <f>'Full Season Entries'!R23</f>
        <v>0</v>
      </c>
      <c r="AV22" s="1">
        <f>IF('Full Season Entries'!S23 &lt;&gt; "", REPLACE('Full Season Entries'!S23, 1, 1, "Level "), 0)</f>
        <v>0</v>
      </c>
      <c r="AW22" s="1">
        <f>IF('Full Season Entries'!T23 &lt;&gt; "", VLOOKUP('Full Season Entries'!T23, setupCostsReliability, 2, FALSE), 0)</f>
        <v>0</v>
      </c>
      <c r="AZ22" s="47" t="str">
        <f>IF('One-Off Entries'!I23 = "Yes", 0, IF(BQ22 &lt;&gt; "", IF(BQ22 = 1, VLOOKUP(BT22, gemCosts, 5, FALSE), IF(BQ22 = 2, VLOOKUP(BT22, nasccCosts, 5, FALSE), IF(BQ22 = 2.1, VLOOKUP(BT22, nasccScCosts, 5, FALSE), IF(BQ22 = 2.2, VLOOKUP(BT22, nasccEcCosts, 5, FALSE), IF(BQ22 = 3, VLOOKUP(BT22, euemCosts, 5, FALSE), IF(BQ22 = 4, VLOOKUP(BT22, wgtssCosts, 5, FALSE), IF(BQ22 = 5, VLOOKUP(BT22, wgtmCosts, 5, FALSE), IF(BQ22 = 6, VLOOKUP(BT22, wpcCosts, 5, FALSE), IF(BQ22 = 7, VLOOKUP(BT22, asmCosts, 5, FALSE), "")))))))))))</f>
        <v/>
      </c>
      <c r="BA22" s="47" t="str">
        <f t="shared" si="25"/>
        <v/>
      </c>
      <c r="BB22" s="47" t="str">
        <f t="shared" si="26"/>
        <v/>
      </c>
      <c r="BC22" s="51" t="str">
        <f>IF('One-Off Entries'!M23 &lt;&gt; "", IF('One-Off Entries'!M23 = "Bronze", -BX22, VLOOKUP('One-Off Entries'!M23, driverCosts, 2, FALSE) * BM22), "")</f>
        <v/>
      </c>
      <c r="BD22" s="2" t="str">
        <f>IF('One-Off Entries'!N23 &lt;&gt; "", IF('One-Off Entries'!N23 = "Bronze", -BY22, VLOOKUP('One-Off Entries'!N23, driverCosts, 2, FALSE) * BM22), "")</f>
        <v/>
      </c>
      <c r="BE22" s="2" t="str">
        <f>IF('One-Off Entries'!O23 &lt;&gt; "", IF('One-Off Entries'!O23 = "Bronze", -BZ22, VLOOKUP('One-Off Entries'!O23, driverCosts, 2, FALSE) * BM22), "")</f>
        <v/>
      </c>
      <c r="BF22" s="52" t="str">
        <f>IF('One-Off Entries'!P23 &lt;&gt; "", IF('One-Off Entries'!P23 = "Bronze", -CA22, VLOOKUP('One-Off Entries'!P23, driverCosts, 2, FALSE) * BM22), "")</f>
        <v/>
      </c>
      <c r="BG22" s="51">
        <f t="shared" si="27"/>
        <v>0</v>
      </c>
      <c r="BH22" s="2">
        <f t="shared" si="28"/>
        <v>0</v>
      </c>
      <c r="BI22" s="52">
        <f t="shared" si="29"/>
        <v>0</v>
      </c>
      <c r="BL22" s="1" t="str">
        <f t="shared" si="9"/>
        <v/>
      </c>
      <c r="BM22" s="1" t="str">
        <f t="shared" si="10"/>
        <v/>
      </c>
      <c r="BO22" s="1">
        <f>'One-Off Entries'!C23</f>
        <v>0</v>
      </c>
      <c r="BP22" s="1" t="str">
        <f>'One-Off Entries'!L23</f>
        <v/>
      </c>
      <c r="BQ22" s="1">
        <f>'One-Off Entries'!AI23</f>
        <v>0</v>
      </c>
      <c r="BR22" s="1">
        <f>'One-Off Entries'!AJ23</f>
        <v>0</v>
      </c>
      <c r="BT22" s="1" t="str">
        <f>'One-Off Entries'!E23</f>
        <v/>
      </c>
      <c r="BV22" s="1" t="str">
        <f>IF(AND(IF(BQ22 = 1, TRUE, FALSE), IF(BR22 = 1, TRUE, FALSE)), VLOOKUP('One-Off Entries'!H23, t_gemLMP1, 2, FALSE), IF(AND(IF(BQ22 = 1, TRUE, FALSE), IF(BR22 = 2, TRUE, FALSE)), VLOOKUP('One-Off Entries'!H23, t_gemLMP2, 2, FALSE), IF(AND(IF(BQ22 = 1, TRUE, FALSE), IF(BR22 = 3, TRUE, FALSE)), VLOOKUP('One-Off Entries'!H23, t_gemLMGTE, 2, FALSE), IF(AND(IF(BQ22 = 1, TRUE, FALSE), IF(BR22 = 4, TRUE, FALSE)), VLOOKUP('One-Off Entries'!H23, t_gemLMGTE, 2, FALSE), IF(AND(IF(BQ22 = 2, TRUE, FALSE), IF(BR22 = 1, TRUE, FALSE)), VLOOKUP('One-Off Entries'!H23, t_nasccDPi, 2, FALSE), IF(AND(IF(BQ22 = 2, TRUE, FALSE), IF(BR22 = 2, TRUE, FALSE)), VLOOKUP('One-Off Entries'!H23, t_nasccLMP2, 2, FALSE), IF(AND(IF(BQ22 = 2, TRUE, FALSE), IF(BR22 = 3, TRUE, FALSE)), VLOOKUP('One-Off Entries'!H23, t_nasccGTLM, 2, FALSE), IF(AND(IF(BQ22 = 2, TRUE, FALSE), IF(BR22 = 4, TRUE, FALSE)), VLOOKUP('One-Off Entries'!H23, t_nasccGTD, 2, FALSE), IF(AND(IF(BQ22 = 2.1, TRUE, FALSE), IF(BR22 = 1, TRUE, FALSE)), VLOOKUP('One-Off Entries'!H23, t_nasccDPi, 2, FALSE), IF(AND(IF(BQ22 = 2.1, TRUE, FALSE), IF(BR22 = 2, TRUE, FALSE)), VLOOKUP('One-Off Entries'!H23, t_nasccLMP2, 2, FALSE), IF(AND(IF(BQ22 = 2.1, TRUE, FALSE), IF(BR22 = 3, TRUE, FALSE)), VLOOKUP('One-Off Entries'!H23, t_nasccGTLM, 2, FALSE), IF(AND(IF(BQ22 = 2.1, TRUE, FALSE), IF(BR22 = 4, TRUE, FALSE)), VLOOKUP('One-Off Entries'!H23, t_nasccGTD, 2, FALSE), IF(AND(IF(BQ22 = 2.2, TRUE, FALSE), IF(BR22 = 1, TRUE, FALSE)), VLOOKUP('One-Off Entries'!H23, t_nasccDPi, 2, FALSE), IF(AND(IF(BQ22 = 2.2, TRUE, FALSE), IF(BR22 = 2, TRUE, FALSE)), VLOOKUP('One-Off Entries'!H23, t_nasccLMP2, 2, FALSE), IF(AND(IF(BQ22 = 2.2, TRUE, FALSE), IF(BR22 = 3, TRUE, FALSE)), VLOOKUP('One-Off Entries'!H23, t_nasccGTLM, 2, FALSE), IF(AND(IF(BQ22 = 2.2, TRUE, FALSE), IF(BR22 = 4, TRUE, FALSE)), VLOOKUP('One-Off Entries'!H23, t_nasccGTD, 2, FALSE), IF(AND(IF(BQ22 = 3, TRUE, FALSE), IF(BR22 = 1, TRUE, FALSE)), VLOOKUP('One-Off Entries'!H23, t_euemLMP2, 2, FALSE), IF(AND(IF(BQ22 = 3, TRUE, FALSE), IF(BR22 = 2, TRUE, FALSE)), VLOOKUP('One-Off Entries'!H23, t_euemLMP3, 2, FALSE), IF(AND(IF(BQ22 = 3, TRUE, FALSE), IF(BR22 = 3, TRUE, FALSE)), VLOOKUP('One-Off Entries'!H23, t_euemLMGTE, 2, FALSE), IF(AND(IF(BQ22 = 4, TRUE, FALSE), IF(BR22 = 1, TRUE, FALSE)), VLOOKUP('One-Off Entries'!H23, t_wgtssGT3, 2, FALSE), IF(AND(IF(BQ22 = 4, TRUE, FALSE), IF(BR22 = 2, TRUE, FALSE)), VLOOKUP('One-Off Entries'!H23, t_wgtssGT4, 2, FALSE), IF(AND(IF(BQ22 = 5, TRUE, FALSE), IF(BR22 = 1, TRUE, FALSE)), VLOOKUP('One-Off Entries'!H23, t_wgtmGT3P, 2, FALSE), IF(AND(IF(BQ22 = 5, TRUE, FALSE), IF(BR22 = 2, TRUE, FALSE)), VLOOKUP('One-Off Entries'!H23, t_wgtmGT3A, 2, FALSE), IF(AND(IF(BQ22 = 5, TRUE, FALSE), IF(BR22 = 3, TRUE, FALSE)), VLOOKUP('One-Off Entries'!H23, t_wgtmGT4, 2, FALSE), IF(AND(IF(BQ22 = 7, TRUE, FALSE), IF(BR22 = 1, TRUE, FALSE)), VLOOKUP('One-Off Entries'!H23, t_asmLMP3, 2, FALSE), IF(AND(IF(BQ22 = 7, TRUE, FALSE), IF(BR22 = 2, TRUE, FALSE)), VLOOKUP('One-Off Entries'!H23, t_asmGT3, 2, FALSE), IF(AND(IF(BQ22 = 7, TRUE, FALSE), IF(BR22 = 3, TRUE, FALSE)), VLOOKUP('One-Off Entries'!H23, t_asmGT4, 2, FALSE), "")))))))))))))))))))))))))))</f>
        <v/>
      </c>
      <c r="BX22" s="1" t="str">
        <f t="shared" si="11"/>
        <v/>
      </c>
      <c r="BY22" s="1" t="str">
        <f t="shared" si="12"/>
        <v/>
      </c>
      <c r="BZ22" s="1" t="str">
        <f t="shared" si="13"/>
        <v/>
      </c>
      <c r="CA22" s="1" t="str">
        <f t="shared" si="14"/>
        <v/>
      </c>
      <c r="CC22" s="1" t="str">
        <f>'One-Off Entries'!K23</f>
        <v/>
      </c>
      <c r="CD22" s="1">
        <f t="shared" si="15"/>
        <v>0</v>
      </c>
      <c r="CE22" s="1">
        <f>'One-Off Entries'!R23</f>
        <v>0</v>
      </c>
      <c r="CF22" s="1">
        <f>IF('One-Off Entries'!S23 &lt;&gt; "", REPLACE('One-Off Entries'!S23, 1, 1, "Level "), 0)</f>
        <v>0</v>
      </c>
      <c r="CG22" s="1">
        <f t="shared" si="16"/>
        <v>0</v>
      </c>
      <c r="CH22" s="1">
        <f>'One-Off Entries'!T23</f>
        <v>0</v>
      </c>
      <c r="CI22" s="1">
        <f>IF('One-Off Entries'!U23 &lt;&gt; "", REPLACE('One-Off Entries'!U23, 1, 1, "Level "), 0)</f>
        <v>0</v>
      </c>
      <c r="CJ22" s="1">
        <f>IF('One-Off Entries'!V23 &lt;&gt; "", VLOOKUP('One-Off Entries'!V23, setupCostsReliability, 2, FALSE), 0)</f>
        <v>0</v>
      </c>
    </row>
    <row r="23" spans="7:88" ht="18" customHeight="1" x14ac:dyDescent="0.3">
      <c r="G23" s="47" t="str">
        <f>IF('Car Purchase'!D23 &lt;&gt; "", VLOOKUP('Car Purchase'!D23, modelData, 3, FALSE), "")</f>
        <v/>
      </c>
      <c r="H23" s="51" t="str">
        <f>IF('Car Purchase'!I23 &lt;&gt; "", VLOOKUP('Car Purchase'!I23, modelData, 4, FALSE) * 'Car Purchase'!J23, "")</f>
        <v/>
      </c>
      <c r="I23" s="2" t="str">
        <f>IF('Car Purchase'!I23 &lt;&gt; "", VLOOKUP('Car Purchase'!I23, modelData, 5, FALSE) * 'Car Purchase'!K23, "")</f>
        <v/>
      </c>
      <c r="J23" s="52" t="str">
        <f>IF('Car Purchase'!I23 &lt;&gt; "", VLOOKUP('Car Purchase'!I23, modelData, 6, FALSE) * 'Car Purchase'!L23, "")</f>
        <v/>
      </c>
      <c r="M23" s="47" t="str">
        <f t="shared" si="0"/>
        <v/>
      </c>
      <c r="N23" s="47" t="str">
        <f t="shared" si="18"/>
        <v/>
      </c>
      <c r="O23" s="47" t="str">
        <f t="shared" si="1"/>
        <v/>
      </c>
      <c r="P23" s="51" t="str">
        <f>IF('Full Season Entries'!K24 &lt;&gt; "", IF('Full Season Entries'!K24 = "Bronze", -AJ23, VLOOKUP('Full Season Entries'!K24, driverCosts, 2, FALSE) * Z23), "")</f>
        <v/>
      </c>
      <c r="Q23" s="2" t="str">
        <f>IF('Full Season Entries'!L24 &lt;&gt; "", IF('Full Season Entries'!L24 = "Bronze", -AK23, VLOOKUP('Full Season Entries'!L24, driverCosts, 2, FALSE) * Z23), "")</f>
        <v/>
      </c>
      <c r="R23" s="2" t="str">
        <f>IF('Full Season Entries'!M24 &lt;&gt; "", IF('Full Season Entries'!M24 = "Bronze", -AL23, IF(AND(AD23 = 2, OR(AF23 = "DPi", AF23 = "GTLM")), VLOOKUP('Full Season Entries'!M24, driverCosts, 2, FALSE) * VLOOKUP(AF23, nasccEcCosts, 3, FALSE), IF(AD23 = 7, VLOOKUP('Full Season Entries'!M24, driverCosts, 2, FALSE) * VLOOKUP("ASM 210 Minutes of CoTA", oneOffs, 3, FALSE), VLOOKUP('Full Season Entries'!M24, driverCosts, 2, FALSE) * Z23))), "")</f>
        <v/>
      </c>
      <c r="S23" s="52" t="str">
        <f>IF('Full Season Entries'!N24 &lt;&gt; "", IF('Full Season Entries'!N24 = "Bronze", -AM23, VLOOKUP('Full Season Entries'!N24, driverCosts, 2, FALSE) * Z23), "")</f>
        <v/>
      </c>
      <c r="T23" s="51">
        <f t="shared" si="19"/>
        <v>0</v>
      </c>
      <c r="U23" s="2">
        <f t="shared" si="20"/>
        <v>0</v>
      </c>
      <c r="V23" s="52">
        <f t="shared" si="21"/>
        <v>0</v>
      </c>
      <c r="Y23" s="1" t="str">
        <f t="shared" si="22"/>
        <v/>
      </c>
      <c r="Z23" s="1">
        <f t="shared" si="23"/>
        <v>0</v>
      </c>
      <c r="AA23" s="1">
        <f t="shared" si="3"/>
        <v>0</v>
      </c>
      <c r="AC23" s="1" t="str">
        <f>'Full Season Entries'!J24</f>
        <v/>
      </c>
      <c r="AD23" s="1">
        <f>'Full Season Entries'!AF24</f>
        <v>0</v>
      </c>
      <c r="AE23" s="1">
        <f>'Full Season Entries'!AG24</f>
        <v>0</v>
      </c>
      <c r="AF23" s="1" t="str">
        <f>'Full Season Entries'!D24</f>
        <v/>
      </c>
      <c r="AH23" s="1" t="str">
        <f>IF(AND(IF(AD23 = 1, TRUE, FALSE), IF(AE23 = 1, TRUE, FALSE)), VLOOKUP('Full Season Entries'!G24, t_gemLMP1, 2, FALSE), IF(AND(IF(AD23 = 1, TRUE, FALSE), IF(AE23 = 2, TRUE, FALSE)), VLOOKUP('Full Season Entries'!G24, t_gemLMP2, 2, FALSE), IF(AND(IF(AD23 = 1, TRUE, FALSE), IF(AE23 = 3, TRUE, FALSE)), VLOOKUP('Full Season Entries'!G24, t_gemLMGTE, 2, FALSE), IF(AND(IF(AD23 = 1, TRUE, FALSE), IF(AE23 = 4, TRUE, FALSE)), VLOOKUP('Full Season Entries'!G24, t_gemLMGTE, 2, FALSE), IF(AND(IF(AD23 = 2, TRUE, FALSE), IF(AE23 = 1, TRUE, FALSE)), VLOOKUP('Full Season Entries'!G24, t_nasccDPi, 2, FALSE), IF(AND(IF(AD23 = 2, TRUE, FALSE), IF(AE23 = 2, TRUE, FALSE)), VLOOKUP('Full Season Entries'!G24, t_nasccLMP2, 2, FALSE), IF(AND(IF(AD23 = 2, TRUE, FALSE), IF(AE23 = 3, TRUE, FALSE)), VLOOKUP('Full Season Entries'!G24, t_nasccGTLM, 2, FALSE), IF(AND(IF(AD23 = 2, TRUE, FALSE), IF(AE23 = 4, TRUE, FALSE)), VLOOKUP('Full Season Entries'!G24, t_nasccGTD, 2, FALSE), IF(AND(IF(AD23 = 2.1, TRUE, FALSE), IF(AE23 = 1, TRUE, FALSE)), VLOOKUP('Full Season Entries'!G24, t_nasccDPi, 2, FALSE), IF(AND(IF(AD23 = 2.1, TRUE, FALSE), IF(AE23 = 2, TRUE, FALSE)), VLOOKUP('Full Season Entries'!G24, t_nasccLMP2, 2, FALSE), IF(AND(IF(AD23 = 2.1, TRUE, FALSE), IF(AE23 = 3, TRUE, FALSE)), VLOOKUP('Full Season Entries'!G24, t_nasccGTLM, 2, FALSE), IF(AND(IF(AD23 = 2.1, TRUE, FALSE), IF(AE23 = 4, TRUE, FALSE)), VLOOKUP('Full Season Entries'!G24, t_nasccGTD, 2, FALSE), IF(AND(IF(AD23 = 2.2, TRUE, FALSE), IF(AE23 = 1, TRUE, FALSE)), VLOOKUP('Full Season Entries'!G24, t_nasccDPi, 2, FALSE), IF(AND(IF(AD23 = 2.2, TRUE, FALSE), IF(AE23 = 2, TRUE, FALSE)), VLOOKUP('Full Season Entries'!G24, t_nasccLMP2, 2, FALSE), IF(AND(IF(AD23 = 2.2, TRUE, FALSE), IF(AE23 = 3, TRUE, FALSE)), VLOOKUP('Full Season Entries'!G24, t_nasccGTLM, 2, FALSE), IF(AND(IF(AD23 = 2.2, TRUE, FALSE), IF(AE23 = 4, TRUE, FALSE)), VLOOKUP('Full Season Entries'!G24, t_nasccGTD, 2, FALSE), IF(AND(IF(AD23 = 3, TRUE, FALSE), IF(AE23 = 1, TRUE, FALSE)), VLOOKUP('Full Season Entries'!G24, t_euemLMP2, 2, FALSE), IF(AND(IF(AD23 = 3, TRUE, FALSE), IF(AE23 = 2, TRUE, FALSE)), VLOOKUP('Full Season Entries'!G24, t_euemLMP3, 2, FALSE), IF(AND(IF(AD23 = 3, TRUE, FALSE), IF(AE23 = 3, TRUE, FALSE)), VLOOKUP('Full Season Entries'!G24, t_euemLMGTE, 2, FALSE), IF(AND(IF(AD23 = 4, TRUE, FALSE), IF(AE23 = 1, TRUE, FALSE)), VLOOKUP('Full Season Entries'!G24, t_wgtssGT3, 2, FALSE), IF(AND(IF(AD23 = 4, TRUE, FALSE), IF(AE23 = 2, TRUE, FALSE)), VLOOKUP('Full Season Entries'!G24, t_wgtssGT4, 2, FALSE), IF(AND(IF(AD23 = 5, TRUE, FALSE), IF(AE23 = 1, TRUE, FALSE)), VLOOKUP('Full Season Entries'!G24, t_wgtmGT3P, 2, FALSE), IF(AND(IF(AD23 = 5, TRUE, FALSE), IF(AE23 = 2, TRUE, FALSE)), VLOOKUP('Full Season Entries'!G24, t_wgtmGT3A, 2, FALSE), IF(AND(IF(AD23 = 5, TRUE, FALSE), IF(AE23 = 3, TRUE, FALSE)), VLOOKUP('Full Season Entries'!G24, t_wgtmGT4, 2, FALSE), IF(AND(IF(AD23 = 7, TRUE, FALSE), IF(AE23 = 1, TRUE, FALSE)), VLOOKUP('Full Season Entries'!G24, t_asmLMP3, 2, FALSE), IF(AND(IF(AD23 = 7, TRUE, FALSE), IF(AE23 = 2, TRUE, FALSE)), VLOOKUP('Full Season Entries'!G24, t_asmGT3, 2, FALSE), IF(AND(IF(AD23 = 7, TRUE, FALSE), IF(AE23 = 3, TRUE, FALSE)), VLOOKUP('Full Season Entries'!G24, t_asmGT4, 2, FALSE), "")))))))))))))))))))))))))))</f>
        <v/>
      </c>
      <c r="AJ23" s="1" t="str">
        <f t="shared" si="4"/>
        <v/>
      </c>
      <c r="AK23" s="1" t="str">
        <f t="shared" si="5"/>
        <v/>
      </c>
      <c r="AL23" s="1" t="str">
        <f t="shared" si="24"/>
        <v/>
      </c>
      <c r="AM23" s="1" t="str">
        <f t="shared" si="6"/>
        <v/>
      </c>
      <c r="AO23" s="1" t="str">
        <f>'Full Season Entries'!I24</f>
        <v/>
      </c>
      <c r="AQ23" s="1">
        <f t="shared" si="7"/>
        <v>0</v>
      </c>
      <c r="AR23" s="1">
        <f>'Full Season Entries'!P24</f>
        <v>0</v>
      </c>
      <c r="AS23" s="1">
        <f>IF('Full Season Entries'!Q24 &lt;&gt; "", REPLACE('Full Season Entries'!Q24, 1, 1, "Level "), 0)</f>
        <v>0</v>
      </c>
      <c r="AT23" s="1">
        <f t="shared" si="8"/>
        <v>0</v>
      </c>
      <c r="AU23" s="1">
        <f>'Full Season Entries'!R24</f>
        <v>0</v>
      </c>
      <c r="AV23" s="1">
        <f>IF('Full Season Entries'!S24 &lt;&gt; "", REPLACE('Full Season Entries'!S24, 1, 1, "Level "), 0)</f>
        <v>0</v>
      </c>
      <c r="AW23" s="1">
        <f>IF('Full Season Entries'!T24 &lt;&gt; "", VLOOKUP('Full Season Entries'!T24, setupCostsReliability, 2, FALSE), 0)</f>
        <v>0</v>
      </c>
      <c r="AZ23" s="47" t="str">
        <f>IF('One-Off Entries'!I24 = "Yes", 0, IF(BQ23 &lt;&gt; "", IF(BQ23 = 1, VLOOKUP(BT23, gemCosts, 5, FALSE), IF(BQ23 = 2, VLOOKUP(BT23, nasccCosts, 5, FALSE), IF(BQ23 = 2.1, VLOOKUP(BT23, nasccScCosts, 5, FALSE), IF(BQ23 = 2.2, VLOOKUP(BT23, nasccEcCosts, 5, FALSE), IF(BQ23 = 3, VLOOKUP(BT23, euemCosts, 5, FALSE), IF(BQ23 = 4, VLOOKUP(BT23, wgtssCosts, 5, FALSE), IF(BQ23 = 5, VLOOKUP(BT23, wgtmCosts, 5, FALSE), IF(BQ23 = 6, VLOOKUP(BT23, wpcCosts, 5, FALSE), IF(BQ23 = 7, VLOOKUP(BT23, asmCosts, 5, FALSE), "")))))))))))</f>
        <v/>
      </c>
      <c r="BA23" s="47" t="str">
        <f t="shared" si="25"/>
        <v/>
      </c>
      <c r="BB23" s="47" t="str">
        <f t="shared" si="26"/>
        <v/>
      </c>
      <c r="BC23" s="51" t="str">
        <f>IF('One-Off Entries'!M24 &lt;&gt; "", IF('One-Off Entries'!M24 = "Bronze", -BX23, VLOOKUP('One-Off Entries'!M24, driverCosts, 2, FALSE) * BM23), "")</f>
        <v/>
      </c>
      <c r="BD23" s="2" t="str">
        <f>IF('One-Off Entries'!N24 &lt;&gt; "", IF('One-Off Entries'!N24 = "Bronze", -BY23, VLOOKUP('One-Off Entries'!N24, driverCosts, 2, FALSE) * BM23), "")</f>
        <v/>
      </c>
      <c r="BE23" s="2" t="str">
        <f>IF('One-Off Entries'!O24 &lt;&gt; "", IF('One-Off Entries'!O24 = "Bronze", -BZ23, VLOOKUP('One-Off Entries'!O24, driverCosts, 2, FALSE) * BM23), "")</f>
        <v/>
      </c>
      <c r="BF23" s="52" t="str">
        <f>IF('One-Off Entries'!P24 &lt;&gt; "", IF('One-Off Entries'!P24 = "Bronze", -CA23, VLOOKUP('One-Off Entries'!P24, driverCosts, 2, FALSE) * BM23), "")</f>
        <v/>
      </c>
      <c r="BG23" s="51">
        <f t="shared" si="27"/>
        <v>0</v>
      </c>
      <c r="BH23" s="2">
        <f t="shared" si="28"/>
        <v>0</v>
      </c>
      <c r="BI23" s="52">
        <f t="shared" si="29"/>
        <v>0</v>
      </c>
      <c r="BL23" s="1" t="str">
        <f t="shared" si="9"/>
        <v/>
      </c>
      <c r="BM23" s="1" t="str">
        <f t="shared" si="10"/>
        <v/>
      </c>
      <c r="BO23" s="1">
        <f>'One-Off Entries'!C24</f>
        <v>0</v>
      </c>
      <c r="BP23" s="1" t="str">
        <f>'One-Off Entries'!L24</f>
        <v/>
      </c>
      <c r="BQ23" s="1">
        <f>'One-Off Entries'!AI24</f>
        <v>0</v>
      </c>
      <c r="BR23" s="1">
        <f>'One-Off Entries'!AJ24</f>
        <v>0</v>
      </c>
      <c r="BT23" s="1" t="str">
        <f>'One-Off Entries'!E24</f>
        <v/>
      </c>
      <c r="BV23" s="1" t="str">
        <f>IF(AND(IF(BQ23 = 1, TRUE, FALSE), IF(BR23 = 1, TRUE, FALSE)), VLOOKUP('One-Off Entries'!H24, t_gemLMP1, 2, FALSE), IF(AND(IF(BQ23 = 1, TRUE, FALSE), IF(BR23 = 2, TRUE, FALSE)), VLOOKUP('One-Off Entries'!H24, t_gemLMP2, 2, FALSE), IF(AND(IF(BQ23 = 1, TRUE, FALSE), IF(BR23 = 3, TRUE, FALSE)), VLOOKUP('One-Off Entries'!H24, t_gemLMGTE, 2, FALSE), IF(AND(IF(BQ23 = 1, TRUE, FALSE), IF(BR23 = 4, TRUE, FALSE)), VLOOKUP('One-Off Entries'!H24, t_gemLMGTE, 2, FALSE), IF(AND(IF(BQ23 = 2, TRUE, FALSE), IF(BR23 = 1, TRUE, FALSE)), VLOOKUP('One-Off Entries'!H24, t_nasccDPi, 2, FALSE), IF(AND(IF(BQ23 = 2, TRUE, FALSE), IF(BR23 = 2, TRUE, FALSE)), VLOOKUP('One-Off Entries'!H24, t_nasccLMP2, 2, FALSE), IF(AND(IF(BQ23 = 2, TRUE, FALSE), IF(BR23 = 3, TRUE, FALSE)), VLOOKUP('One-Off Entries'!H24, t_nasccGTLM, 2, FALSE), IF(AND(IF(BQ23 = 2, TRUE, FALSE), IF(BR23 = 4, TRUE, FALSE)), VLOOKUP('One-Off Entries'!H24, t_nasccGTD, 2, FALSE), IF(AND(IF(BQ23 = 2.1, TRUE, FALSE), IF(BR23 = 1, TRUE, FALSE)), VLOOKUP('One-Off Entries'!H24, t_nasccDPi, 2, FALSE), IF(AND(IF(BQ23 = 2.1, TRUE, FALSE), IF(BR23 = 2, TRUE, FALSE)), VLOOKUP('One-Off Entries'!H24, t_nasccLMP2, 2, FALSE), IF(AND(IF(BQ23 = 2.1, TRUE, FALSE), IF(BR23 = 3, TRUE, FALSE)), VLOOKUP('One-Off Entries'!H24, t_nasccGTLM, 2, FALSE), IF(AND(IF(BQ23 = 2.1, TRUE, FALSE), IF(BR23 = 4, TRUE, FALSE)), VLOOKUP('One-Off Entries'!H24, t_nasccGTD, 2, FALSE), IF(AND(IF(BQ23 = 2.2, TRUE, FALSE), IF(BR23 = 1, TRUE, FALSE)), VLOOKUP('One-Off Entries'!H24, t_nasccDPi, 2, FALSE), IF(AND(IF(BQ23 = 2.2, TRUE, FALSE), IF(BR23 = 2, TRUE, FALSE)), VLOOKUP('One-Off Entries'!H24, t_nasccLMP2, 2, FALSE), IF(AND(IF(BQ23 = 2.2, TRUE, FALSE), IF(BR23 = 3, TRUE, FALSE)), VLOOKUP('One-Off Entries'!H24, t_nasccGTLM, 2, FALSE), IF(AND(IF(BQ23 = 2.2, TRUE, FALSE), IF(BR23 = 4, TRUE, FALSE)), VLOOKUP('One-Off Entries'!H24, t_nasccGTD, 2, FALSE), IF(AND(IF(BQ23 = 3, TRUE, FALSE), IF(BR23 = 1, TRUE, FALSE)), VLOOKUP('One-Off Entries'!H24, t_euemLMP2, 2, FALSE), IF(AND(IF(BQ23 = 3, TRUE, FALSE), IF(BR23 = 2, TRUE, FALSE)), VLOOKUP('One-Off Entries'!H24, t_euemLMP3, 2, FALSE), IF(AND(IF(BQ23 = 3, TRUE, FALSE), IF(BR23 = 3, TRUE, FALSE)), VLOOKUP('One-Off Entries'!H24, t_euemLMGTE, 2, FALSE), IF(AND(IF(BQ23 = 4, TRUE, FALSE), IF(BR23 = 1, TRUE, FALSE)), VLOOKUP('One-Off Entries'!H24, t_wgtssGT3, 2, FALSE), IF(AND(IF(BQ23 = 4, TRUE, FALSE), IF(BR23 = 2, TRUE, FALSE)), VLOOKUP('One-Off Entries'!H24, t_wgtssGT4, 2, FALSE), IF(AND(IF(BQ23 = 5, TRUE, FALSE), IF(BR23 = 1, TRUE, FALSE)), VLOOKUP('One-Off Entries'!H24, t_wgtmGT3P, 2, FALSE), IF(AND(IF(BQ23 = 5, TRUE, FALSE), IF(BR23 = 2, TRUE, FALSE)), VLOOKUP('One-Off Entries'!H24, t_wgtmGT3A, 2, FALSE), IF(AND(IF(BQ23 = 5, TRUE, FALSE), IF(BR23 = 3, TRUE, FALSE)), VLOOKUP('One-Off Entries'!H24, t_wgtmGT4, 2, FALSE), IF(AND(IF(BQ23 = 7, TRUE, FALSE), IF(BR23 = 1, TRUE, FALSE)), VLOOKUP('One-Off Entries'!H24, t_asmLMP3, 2, FALSE), IF(AND(IF(BQ23 = 7, TRUE, FALSE), IF(BR23 = 2, TRUE, FALSE)), VLOOKUP('One-Off Entries'!H24, t_asmGT3, 2, FALSE), IF(AND(IF(BQ23 = 7, TRUE, FALSE), IF(BR23 = 3, TRUE, FALSE)), VLOOKUP('One-Off Entries'!H24, t_asmGT4, 2, FALSE), "")))))))))))))))))))))))))))</f>
        <v/>
      </c>
      <c r="BX23" s="1" t="str">
        <f t="shared" si="11"/>
        <v/>
      </c>
      <c r="BY23" s="1" t="str">
        <f t="shared" si="12"/>
        <v/>
      </c>
      <c r="BZ23" s="1" t="str">
        <f t="shared" si="13"/>
        <v/>
      </c>
      <c r="CA23" s="1" t="str">
        <f t="shared" si="14"/>
        <v/>
      </c>
      <c r="CC23" s="1" t="str">
        <f>'One-Off Entries'!K24</f>
        <v/>
      </c>
      <c r="CD23" s="1">
        <f t="shared" si="15"/>
        <v>0</v>
      </c>
      <c r="CE23" s="1">
        <f>'One-Off Entries'!R24</f>
        <v>0</v>
      </c>
      <c r="CF23" s="1">
        <f>IF('One-Off Entries'!S24 &lt;&gt; "", REPLACE('One-Off Entries'!S24, 1, 1, "Level "), 0)</f>
        <v>0</v>
      </c>
      <c r="CG23" s="1">
        <f t="shared" si="16"/>
        <v>0</v>
      </c>
      <c r="CH23" s="1">
        <f>'One-Off Entries'!T24</f>
        <v>0</v>
      </c>
      <c r="CI23" s="1">
        <f>IF('One-Off Entries'!U24 &lt;&gt; "", REPLACE('One-Off Entries'!U24, 1, 1, "Level "), 0)</f>
        <v>0</v>
      </c>
      <c r="CJ23" s="1">
        <f>IF('One-Off Entries'!V24 &lt;&gt; "", VLOOKUP('One-Off Entries'!V24, setupCostsReliability, 2, FALSE), 0)</f>
        <v>0</v>
      </c>
    </row>
    <row r="24" spans="7:88" ht="18" customHeight="1" x14ac:dyDescent="0.3">
      <c r="G24" s="47" t="str">
        <f>IF('Car Purchase'!D24 &lt;&gt; "", VLOOKUP('Car Purchase'!D24, modelData, 3, FALSE), "")</f>
        <v/>
      </c>
      <c r="H24" s="51" t="str">
        <f>IF('Car Purchase'!I24 &lt;&gt; "", VLOOKUP('Car Purchase'!I24, modelData, 4, FALSE) * 'Car Purchase'!J24, "")</f>
        <v/>
      </c>
      <c r="I24" s="2" t="str">
        <f>IF('Car Purchase'!I24 &lt;&gt; "", VLOOKUP('Car Purchase'!I24, modelData, 5, FALSE) * 'Car Purchase'!K24, "")</f>
        <v/>
      </c>
      <c r="J24" s="52" t="str">
        <f>IF('Car Purchase'!I24 &lt;&gt; "", VLOOKUP('Car Purchase'!I24, modelData, 6, FALSE) * 'Car Purchase'!L24, "")</f>
        <v/>
      </c>
      <c r="M24" s="47" t="str">
        <f t="shared" si="0"/>
        <v/>
      </c>
      <c r="N24" s="47" t="str">
        <f t="shared" si="18"/>
        <v/>
      </c>
      <c r="O24" s="47" t="str">
        <f t="shared" si="1"/>
        <v/>
      </c>
      <c r="P24" s="51" t="str">
        <f>IF('Full Season Entries'!K25 &lt;&gt; "", IF('Full Season Entries'!K25 = "Bronze", -AJ24, VLOOKUP('Full Season Entries'!K25, driverCosts, 2, FALSE) * Z24), "")</f>
        <v/>
      </c>
      <c r="Q24" s="2" t="str">
        <f>IF('Full Season Entries'!L25 &lt;&gt; "", IF('Full Season Entries'!L25 = "Bronze", -AK24, VLOOKUP('Full Season Entries'!L25, driverCosts, 2, FALSE) * Z24), "")</f>
        <v/>
      </c>
      <c r="R24" s="2" t="str">
        <f>IF('Full Season Entries'!M25 &lt;&gt; "", IF('Full Season Entries'!M25 = "Bronze", -AL24, IF(AND(AD24 = 2, OR(AF24 = "DPi", AF24 = "GTLM")), VLOOKUP('Full Season Entries'!M25, driverCosts, 2, FALSE) * VLOOKUP(AF24, nasccEcCosts, 3, FALSE), IF(AD24 = 7, VLOOKUP('Full Season Entries'!M25, driverCosts, 2, FALSE) * VLOOKUP("ASM 210 Minutes of CoTA", oneOffs, 3, FALSE), VLOOKUP('Full Season Entries'!M25, driverCosts, 2, FALSE) * Z24))), "")</f>
        <v/>
      </c>
      <c r="S24" s="52" t="str">
        <f>IF('Full Season Entries'!N25 &lt;&gt; "", IF('Full Season Entries'!N25 = "Bronze", -AM24, VLOOKUP('Full Season Entries'!N25, driverCosts, 2, FALSE) * Z24), "")</f>
        <v/>
      </c>
      <c r="T24" s="51">
        <f t="shared" si="19"/>
        <v>0</v>
      </c>
      <c r="U24" s="2">
        <f t="shared" si="20"/>
        <v>0</v>
      </c>
      <c r="V24" s="52">
        <f t="shared" si="21"/>
        <v>0</v>
      </c>
      <c r="Y24" s="1" t="str">
        <f t="shared" si="22"/>
        <v/>
      </c>
      <c r="Z24" s="1">
        <f t="shared" si="23"/>
        <v>0</v>
      </c>
      <c r="AA24" s="1">
        <f t="shared" si="3"/>
        <v>0</v>
      </c>
      <c r="AC24" s="1" t="str">
        <f>'Full Season Entries'!J25</f>
        <v/>
      </c>
      <c r="AD24" s="1">
        <f>'Full Season Entries'!AF25</f>
        <v>0</v>
      </c>
      <c r="AE24" s="1">
        <f>'Full Season Entries'!AG25</f>
        <v>0</v>
      </c>
      <c r="AF24" s="1" t="str">
        <f>'Full Season Entries'!D25</f>
        <v/>
      </c>
      <c r="AH24" s="1" t="str">
        <f>IF(AND(IF(AD24 = 1, TRUE, FALSE), IF(AE24 = 1, TRUE, FALSE)), VLOOKUP('Full Season Entries'!G25, t_gemLMP1, 2, FALSE), IF(AND(IF(AD24 = 1, TRUE, FALSE), IF(AE24 = 2, TRUE, FALSE)), VLOOKUP('Full Season Entries'!G25, t_gemLMP2, 2, FALSE), IF(AND(IF(AD24 = 1, TRUE, FALSE), IF(AE24 = 3, TRUE, FALSE)), VLOOKUP('Full Season Entries'!G25, t_gemLMGTE, 2, FALSE), IF(AND(IF(AD24 = 1, TRUE, FALSE), IF(AE24 = 4, TRUE, FALSE)), VLOOKUP('Full Season Entries'!G25, t_gemLMGTE, 2, FALSE), IF(AND(IF(AD24 = 2, TRUE, FALSE), IF(AE24 = 1, TRUE, FALSE)), VLOOKUP('Full Season Entries'!G25, t_nasccDPi, 2, FALSE), IF(AND(IF(AD24 = 2, TRUE, FALSE), IF(AE24 = 2, TRUE, FALSE)), VLOOKUP('Full Season Entries'!G25, t_nasccLMP2, 2, FALSE), IF(AND(IF(AD24 = 2, TRUE, FALSE), IF(AE24 = 3, TRUE, FALSE)), VLOOKUP('Full Season Entries'!G25, t_nasccGTLM, 2, FALSE), IF(AND(IF(AD24 = 2, TRUE, FALSE), IF(AE24 = 4, TRUE, FALSE)), VLOOKUP('Full Season Entries'!G25, t_nasccGTD, 2, FALSE), IF(AND(IF(AD24 = 2.1, TRUE, FALSE), IF(AE24 = 1, TRUE, FALSE)), VLOOKUP('Full Season Entries'!G25, t_nasccDPi, 2, FALSE), IF(AND(IF(AD24 = 2.1, TRUE, FALSE), IF(AE24 = 2, TRUE, FALSE)), VLOOKUP('Full Season Entries'!G25, t_nasccLMP2, 2, FALSE), IF(AND(IF(AD24 = 2.1, TRUE, FALSE), IF(AE24 = 3, TRUE, FALSE)), VLOOKUP('Full Season Entries'!G25, t_nasccGTLM, 2, FALSE), IF(AND(IF(AD24 = 2.1, TRUE, FALSE), IF(AE24 = 4, TRUE, FALSE)), VLOOKUP('Full Season Entries'!G25, t_nasccGTD, 2, FALSE), IF(AND(IF(AD24 = 2.2, TRUE, FALSE), IF(AE24 = 1, TRUE, FALSE)), VLOOKUP('Full Season Entries'!G25, t_nasccDPi, 2, FALSE), IF(AND(IF(AD24 = 2.2, TRUE, FALSE), IF(AE24 = 2, TRUE, FALSE)), VLOOKUP('Full Season Entries'!G25, t_nasccLMP2, 2, FALSE), IF(AND(IF(AD24 = 2.2, TRUE, FALSE), IF(AE24 = 3, TRUE, FALSE)), VLOOKUP('Full Season Entries'!G25, t_nasccGTLM, 2, FALSE), IF(AND(IF(AD24 = 2.2, TRUE, FALSE), IF(AE24 = 4, TRUE, FALSE)), VLOOKUP('Full Season Entries'!G25, t_nasccGTD, 2, FALSE), IF(AND(IF(AD24 = 3, TRUE, FALSE), IF(AE24 = 1, TRUE, FALSE)), VLOOKUP('Full Season Entries'!G25, t_euemLMP2, 2, FALSE), IF(AND(IF(AD24 = 3, TRUE, FALSE), IF(AE24 = 2, TRUE, FALSE)), VLOOKUP('Full Season Entries'!G25, t_euemLMP3, 2, FALSE), IF(AND(IF(AD24 = 3, TRUE, FALSE), IF(AE24 = 3, TRUE, FALSE)), VLOOKUP('Full Season Entries'!G25, t_euemLMGTE, 2, FALSE), IF(AND(IF(AD24 = 4, TRUE, FALSE), IF(AE24 = 1, TRUE, FALSE)), VLOOKUP('Full Season Entries'!G25, t_wgtssGT3, 2, FALSE), IF(AND(IF(AD24 = 4, TRUE, FALSE), IF(AE24 = 2, TRUE, FALSE)), VLOOKUP('Full Season Entries'!G25, t_wgtssGT4, 2, FALSE), IF(AND(IF(AD24 = 5, TRUE, FALSE), IF(AE24 = 1, TRUE, FALSE)), VLOOKUP('Full Season Entries'!G25, t_wgtmGT3P, 2, FALSE), IF(AND(IF(AD24 = 5, TRUE, FALSE), IF(AE24 = 2, TRUE, FALSE)), VLOOKUP('Full Season Entries'!G25, t_wgtmGT3A, 2, FALSE), IF(AND(IF(AD24 = 5, TRUE, FALSE), IF(AE24 = 3, TRUE, FALSE)), VLOOKUP('Full Season Entries'!G25, t_wgtmGT4, 2, FALSE), IF(AND(IF(AD24 = 7, TRUE, FALSE), IF(AE24 = 1, TRUE, FALSE)), VLOOKUP('Full Season Entries'!G25, t_asmLMP3, 2, FALSE), IF(AND(IF(AD24 = 7, TRUE, FALSE), IF(AE24 = 2, TRUE, FALSE)), VLOOKUP('Full Season Entries'!G25, t_asmGT3, 2, FALSE), IF(AND(IF(AD24 = 7, TRUE, FALSE), IF(AE24 = 3, TRUE, FALSE)), VLOOKUP('Full Season Entries'!G25, t_asmGT4, 2, FALSE), "")))))))))))))))))))))))))))</f>
        <v/>
      </c>
      <c r="AJ24" s="1" t="str">
        <f t="shared" si="4"/>
        <v/>
      </c>
      <c r="AK24" s="1" t="str">
        <f t="shared" si="5"/>
        <v/>
      </c>
      <c r="AL24" s="1" t="str">
        <f t="shared" si="24"/>
        <v/>
      </c>
      <c r="AM24" s="1" t="str">
        <f t="shared" si="6"/>
        <v/>
      </c>
      <c r="AO24" s="1" t="str">
        <f>'Full Season Entries'!I25</f>
        <v/>
      </c>
      <c r="AQ24" s="1">
        <f t="shared" si="7"/>
        <v>0</v>
      </c>
      <c r="AR24" s="1">
        <f>'Full Season Entries'!P25</f>
        <v>0</v>
      </c>
      <c r="AS24" s="1">
        <f>IF('Full Season Entries'!Q25 &lt;&gt; "", REPLACE('Full Season Entries'!Q25, 1, 1, "Level "), 0)</f>
        <v>0</v>
      </c>
      <c r="AT24" s="1">
        <f t="shared" si="8"/>
        <v>0</v>
      </c>
      <c r="AU24" s="1">
        <f>'Full Season Entries'!R25</f>
        <v>0</v>
      </c>
      <c r="AV24" s="1">
        <f>IF('Full Season Entries'!S25 &lt;&gt; "", REPLACE('Full Season Entries'!S25, 1, 1, "Level "), 0)</f>
        <v>0</v>
      </c>
      <c r="AW24" s="1">
        <f>IF('Full Season Entries'!T25 &lt;&gt; "", VLOOKUP('Full Season Entries'!T25, setupCostsReliability, 2, FALSE), 0)</f>
        <v>0</v>
      </c>
      <c r="AZ24" s="47" t="str">
        <f>IF('One-Off Entries'!I25 = "Yes", 0, IF(BQ24 &lt;&gt; "", IF(BQ24 = 1, VLOOKUP(BT24, gemCosts, 5, FALSE), IF(BQ24 = 2, VLOOKUP(BT24, nasccCosts, 5, FALSE), IF(BQ24 = 2.1, VLOOKUP(BT24, nasccScCosts, 5, FALSE), IF(BQ24 = 2.2, VLOOKUP(BT24, nasccEcCosts, 5, FALSE), IF(BQ24 = 3, VLOOKUP(BT24, euemCosts, 5, FALSE), IF(BQ24 = 4, VLOOKUP(BT24, wgtssCosts, 5, FALSE), IF(BQ24 = 5, VLOOKUP(BT24, wgtmCosts, 5, FALSE), IF(BQ24 = 6, VLOOKUP(BT24, wpcCosts, 5, FALSE), IF(BQ24 = 7, VLOOKUP(BT24, asmCosts, 5, FALSE), "")))))))))))</f>
        <v/>
      </c>
      <c r="BA24" s="47" t="str">
        <f t="shared" si="25"/>
        <v/>
      </c>
      <c r="BB24" s="47" t="str">
        <f t="shared" si="26"/>
        <v/>
      </c>
      <c r="BC24" s="51" t="str">
        <f>IF('One-Off Entries'!M25 &lt;&gt; "", IF('One-Off Entries'!M25 = "Bronze", -BX24, VLOOKUP('One-Off Entries'!M25, driverCosts, 2, FALSE) * BM24), "")</f>
        <v/>
      </c>
      <c r="BD24" s="2" t="str">
        <f>IF('One-Off Entries'!N25 &lt;&gt; "", IF('One-Off Entries'!N25 = "Bronze", -BY24, VLOOKUP('One-Off Entries'!N25, driverCosts, 2, FALSE) * BM24), "")</f>
        <v/>
      </c>
      <c r="BE24" s="2" t="str">
        <f>IF('One-Off Entries'!O25 &lt;&gt; "", IF('One-Off Entries'!O25 = "Bronze", -BZ24, VLOOKUP('One-Off Entries'!O25, driverCosts, 2, FALSE) * BM24), "")</f>
        <v/>
      </c>
      <c r="BF24" s="52" t="str">
        <f>IF('One-Off Entries'!P25 &lt;&gt; "", IF('One-Off Entries'!P25 = "Bronze", -CA24, VLOOKUP('One-Off Entries'!P25, driverCosts, 2, FALSE) * BM24), "")</f>
        <v/>
      </c>
      <c r="BG24" s="51">
        <f t="shared" si="27"/>
        <v>0</v>
      </c>
      <c r="BH24" s="2">
        <f t="shared" si="28"/>
        <v>0</v>
      </c>
      <c r="BI24" s="52">
        <f t="shared" si="29"/>
        <v>0</v>
      </c>
      <c r="BL24" s="1" t="str">
        <f t="shared" si="9"/>
        <v/>
      </c>
      <c r="BM24" s="1" t="str">
        <f t="shared" si="10"/>
        <v/>
      </c>
      <c r="BO24" s="1">
        <f>'One-Off Entries'!C25</f>
        <v>0</v>
      </c>
      <c r="BP24" s="1" t="str">
        <f>'One-Off Entries'!L25</f>
        <v/>
      </c>
      <c r="BQ24" s="1">
        <f>'One-Off Entries'!AI25</f>
        <v>0</v>
      </c>
      <c r="BR24" s="1">
        <f>'One-Off Entries'!AJ25</f>
        <v>0</v>
      </c>
      <c r="BT24" s="1" t="str">
        <f>'One-Off Entries'!E25</f>
        <v/>
      </c>
      <c r="BV24" s="1" t="str">
        <f>IF(AND(IF(BQ24 = 1, TRUE, FALSE), IF(BR24 = 1, TRUE, FALSE)), VLOOKUP('One-Off Entries'!H25, t_gemLMP1, 2, FALSE), IF(AND(IF(BQ24 = 1, TRUE, FALSE), IF(BR24 = 2, TRUE, FALSE)), VLOOKUP('One-Off Entries'!H25, t_gemLMP2, 2, FALSE), IF(AND(IF(BQ24 = 1, TRUE, FALSE), IF(BR24 = 3, TRUE, FALSE)), VLOOKUP('One-Off Entries'!H25, t_gemLMGTE, 2, FALSE), IF(AND(IF(BQ24 = 1, TRUE, FALSE), IF(BR24 = 4, TRUE, FALSE)), VLOOKUP('One-Off Entries'!H25, t_gemLMGTE, 2, FALSE), IF(AND(IF(BQ24 = 2, TRUE, FALSE), IF(BR24 = 1, TRUE, FALSE)), VLOOKUP('One-Off Entries'!H25, t_nasccDPi, 2, FALSE), IF(AND(IF(BQ24 = 2, TRUE, FALSE), IF(BR24 = 2, TRUE, FALSE)), VLOOKUP('One-Off Entries'!H25, t_nasccLMP2, 2, FALSE), IF(AND(IF(BQ24 = 2, TRUE, FALSE), IF(BR24 = 3, TRUE, FALSE)), VLOOKUP('One-Off Entries'!H25, t_nasccGTLM, 2, FALSE), IF(AND(IF(BQ24 = 2, TRUE, FALSE), IF(BR24 = 4, TRUE, FALSE)), VLOOKUP('One-Off Entries'!H25, t_nasccGTD, 2, FALSE), IF(AND(IF(BQ24 = 2.1, TRUE, FALSE), IF(BR24 = 1, TRUE, FALSE)), VLOOKUP('One-Off Entries'!H25, t_nasccDPi, 2, FALSE), IF(AND(IF(BQ24 = 2.1, TRUE, FALSE), IF(BR24 = 2, TRUE, FALSE)), VLOOKUP('One-Off Entries'!H25, t_nasccLMP2, 2, FALSE), IF(AND(IF(BQ24 = 2.1, TRUE, FALSE), IF(BR24 = 3, TRUE, FALSE)), VLOOKUP('One-Off Entries'!H25, t_nasccGTLM, 2, FALSE), IF(AND(IF(BQ24 = 2.1, TRUE, FALSE), IF(BR24 = 4, TRUE, FALSE)), VLOOKUP('One-Off Entries'!H25, t_nasccGTD, 2, FALSE), IF(AND(IF(BQ24 = 2.2, TRUE, FALSE), IF(BR24 = 1, TRUE, FALSE)), VLOOKUP('One-Off Entries'!H25, t_nasccDPi, 2, FALSE), IF(AND(IF(BQ24 = 2.2, TRUE, FALSE), IF(BR24 = 2, TRUE, FALSE)), VLOOKUP('One-Off Entries'!H25, t_nasccLMP2, 2, FALSE), IF(AND(IF(BQ24 = 2.2, TRUE, FALSE), IF(BR24 = 3, TRUE, FALSE)), VLOOKUP('One-Off Entries'!H25, t_nasccGTLM, 2, FALSE), IF(AND(IF(BQ24 = 2.2, TRUE, FALSE), IF(BR24 = 4, TRUE, FALSE)), VLOOKUP('One-Off Entries'!H25, t_nasccGTD, 2, FALSE), IF(AND(IF(BQ24 = 3, TRUE, FALSE), IF(BR24 = 1, TRUE, FALSE)), VLOOKUP('One-Off Entries'!H25, t_euemLMP2, 2, FALSE), IF(AND(IF(BQ24 = 3, TRUE, FALSE), IF(BR24 = 2, TRUE, FALSE)), VLOOKUP('One-Off Entries'!H25, t_euemLMP3, 2, FALSE), IF(AND(IF(BQ24 = 3, TRUE, FALSE), IF(BR24 = 3, TRUE, FALSE)), VLOOKUP('One-Off Entries'!H25, t_euemLMGTE, 2, FALSE), IF(AND(IF(BQ24 = 4, TRUE, FALSE), IF(BR24 = 1, TRUE, FALSE)), VLOOKUP('One-Off Entries'!H25, t_wgtssGT3, 2, FALSE), IF(AND(IF(BQ24 = 4, TRUE, FALSE), IF(BR24 = 2, TRUE, FALSE)), VLOOKUP('One-Off Entries'!H25, t_wgtssGT4, 2, FALSE), IF(AND(IF(BQ24 = 5, TRUE, FALSE), IF(BR24 = 1, TRUE, FALSE)), VLOOKUP('One-Off Entries'!H25, t_wgtmGT3P, 2, FALSE), IF(AND(IF(BQ24 = 5, TRUE, FALSE), IF(BR24 = 2, TRUE, FALSE)), VLOOKUP('One-Off Entries'!H25, t_wgtmGT3A, 2, FALSE), IF(AND(IF(BQ24 = 5, TRUE, FALSE), IF(BR24 = 3, TRUE, FALSE)), VLOOKUP('One-Off Entries'!H25, t_wgtmGT4, 2, FALSE), IF(AND(IF(BQ24 = 7, TRUE, FALSE), IF(BR24 = 1, TRUE, FALSE)), VLOOKUP('One-Off Entries'!H25, t_asmLMP3, 2, FALSE), IF(AND(IF(BQ24 = 7, TRUE, FALSE), IF(BR24 = 2, TRUE, FALSE)), VLOOKUP('One-Off Entries'!H25, t_asmGT3, 2, FALSE), IF(AND(IF(BQ24 = 7, TRUE, FALSE), IF(BR24 = 3, TRUE, FALSE)), VLOOKUP('One-Off Entries'!H25, t_asmGT4, 2, FALSE), "")))))))))))))))))))))))))))</f>
        <v/>
      </c>
      <c r="BX24" s="1" t="str">
        <f t="shared" si="11"/>
        <v/>
      </c>
      <c r="BY24" s="1" t="str">
        <f t="shared" si="12"/>
        <v/>
      </c>
      <c r="BZ24" s="1" t="str">
        <f t="shared" si="13"/>
        <v/>
      </c>
      <c r="CA24" s="1" t="str">
        <f t="shared" si="14"/>
        <v/>
      </c>
      <c r="CC24" s="1" t="str">
        <f>'One-Off Entries'!K25</f>
        <v/>
      </c>
      <c r="CD24" s="1">
        <f t="shared" si="15"/>
        <v>0</v>
      </c>
      <c r="CE24" s="1">
        <f>'One-Off Entries'!R25</f>
        <v>0</v>
      </c>
      <c r="CF24" s="1">
        <f>IF('One-Off Entries'!S25 &lt;&gt; "", REPLACE('One-Off Entries'!S25, 1, 1, "Level "), 0)</f>
        <v>0</v>
      </c>
      <c r="CG24" s="1">
        <f t="shared" si="16"/>
        <v>0</v>
      </c>
      <c r="CH24" s="1">
        <f>'One-Off Entries'!T25</f>
        <v>0</v>
      </c>
      <c r="CI24" s="1">
        <f>IF('One-Off Entries'!U25 &lt;&gt; "", REPLACE('One-Off Entries'!U25, 1, 1, "Level "), 0)</f>
        <v>0</v>
      </c>
      <c r="CJ24" s="1">
        <f>IF('One-Off Entries'!V25 &lt;&gt; "", VLOOKUP('One-Off Entries'!V25, setupCostsReliability, 2, FALSE), 0)</f>
        <v>0</v>
      </c>
    </row>
    <row r="25" spans="7:88" ht="18" customHeight="1" x14ac:dyDescent="0.3">
      <c r="G25" s="47" t="str">
        <f>IF('Car Purchase'!D25 &lt;&gt; "", VLOOKUP('Car Purchase'!D25, modelData, 3, FALSE), "")</f>
        <v/>
      </c>
      <c r="H25" s="51" t="str">
        <f>IF('Car Purchase'!I25 &lt;&gt; "", VLOOKUP('Car Purchase'!I25, modelData, 4, FALSE) * 'Car Purchase'!J25, "")</f>
        <v/>
      </c>
      <c r="I25" s="2" t="str">
        <f>IF('Car Purchase'!I25 &lt;&gt; "", VLOOKUP('Car Purchase'!I25, modelData, 5, FALSE) * 'Car Purchase'!K25, "")</f>
        <v/>
      </c>
      <c r="J25" s="52" t="str">
        <f>IF('Car Purchase'!I25 &lt;&gt; "", VLOOKUP('Car Purchase'!I25, modelData, 6, FALSE) * 'Car Purchase'!L25, "")</f>
        <v/>
      </c>
      <c r="M25" s="47" t="str">
        <f t="shared" si="0"/>
        <v/>
      </c>
      <c r="N25" s="47" t="str">
        <f t="shared" si="18"/>
        <v/>
      </c>
      <c r="O25" s="47" t="str">
        <f t="shared" si="1"/>
        <v/>
      </c>
      <c r="P25" s="51" t="str">
        <f>IF('Full Season Entries'!K26 &lt;&gt; "", IF('Full Season Entries'!K26 = "Bronze", -AJ25, VLOOKUP('Full Season Entries'!K26, driverCosts, 2, FALSE) * Z25), "")</f>
        <v/>
      </c>
      <c r="Q25" s="2" t="str">
        <f>IF('Full Season Entries'!L26 &lt;&gt; "", IF('Full Season Entries'!L26 = "Bronze", -AK25, VLOOKUP('Full Season Entries'!L26, driverCosts, 2, FALSE) * Z25), "")</f>
        <v/>
      </c>
      <c r="R25" s="2" t="str">
        <f>IF('Full Season Entries'!M26 &lt;&gt; "", IF('Full Season Entries'!M26 = "Bronze", -AL25, IF(AND(AD25 = 2, OR(AF25 = "DPi", AF25 = "GTLM")), VLOOKUP('Full Season Entries'!M26, driverCosts, 2, FALSE) * VLOOKUP(AF25, nasccEcCosts, 3, FALSE), IF(AD25 = 7, VLOOKUP('Full Season Entries'!M26, driverCosts, 2, FALSE) * VLOOKUP("ASM 210 Minutes of CoTA", oneOffs, 3, FALSE), VLOOKUP('Full Season Entries'!M26, driverCosts, 2, FALSE) * Z25))), "")</f>
        <v/>
      </c>
      <c r="S25" s="52" t="str">
        <f>IF('Full Season Entries'!N26 &lt;&gt; "", IF('Full Season Entries'!N26 = "Bronze", -AM25, VLOOKUP('Full Season Entries'!N26, driverCosts, 2, FALSE) * Z25), "")</f>
        <v/>
      </c>
      <c r="T25" s="51">
        <f t="shared" si="19"/>
        <v>0</v>
      </c>
      <c r="U25" s="2">
        <f t="shared" si="20"/>
        <v>0</v>
      </c>
      <c r="V25" s="52">
        <f t="shared" si="21"/>
        <v>0</v>
      </c>
      <c r="Y25" s="1" t="str">
        <f t="shared" si="22"/>
        <v/>
      </c>
      <c r="Z25" s="1">
        <f t="shared" si="23"/>
        <v>0</v>
      </c>
      <c r="AA25" s="1">
        <f t="shared" si="3"/>
        <v>0</v>
      </c>
      <c r="AC25" s="1" t="str">
        <f>'Full Season Entries'!J26</f>
        <v/>
      </c>
      <c r="AD25" s="1">
        <f>'Full Season Entries'!AF26</f>
        <v>0</v>
      </c>
      <c r="AE25" s="1">
        <f>'Full Season Entries'!AG26</f>
        <v>0</v>
      </c>
      <c r="AF25" s="1" t="str">
        <f>'Full Season Entries'!D26</f>
        <v/>
      </c>
      <c r="AH25" s="1" t="str">
        <f>IF(AND(IF(AD25 = 1, TRUE, FALSE), IF(AE25 = 1, TRUE, FALSE)), VLOOKUP('Full Season Entries'!G26, t_gemLMP1, 2, FALSE), IF(AND(IF(AD25 = 1, TRUE, FALSE), IF(AE25 = 2, TRUE, FALSE)), VLOOKUP('Full Season Entries'!G26, t_gemLMP2, 2, FALSE), IF(AND(IF(AD25 = 1, TRUE, FALSE), IF(AE25 = 3, TRUE, FALSE)), VLOOKUP('Full Season Entries'!G26, t_gemLMGTE, 2, FALSE), IF(AND(IF(AD25 = 1, TRUE, FALSE), IF(AE25 = 4, TRUE, FALSE)), VLOOKUP('Full Season Entries'!G26, t_gemLMGTE, 2, FALSE), IF(AND(IF(AD25 = 2, TRUE, FALSE), IF(AE25 = 1, TRUE, FALSE)), VLOOKUP('Full Season Entries'!G26, t_nasccDPi, 2, FALSE), IF(AND(IF(AD25 = 2, TRUE, FALSE), IF(AE25 = 2, TRUE, FALSE)), VLOOKUP('Full Season Entries'!G26, t_nasccLMP2, 2, FALSE), IF(AND(IF(AD25 = 2, TRUE, FALSE), IF(AE25 = 3, TRUE, FALSE)), VLOOKUP('Full Season Entries'!G26, t_nasccGTLM, 2, FALSE), IF(AND(IF(AD25 = 2, TRUE, FALSE), IF(AE25 = 4, TRUE, FALSE)), VLOOKUP('Full Season Entries'!G26, t_nasccGTD, 2, FALSE), IF(AND(IF(AD25 = 2.1, TRUE, FALSE), IF(AE25 = 1, TRUE, FALSE)), VLOOKUP('Full Season Entries'!G26, t_nasccDPi, 2, FALSE), IF(AND(IF(AD25 = 2.1, TRUE, FALSE), IF(AE25 = 2, TRUE, FALSE)), VLOOKUP('Full Season Entries'!G26, t_nasccLMP2, 2, FALSE), IF(AND(IF(AD25 = 2.1, TRUE, FALSE), IF(AE25 = 3, TRUE, FALSE)), VLOOKUP('Full Season Entries'!G26, t_nasccGTLM, 2, FALSE), IF(AND(IF(AD25 = 2.1, TRUE, FALSE), IF(AE25 = 4, TRUE, FALSE)), VLOOKUP('Full Season Entries'!G26, t_nasccGTD, 2, FALSE), IF(AND(IF(AD25 = 2.2, TRUE, FALSE), IF(AE25 = 1, TRUE, FALSE)), VLOOKUP('Full Season Entries'!G26, t_nasccDPi, 2, FALSE), IF(AND(IF(AD25 = 2.2, TRUE, FALSE), IF(AE25 = 2, TRUE, FALSE)), VLOOKUP('Full Season Entries'!G26, t_nasccLMP2, 2, FALSE), IF(AND(IF(AD25 = 2.2, TRUE, FALSE), IF(AE25 = 3, TRUE, FALSE)), VLOOKUP('Full Season Entries'!G26, t_nasccGTLM, 2, FALSE), IF(AND(IF(AD25 = 2.2, TRUE, FALSE), IF(AE25 = 4, TRUE, FALSE)), VLOOKUP('Full Season Entries'!G26, t_nasccGTD, 2, FALSE), IF(AND(IF(AD25 = 3, TRUE, FALSE), IF(AE25 = 1, TRUE, FALSE)), VLOOKUP('Full Season Entries'!G26, t_euemLMP2, 2, FALSE), IF(AND(IF(AD25 = 3, TRUE, FALSE), IF(AE25 = 2, TRUE, FALSE)), VLOOKUP('Full Season Entries'!G26, t_euemLMP3, 2, FALSE), IF(AND(IF(AD25 = 3, TRUE, FALSE), IF(AE25 = 3, TRUE, FALSE)), VLOOKUP('Full Season Entries'!G26, t_euemLMGTE, 2, FALSE), IF(AND(IF(AD25 = 4, TRUE, FALSE), IF(AE25 = 1, TRUE, FALSE)), VLOOKUP('Full Season Entries'!G26, t_wgtssGT3, 2, FALSE), IF(AND(IF(AD25 = 4, TRUE, FALSE), IF(AE25 = 2, TRUE, FALSE)), VLOOKUP('Full Season Entries'!G26, t_wgtssGT4, 2, FALSE), IF(AND(IF(AD25 = 5, TRUE, FALSE), IF(AE25 = 1, TRUE, FALSE)), VLOOKUP('Full Season Entries'!G26, t_wgtmGT3P, 2, FALSE), IF(AND(IF(AD25 = 5, TRUE, FALSE), IF(AE25 = 2, TRUE, FALSE)), VLOOKUP('Full Season Entries'!G26, t_wgtmGT3A, 2, FALSE), IF(AND(IF(AD25 = 5, TRUE, FALSE), IF(AE25 = 3, TRUE, FALSE)), VLOOKUP('Full Season Entries'!G26, t_wgtmGT4, 2, FALSE), IF(AND(IF(AD25 = 7, TRUE, FALSE), IF(AE25 = 1, TRUE, FALSE)), VLOOKUP('Full Season Entries'!G26, t_asmLMP3, 2, FALSE), IF(AND(IF(AD25 = 7, TRUE, FALSE), IF(AE25 = 2, TRUE, FALSE)), VLOOKUP('Full Season Entries'!G26, t_asmGT3, 2, FALSE), IF(AND(IF(AD25 = 7, TRUE, FALSE), IF(AE25 = 3, TRUE, FALSE)), VLOOKUP('Full Season Entries'!G26, t_asmGT4, 2, FALSE), "")))))))))))))))))))))))))))</f>
        <v/>
      </c>
      <c r="AJ25" s="1" t="str">
        <f t="shared" si="4"/>
        <v/>
      </c>
      <c r="AK25" s="1" t="str">
        <f t="shared" si="5"/>
        <v/>
      </c>
      <c r="AL25" s="1" t="str">
        <f t="shared" si="24"/>
        <v/>
      </c>
      <c r="AM25" s="1" t="str">
        <f t="shared" si="6"/>
        <v/>
      </c>
      <c r="AO25" s="1" t="str">
        <f>'Full Season Entries'!I26</f>
        <v/>
      </c>
      <c r="AQ25" s="1">
        <f t="shared" si="7"/>
        <v>0</v>
      </c>
      <c r="AR25" s="1">
        <f>'Full Season Entries'!P26</f>
        <v>0</v>
      </c>
      <c r="AS25" s="1">
        <f>IF('Full Season Entries'!Q26 &lt;&gt; "", REPLACE('Full Season Entries'!Q26, 1, 1, "Level "), 0)</f>
        <v>0</v>
      </c>
      <c r="AT25" s="1">
        <f t="shared" si="8"/>
        <v>0</v>
      </c>
      <c r="AU25" s="1">
        <f>'Full Season Entries'!R26</f>
        <v>0</v>
      </c>
      <c r="AV25" s="1">
        <f>IF('Full Season Entries'!S26 &lt;&gt; "", REPLACE('Full Season Entries'!S26, 1, 1, "Level "), 0)</f>
        <v>0</v>
      </c>
      <c r="AW25" s="1">
        <f>IF('Full Season Entries'!T26 &lt;&gt; "", VLOOKUP('Full Season Entries'!T26, setupCostsReliability, 2, FALSE), 0)</f>
        <v>0</v>
      </c>
      <c r="AZ25" s="47" t="str">
        <f>IF('One-Off Entries'!I26 = "Yes", 0, IF(BQ25 &lt;&gt; "", IF(BQ25 = 1, VLOOKUP(BT25, gemCosts, 5, FALSE), IF(BQ25 = 2, VLOOKUP(BT25, nasccCosts, 5, FALSE), IF(BQ25 = 2.1, VLOOKUP(BT25, nasccScCosts, 5, FALSE), IF(BQ25 = 2.2, VLOOKUP(BT25, nasccEcCosts, 5, FALSE), IF(BQ25 = 3, VLOOKUP(BT25, euemCosts, 5, FALSE), IF(BQ25 = 4, VLOOKUP(BT25, wgtssCosts, 5, FALSE), IF(BQ25 = 5, VLOOKUP(BT25, wgtmCosts, 5, FALSE), IF(BQ25 = 6, VLOOKUP(BT25, wpcCosts, 5, FALSE), IF(BQ25 = 7, VLOOKUP(BT25, asmCosts, 5, FALSE), "")))))))))))</f>
        <v/>
      </c>
      <c r="BA25" s="47" t="str">
        <f t="shared" si="25"/>
        <v/>
      </c>
      <c r="BB25" s="47" t="str">
        <f t="shared" si="26"/>
        <v/>
      </c>
      <c r="BC25" s="51" t="str">
        <f>IF('One-Off Entries'!M26 &lt;&gt; "", IF('One-Off Entries'!M26 = "Bronze", -BX25, VLOOKUP('One-Off Entries'!M26, driverCosts, 2, FALSE) * BM25), "")</f>
        <v/>
      </c>
      <c r="BD25" s="2" t="str">
        <f>IF('One-Off Entries'!N26 &lt;&gt; "", IF('One-Off Entries'!N26 = "Bronze", -BY25, VLOOKUP('One-Off Entries'!N26, driverCosts, 2, FALSE) * BM25), "")</f>
        <v/>
      </c>
      <c r="BE25" s="2" t="str">
        <f>IF('One-Off Entries'!O26 &lt;&gt; "", IF('One-Off Entries'!O26 = "Bronze", -BZ25, VLOOKUP('One-Off Entries'!O26, driverCosts, 2, FALSE) * BM25), "")</f>
        <v/>
      </c>
      <c r="BF25" s="52" t="str">
        <f>IF('One-Off Entries'!P26 &lt;&gt; "", IF('One-Off Entries'!P26 = "Bronze", -CA25, VLOOKUP('One-Off Entries'!P26, driverCosts, 2, FALSE) * BM25), "")</f>
        <v/>
      </c>
      <c r="BG25" s="51">
        <f t="shared" si="27"/>
        <v>0</v>
      </c>
      <c r="BH25" s="2">
        <f t="shared" si="28"/>
        <v>0</v>
      </c>
      <c r="BI25" s="52">
        <f t="shared" si="29"/>
        <v>0</v>
      </c>
      <c r="BL25" s="1" t="str">
        <f t="shared" si="9"/>
        <v/>
      </c>
      <c r="BM25" s="1" t="str">
        <f t="shared" si="10"/>
        <v/>
      </c>
      <c r="BO25" s="1">
        <f>'One-Off Entries'!C26</f>
        <v>0</v>
      </c>
      <c r="BP25" s="1" t="str">
        <f>'One-Off Entries'!L26</f>
        <v/>
      </c>
      <c r="BQ25" s="1">
        <f>'One-Off Entries'!AI26</f>
        <v>0</v>
      </c>
      <c r="BR25" s="1">
        <f>'One-Off Entries'!AJ26</f>
        <v>0</v>
      </c>
      <c r="BT25" s="1" t="str">
        <f>'One-Off Entries'!E26</f>
        <v/>
      </c>
      <c r="BV25" s="1" t="str">
        <f>IF(AND(IF(BQ25 = 1, TRUE, FALSE), IF(BR25 = 1, TRUE, FALSE)), VLOOKUP('One-Off Entries'!H26, t_gemLMP1, 2, FALSE), IF(AND(IF(BQ25 = 1, TRUE, FALSE), IF(BR25 = 2, TRUE, FALSE)), VLOOKUP('One-Off Entries'!H26, t_gemLMP2, 2, FALSE), IF(AND(IF(BQ25 = 1, TRUE, FALSE), IF(BR25 = 3, TRUE, FALSE)), VLOOKUP('One-Off Entries'!H26, t_gemLMGTE, 2, FALSE), IF(AND(IF(BQ25 = 1, TRUE, FALSE), IF(BR25 = 4, TRUE, FALSE)), VLOOKUP('One-Off Entries'!H26, t_gemLMGTE, 2, FALSE), IF(AND(IF(BQ25 = 2, TRUE, FALSE), IF(BR25 = 1, TRUE, FALSE)), VLOOKUP('One-Off Entries'!H26, t_nasccDPi, 2, FALSE), IF(AND(IF(BQ25 = 2, TRUE, FALSE), IF(BR25 = 2, TRUE, FALSE)), VLOOKUP('One-Off Entries'!H26, t_nasccLMP2, 2, FALSE), IF(AND(IF(BQ25 = 2, TRUE, FALSE), IF(BR25 = 3, TRUE, FALSE)), VLOOKUP('One-Off Entries'!H26, t_nasccGTLM, 2, FALSE), IF(AND(IF(BQ25 = 2, TRUE, FALSE), IF(BR25 = 4, TRUE, FALSE)), VLOOKUP('One-Off Entries'!H26, t_nasccGTD, 2, FALSE), IF(AND(IF(BQ25 = 2.1, TRUE, FALSE), IF(BR25 = 1, TRUE, FALSE)), VLOOKUP('One-Off Entries'!H26, t_nasccDPi, 2, FALSE), IF(AND(IF(BQ25 = 2.1, TRUE, FALSE), IF(BR25 = 2, TRUE, FALSE)), VLOOKUP('One-Off Entries'!H26, t_nasccLMP2, 2, FALSE), IF(AND(IF(BQ25 = 2.1, TRUE, FALSE), IF(BR25 = 3, TRUE, FALSE)), VLOOKUP('One-Off Entries'!H26, t_nasccGTLM, 2, FALSE), IF(AND(IF(BQ25 = 2.1, TRUE, FALSE), IF(BR25 = 4, TRUE, FALSE)), VLOOKUP('One-Off Entries'!H26, t_nasccGTD, 2, FALSE), IF(AND(IF(BQ25 = 2.2, TRUE, FALSE), IF(BR25 = 1, TRUE, FALSE)), VLOOKUP('One-Off Entries'!H26, t_nasccDPi, 2, FALSE), IF(AND(IF(BQ25 = 2.2, TRUE, FALSE), IF(BR25 = 2, TRUE, FALSE)), VLOOKUP('One-Off Entries'!H26, t_nasccLMP2, 2, FALSE), IF(AND(IF(BQ25 = 2.2, TRUE, FALSE), IF(BR25 = 3, TRUE, FALSE)), VLOOKUP('One-Off Entries'!H26, t_nasccGTLM, 2, FALSE), IF(AND(IF(BQ25 = 2.2, TRUE, FALSE), IF(BR25 = 4, TRUE, FALSE)), VLOOKUP('One-Off Entries'!H26, t_nasccGTD, 2, FALSE), IF(AND(IF(BQ25 = 3, TRUE, FALSE), IF(BR25 = 1, TRUE, FALSE)), VLOOKUP('One-Off Entries'!H26, t_euemLMP2, 2, FALSE), IF(AND(IF(BQ25 = 3, TRUE, FALSE), IF(BR25 = 2, TRUE, FALSE)), VLOOKUP('One-Off Entries'!H26, t_euemLMP3, 2, FALSE), IF(AND(IF(BQ25 = 3, TRUE, FALSE), IF(BR25 = 3, TRUE, FALSE)), VLOOKUP('One-Off Entries'!H26, t_euemLMGTE, 2, FALSE), IF(AND(IF(BQ25 = 4, TRUE, FALSE), IF(BR25 = 1, TRUE, FALSE)), VLOOKUP('One-Off Entries'!H26, t_wgtssGT3, 2, FALSE), IF(AND(IF(BQ25 = 4, TRUE, FALSE), IF(BR25 = 2, TRUE, FALSE)), VLOOKUP('One-Off Entries'!H26, t_wgtssGT4, 2, FALSE), IF(AND(IF(BQ25 = 5, TRUE, FALSE), IF(BR25 = 1, TRUE, FALSE)), VLOOKUP('One-Off Entries'!H26, t_wgtmGT3P, 2, FALSE), IF(AND(IF(BQ25 = 5, TRUE, FALSE), IF(BR25 = 2, TRUE, FALSE)), VLOOKUP('One-Off Entries'!H26, t_wgtmGT3A, 2, FALSE), IF(AND(IF(BQ25 = 5, TRUE, FALSE), IF(BR25 = 3, TRUE, FALSE)), VLOOKUP('One-Off Entries'!H26, t_wgtmGT4, 2, FALSE), IF(AND(IF(BQ25 = 7, TRUE, FALSE), IF(BR25 = 1, TRUE, FALSE)), VLOOKUP('One-Off Entries'!H26, t_asmLMP3, 2, FALSE), IF(AND(IF(BQ25 = 7, TRUE, FALSE), IF(BR25 = 2, TRUE, FALSE)), VLOOKUP('One-Off Entries'!H26, t_asmGT3, 2, FALSE), IF(AND(IF(BQ25 = 7, TRUE, FALSE), IF(BR25 = 3, TRUE, FALSE)), VLOOKUP('One-Off Entries'!H26, t_asmGT4, 2, FALSE), "")))))))))))))))))))))))))))</f>
        <v/>
      </c>
      <c r="BX25" s="1" t="str">
        <f t="shared" si="11"/>
        <v/>
      </c>
      <c r="BY25" s="1" t="str">
        <f t="shared" si="12"/>
        <v/>
      </c>
      <c r="BZ25" s="1" t="str">
        <f t="shared" si="13"/>
        <v/>
      </c>
      <c r="CA25" s="1" t="str">
        <f t="shared" si="14"/>
        <v/>
      </c>
      <c r="CC25" s="1" t="str">
        <f>'One-Off Entries'!K26</f>
        <v/>
      </c>
      <c r="CD25" s="1">
        <f t="shared" si="15"/>
        <v>0</v>
      </c>
      <c r="CE25" s="1">
        <f>'One-Off Entries'!R26</f>
        <v>0</v>
      </c>
      <c r="CF25" s="1">
        <f>IF('One-Off Entries'!S26 &lt;&gt; "", REPLACE('One-Off Entries'!S26, 1, 1, "Level "), 0)</f>
        <v>0</v>
      </c>
      <c r="CG25" s="1">
        <f t="shared" si="16"/>
        <v>0</v>
      </c>
      <c r="CH25" s="1">
        <f>'One-Off Entries'!T26</f>
        <v>0</v>
      </c>
      <c r="CI25" s="1">
        <f>IF('One-Off Entries'!U26 &lt;&gt; "", REPLACE('One-Off Entries'!U26, 1, 1, "Level "), 0)</f>
        <v>0</v>
      </c>
      <c r="CJ25" s="1">
        <f>IF('One-Off Entries'!V26 &lt;&gt; "", VLOOKUP('One-Off Entries'!V26, setupCostsReliability, 2, FALSE), 0)</f>
        <v>0</v>
      </c>
    </row>
    <row r="26" spans="7:88" ht="18" customHeight="1" x14ac:dyDescent="0.3">
      <c r="G26" s="47" t="str">
        <f>IF('Car Purchase'!D26 &lt;&gt; "", VLOOKUP('Car Purchase'!D26, modelData, 3, FALSE), "")</f>
        <v/>
      </c>
      <c r="H26" s="51" t="str">
        <f>IF('Car Purchase'!I26 &lt;&gt; "", VLOOKUP('Car Purchase'!I26, modelData, 4, FALSE) * 'Car Purchase'!J26, "")</f>
        <v/>
      </c>
      <c r="I26" s="2" t="str">
        <f>IF('Car Purchase'!I26 &lt;&gt; "", VLOOKUP('Car Purchase'!I26, modelData, 5, FALSE) * 'Car Purchase'!K26, "")</f>
        <v/>
      </c>
      <c r="J26" s="52" t="str">
        <f>IF('Car Purchase'!I26 &lt;&gt; "", VLOOKUP('Car Purchase'!I26, modelData, 6, FALSE) * 'Car Purchase'!L26, "")</f>
        <v/>
      </c>
      <c r="M26" s="47" t="str">
        <f t="shared" si="0"/>
        <v/>
      </c>
      <c r="N26" s="47" t="str">
        <f t="shared" si="18"/>
        <v/>
      </c>
      <c r="O26" s="47" t="str">
        <f t="shared" si="1"/>
        <v/>
      </c>
      <c r="P26" s="51" t="str">
        <f>IF('Full Season Entries'!K27 &lt;&gt; "", IF('Full Season Entries'!K27 = "Bronze", -AJ26, VLOOKUP('Full Season Entries'!K27, driverCosts, 2, FALSE) * Z26), "")</f>
        <v/>
      </c>
      <c r="Q26" s="2" t="str">
        <f>IF('Full Season Entries'!L27 &lt;&gt; "", IF('Full Season Entries'!L27 = "Bronze", -AK26, VLOOKUP('Full Season Entries'!L27, driverCosts, 2, FALSE) * Z26), "")</f>
        <v/>
      </c>
      <c r="R26" s="2" t="str">
        <f>IF('Full Season Entries'!M27 &lt;&gt; "", IF('Full Season Entries'!M27 = "Bronze", -AL26, IF(AND(AD26 = 2, OR(AF26 = "DPi", AF26 = "GTLM")), VLOOKUP('Full Season Entries'!M27, driverCosts, 2, FALSE) * VLOOKUP(AF26, nasccEcCosts, 3, FALSE), IF(AD26 = 7, VLOOKUP('Full Season Entries'!M27, driverCosts, 2, FALSE) * VLOOKUP("ASM 210 Minutes of CoTA", oneOffs, 3, FALSE), VLOOKUP('Full Season Entries'!M27, driverCosts, 2, FALSE) * Z26))), "")</f>
        <v/>
      </c>
      <c r="S26" s="52" t="str">
        <f>IF('Full Season Entries'!N27 &lt;&gt; "", IF('Full Season Entries'!N27 = "Bronze", -AM26, VLOOKUP('Full Season Entries'!N27, driverCosts, 2, FALSE) * Z26), "")</f>
        <v/>
      </c>
      <c r="T26" s="51">
        <f t="shared" si="19"/>
        <v>0</v>
      </c>
      <c r="U26" s="2">
        <f t="shared" si="20"/>
        <v>0</v>
      </c>
      <c r="V26" s="52">
        <f t="shared" si="21"/>
        <v>0</v>
      </c>
      <c r="Y26" s="1" t="str">
        <f t="shared" si="22"/>
        <v/>
      </c>
      <c r="Z26" s="1">
        <f t="shared" si="23"/>
        <v>0</v>
      </c>
      <c r="AA26" s="1">
        <f t="shared" si="3"/>
        <v>0</v>
      </c>
      <c r="AC26" s="1" t="str">
        <f>'Full Season Entries'!J27</f>
        <v/>
      </c>
      <c r="AD26" s="1">
        <f>'Full Season Entries'!AF27</f>
        <v>0</v>
      </c>
      <c r="AE26" s="1">
        <f>'Full Season Entries'!AG27</f>
        <v>0</v>
      </c>
      <c r="AF26" s="1" t="str">
        <f>'Full Season Entries'!D27</f>
        <v/>
      </c>
      <c r="AH26" s="1" t="str">
        <f>IF(AND(IF(AD26 = 1, TRUE, FALSE), IF(AE26 = 1, TRUE, FALSE)), VLOOKUP('Full Season Entries'!G27, t_gemLMP1, 2, FALSE), IF(AND(IF(AD26 = 1, TRUE, FALSE), IF(AE26 = 2, TRUE, FALSE)), VLOOKUP('Full Season Entries'!G27, t_gemLMP2, 2, FALSE), IF(AND(IF(AD26 = 1, TRUE, FALSE), IF(AE26 = 3, TRUE, FALSE)), VLOOKUP('Full Season Entries'!G27, t_gemLMGTE, 2, FALSE), IF(AND(IF(AD26 = 1, TRUE, FALSE), IF(AE26 = 4, TRUE, FALSE)), VLOOKUP('Full Season Entries'!G27, t_gemLMGTE, 2, FALSE), IF(AND(IF(AD26 = 2, TRUE, FALSE), IF(AE26 = 1, TRUE, FALSE)), VLOOKUP('Full Season Entries'!G27, t_nasccDPi, 2, FALSE), IF(AND(IF(AD26 = 2, TRUE, FALSE), IF(AE26 = 2, TRUE, FALSE)), VLOOKUP('Full Season Entries'!G27, t_nasccLMP2, 2, FALSE), IF(AND(IF(AD26 = 2, TRUE, FALSE), IF(AE26 = 3, TRUE, FALSE)), VLOOKUP('Full Season Entries'!G27, t_nasccGTLM, 2, FALSE), IF(AND(IF(AD26 = 2, TRUE, FALSE), IF(AE26 = 4, TRUE, FALSE)), VLOOKUP('Full Season Entries'!G27, t_nasccGTD, 2, FALSE), IF(AND(IF(AD26 = 2.1, TRUE, FALSE), IF(AE26 = 1, TRUE, FALSE)), VLOOKUP('Full Season Entries'!G27, t_nasccDPi, 2, FALSE), IF(AND(IF(AD26 = 2.1, TRUE, FALSE), IF(AE26 = 2, TRUE, FALSE)), VLOOKUP('Full Season Entries'!G27, t_nasccLMP2, 2, FALSE), IF(AND(IF(AD26 = 2.1, TRUE, FALSE), IF(AE26 = 3, TRUE, FALSE)), VLOOKUP('Full Season Entries'!G27, t_nasccGTLM, 2, FALSE), IF(AND(IF(AD26 = 2.1, TRUE, FALSE), IF(AE26 = 4, TRUE, FALSE)), VLOOKUP('Full Season Entries'!G27, t_nasccGTD, 2, FALSE), IF(AND(IF(AD26 = 2.2, TRUE, FALSE), IF(AE26 = 1, TRUE, FALSE)), VLOOKUP('Full Season Entries'!G27, t_nasccDPi, 2, FALSE), IF(AND(IF(AD26 = 2.2, TRUE, FALSE), IF(AE26 = 2, TRUE, FALSE)), VLOOKUP('Full Season Entries'!G27, t_nasccLMP2, 2, FALSE), IF(AND(IF(AD26 = 2.2, TRUE, FALSE), IF(AE26 = 3, TRUE, FALSE)), VLOOKUP('Full Season Entries'!G27, t_nasccGTLM, 2, FALSE), IF(AND(IF(AD26 = 2.2, TRUE, FALSE), IF(AE26 = 4, TRUE, FALSE)), VLOOKUP('Full Season Entries'!G27, t_nasccGTD, 2, FALSE), IF(AND(IF(AD26 = 3, TRUE, FALSE), IF(AE26 = 1, TRUE, FALSE)), VLOOKUP('Full Season Entries'!G27, t_euemLMP2, 2, FALSE), IF(AND(IF(AD26 = 3, TRUE, FALSE), IF(AE26 = 2, TRUE, FALSE)), VLOOKUP('Full Season Entries'!G27, t_euemLMP3, 2, FALSE), IF(AND(IF(AD26 = 3, TRUE, FALSE), IF(AE26 = 3, TRUE, FALSE)), VLOOKUP('Full Season Entries'!G27, t_euemLMGTE, 2, FALSE), IF(AND(IF(AD26 = 4, TRUE, FALSE), IF(AE26 = 1, TRUE, FALSE)), VLOOKUP('Full Season Entries'!G27, t_wgtssGT3, 2, FALSE), IF(AND(IF(AD26 = 4, TRUE, FALSE), IF(AE26 = 2, TRUE, FALSE)), VLOOKUP('Full Season Entries'!G27, t_wgtssGT4, 2, FALSE), IF(AND(IF(AD26 = 5, TRUE, FALSE), IF(AE26 = 1, TRUE, FALSE)), VLOOKUP('Full Season Entries'!G27, t_wgtmGT3P, 2, FALSE), IF(AND(IF(AD26 = 5, TRUE, FALSE), IF(AE26 = 2, TRUE, FALSE)), VLOOKUP('Full Season Entries'!G27, t_wgtmGT3A, 2, FALSE), IF(AND(IF(AD26 = 5, TRUE, FALSE), IF(AE26 = 3, TRUE, FALSE)), VLOOKUP('Full Season Entries'!G27, t_wgtmGT4, 2, FALSE), IF(AND(IF(AD26 = 7, TRUE, FALSE), IF(AE26 = 1, TRUE, FALSE)), VLOOKUP('Full Season Entries'!G27, t_asmLMP3, 2, FALSE), IF(AND(IF(AD26 = 7, TRUE, FALSE), IF(AE26 = 2, TRUE, FALSE)), VLOOKUP('Full Season Entries'!G27, t_asmGT3, 2, FALSE), IF(AND(IF(AD26 = 7, TRUE, FALSE), IF(AE26 = 3, TRUE, FALSE)), VLOOKUP('Full Season Entries'!G27, t_asmGT4, 2, FALSE), "")))))))))))))))))))))))))))</f>
        <v/>
      </c>
      <c r="AJ26" s="1" t="str">
        <f t="shared" si="4"/>
        <v/>
      </c>
      <c r="AK26" s="1" t="str">
        <f t="shared" si="5"/>
        <v/>
      </c>
      <c r="AL26" s="1" t="str">
        <f t="shared" si="24"/>
        <v/>
      </c>
      <c r="AM26" s="1" t="str">
        <f t="shared" si="6"/>
        <v/>
      </c>
      <c r="AO26" s="1" t="str">
        <f>'Full Season Entries'!I27</f>
        <v/>
      </c>
      <c r="AQ26" s="1">
        <f t="shared" si="7"/>
        <v>0</v>
      </c>
      <c r="AR26" s="1">
        <f>'Full Season Entries'!P27</f>
        <v>0</v>
      </c>
      <c r="AS26" s="1">
        <f>IF('Full Season Entries'!Q27 &lt;&gt; "", REPLACE('Full Season Entries'!Q27, 1, 1, "Level "), 0)</f>
        <v>0</v>
      </c>
      <c r="AT26" s="1">
        <f t="shared" si="8"/>
        <v>0</v>
      </c>
      <c r="AU26" s="1">
        <f>'Full Season Entries'!R27</f>
        <v>0</v>
      </c>
      <c r="AV26" s="1">
        <f>IF('Full Season Entries'!S27 &lt;&gt; "", REPLACE('Full Season Entries'!S27, 1, 1, "Level "), 0)</f>
        <v>0</v>
      </c>
      <c r="AW26" s="1">
        <f>IF('Full Season Entries'!T27 &lt;&gt; "", VLOOKUP('Full Season Entries'!T27, setupCostsReliability, 2, FALSE), 0)</f>
        <v>0</v>
      </c>
      <c r="AZ26" s="47" t="str">
        <f>IF('One-Off Entries'!I27 = "Yes", 0, IF(BQ26 &lt;&gt; "", IF(BQ26 = 1, VLOOKUP(BT26, gemCosts, 5, FALSE), IF(BQ26 = 2, VLOOKUP(BT26, nasccCosts, 5, FALSE), IF(BQ26 = 2.1, VLOOKUP(BT26, nasccScCosts, 5, FALSE), IF(BQ26 = 2.2, VLOOKUP(BT26, nasccEcCosts, 5, FALSE), IF(BQ26 = 3, VLOOKUP(BT26, euemCosts, 5, FALSE), IF(BQ26 = 4, VLOOKUP(BT26, wgtssCosts, 5, FALSE), IF(BQ26 = 5, VLOOKUP(BT26, wgtmCosts, 5, FALSE), IF(BQ26 = 6, VLOOKUP(BT26, wpcCosts, 5, FALSE), IF(BQ26 = 7, VLOOKUP(BT26, asmCosts, 5, FALSE), "")))))))))))</f>
        <v/>
      </c>
      <c r="BA26" s="47" t="str">
        <f t="shared" si="25"/>
        <v/>
      </c>
      <c r="BB26" s="47" t="str">
        <f t="shared" si="26"/>
        <v/>
      </c>
      <c r="BC26" s="51" t="str">
        <f>IF('One-Off Entries'!M27 &lt;&gt; "", IF('One-Off Entries'!M27 = "Bronze", -BX26, VLOOKUP('One-Off Entries'!M27, driverCosts, 2, FALSE) * BM26), "")</f>
        <v/>
      </c>
      <c r="BD26" s="2" t="str">
        <f>IF('One-Off Entries'!N27 &lt;&gt; "", IF('One-Off Entries'!N27 = "Bronze", -BY26, VLOOKUP('One-Off Entries'!N27, driverCosts, 2, FALSE) * BM26), "")</f>
        <v/>
      </c>
      <c r="BE26" s="2" t="str">
        <f>IF('One-Off Entries'!O27 &lt;&gt; "", IF('One-Off Entries'!O27 = "Bronze", -BZ26, VLOOKUP('One-Off Entries'!O27, driverCosts, 2, FALSE) * BM26), "")</f>
        <v/>
      </c>
      <c r="BF26" s="52" t="str">
        <f>IF('One-Off Entries'!P27 &lt;&gt; "", IF('One-Off Entries'!P27 = "Bronze", -CA26, VLOOKUP('One-Off Entries'!P27, driverCosts, 2, FALSE) * BM26), "")</f>
        <v/>
      </c>
      <c r="BG26" s="51">
        <f t="shared" si="27"/>
        <v>0</v>
      </c>
      <c r="BH26" s="2">
        <f t="shared" si="28"/>
        <v>0</v>
      </c>
      <c r="BI26" s="52">
        <f t="shared" si="29"/>
        <v>0</v>
      </c>
      <c r="BL26" s="1" t="str">
        <f t="shared" si="9"/>
        <v/>
      </c>
      <c r="BM26" s="1" t="str">
        <f t="shared" si="10"/>
        <v/>
      </c>
      <c r="BO26" s="1">
        <f>'One-Off Entries'!C27</f>
        <v>0</v>
      </c>
      <c r="BP26" s="1" t="str">
        <f>'One-Off Entries'!L27</f>
        <v/>
      </c>
      <c r="BQ26" s="1">
        <f>'One-Off Entries'!AI27</f>
        <v>0</v>
      </c>
      <c r="BR26" s="1">
        <f>'One-Off Entries'!AJ27</f>
        <v>0</v>
      </c>
      <c r="BT26" s="1" t="str">
        <f>'One-Off Entries'!E27</f>
        <v/>
      </c>
      <c r="BV26" s="1" t="str">
        <f>IF(AND(IF(BQ26 = 1, TRUE, FALSE), IF(BR26 = 1, TRUE, FALSE)), VLOOKUP('One-Off Entries'!H27, t_gemLMP1, 2, FALSE), IF(AND(IF(BQ26 = 1, TRUE, FALSE), IF(BR26 = 2, TRUE, FALSE)), VLOOKUP('One-Off Entries'!H27, t_gemLMP2, 2, FALSE), IF(AND(IF(BQ26 = 1, TRUE, FALSE), IF(BR26 = 3, TRUE, FALSE)), VLOOKUP('One-Off Entries'!H27, t_gemLMGTE, 2, FALSE), IF(AND(IF(BQ26 = 1, TRUE, FALSE), IF(BR26 = 4, TRUE, FALSE)), VLOOKUP('One-Off Entries'!H27, t_gemLMGTE, 2, FALSE), IF(AND(IF(BQ26 = 2, TRUE, FALSE), IF(BR26 = 1, TRUE, FALSE)), VLOOKUP('One-Off Entries'!H27, t_nasccDPi, 2, FALSE), IF(AND(IF(BQ26 = 2, TRUE, FALSE), IF(BR26 = 2, TRUE, FALSE)), VLOOKUP('One-Off Entries'!H27, t_nasccLMP2, 2, FALSE), IF(AND(IF(BQ26 = 2, TRUE, FALSE), IF(BR26 = 3, TRUE, FALSE)), VLOOKUP('One-Off Entries'!H27, t_nasccGTLM, 2, FALSE), IF(AND(IF(BQ26 = 2, TRUE, FALSE), IF(BR26 = 4, TRUE, FALSE)), VLOOKUP('One-Off Entries'!H27, t_nasccGTD, 2, FALSE), IF(AND(IF(BQ26 = 2.1, TRUE, FALSE), IF(BR26 = 1, TRUE, FALSE)), VLOOKUP('One-Off Entries'!H27, t_nasccDPi, 2, FALSE), IF(AND(IF(BQ26 = 2.1, TRUE, FALSE), IF(BR26 = 2, TRUE, FALSE)), VLOOKUP('One-Off Entries'!H27, t_nasccLMP2, 2, FALSE), IF(AND(IF(BQ26 = 2.1, TRUE, FALSE), IF(BR26 = 3, TRUE, FALSE)), VLOOKUP('One-Off Entries'!H27, t_nasccGTLM, 2, FALSE), IF(AND(IF(BQ26 = 2.1, TRUE, FALSE), IF(BR26 = 4, TRUE, FALSE)), VLOOKUP('One-Off Entries'!H27, t_nasccGTD, 2, FALSE), IF(AND(IF(BQ26 = 2.2, TRUE, FALSE), IF(BR26 = 1, TRUE, FALSE)), VLOOKUP('One-Off Entries'!H27, t_nasccDPi, 2, FALSE), IF(AND(IF(BQ26 = 2.2, TRUE, FALSE), IF(BR26 = 2, TRUE, FALSE)), VLOOKUP('One-Off Entries'!H27, t_nasccLMP2, 2, FALSE), IF(AND(IF(BQ26 = 2.2, TRUE, FALSE), IF(BR26 = 3, TRUE, FALSE)), VLOOKUP('One-Off Entries'!H27, t_nasccGTLM, 2, FALSE), IF(AND(IF(BQ26 = 2.2, TRUE, FALSE), IF(BR26 = 4, TRUE, FALSE)), VLOOKUP('One-Off Entries'!H27, t_nasccGTD, 2, FALSE), IF(AND(IF(BQ26 = 3, TRUE, FALSE), IF(BR26 = 1, TRUE, FALSE)), VLOOKUP('One-Off Entries'!H27, t_euemLMP2, 2, FALSE), IF(AND(IF(BQ26 = 3, TRUE, FALSE), IF(BR26 = 2, TRUE, FALSE)), VLOOKUP('One-Off Entries'!H27, t_euemLMP3, 2, FALSE), IF(AND(IF(BQ26 = 3, TRUE, FALSE), IF(BR26 = 3, TRUE, FALSE)), VLOOKUP('One-Off Entries'!H27, t_euemLMGTE, 2, FALSE), IF(AND(IF(BQ26 = 4, TRUE, FALSE), IF(BR26 = 1, TRUE, FALSE)), VLOOKUP('One-Off Entries'!H27, t_wgtssGT3, 2, FALSE), IF(AND(IF(BQ26 = 4, TRUE, FALSE), IF(BR26 = 2, TRUE, FALSE)), VLOOKUP('One-Off Entries'!H27, t_wgtssGT4, 2, FALSE), IF(AND(IF(BQ26 = 5, TRUE, FALSE), IF(BR26 = 1, TRUE, FALSE)), VLOOKUP('One-Off Entries'!H27, t_wgtmGT3P, 2, FALSE), IF(AND(IF(BQ26 = 5, TRUE, FALSE), IF(BR26 = 2, TRUE, FALSE)), VLOOKUP('One-Off Entries'!H27, t_wgtmGT3A, 2, FALSE), IF(AND(IF(BQ26 = 5, TRUE, FALSE), IF(BR26 = 3, TRUE, FALSE)), VLOOKUP('One-Off Entries'!H27, t_wgtmGT4, 2, FALSE), IF(AND(IF(BQ26 = 7, TRUE, FALSE), IF(BR26 = 1, TRUE, FALSE)), VLOOKUP('One-Off Entries'!H27, t_asmLMP3, 2, FALSE), IF(AND(IF(BQ26 = 7, TRUE, FALSE), IF(BR26 = 2, TRUE, FALSE)), VLOOKUP('One-Off Entries'!H27, t_asmGT3, 2, FALSE), IF(AND(IF(BQ26 = 7, TRUE, FALSE), IF(BR26 = 3, TRUE, FALSE)), VLOOKUP('One-Off Entries'!H27, t_asmGT4, 2, FALSE), "")))))))))))))))))))))))))))</f>
        <v/>
      </c>
      <c r="BX26" s="1" t="str">
        <f t="shared" si="11"/>
        <v/>
      </c>
      <c r="BY26" s="1" t="str">
        <f t="shared" si="12"/>
        <v/>
      </c>
      <c r="BZ26" s="1" t="str">
        <f t="shared" si="13"/>
        <v/>
      </c>
      <c r="CA26" s="1" t="str">
        <f t="shared" si="14"/>
        <v/>
      </c>
      <c r="CC26" s="1" t="str">
        <f>'One-Off Entries'!K27</f>
        <v/>
      </c>
      <c r="CD26" s="1">
        <f t="shared" si="15"/>
        <v>0</v>
      </c>
      <c r="CE26" s="1">
        <f>'One-Off Entries'!R27</f>
        <v>0</v>
      </c>
      <c r="CF26" s="1">
        <f>IF('One-Off Entries'!S27 &lt;&gt; "", REPLACE('One-Off Entries'!S27, 1, 1, "Level "), 0)</f>
        <v>0</v>
      </c>
      <c r="CG26" s="1">
        <f t="shared" si="16"/>
        <v>0</v>
      </c>
      <c r="CH26" s="1">
        <f>'One-Off Entries'!T27</f>
        <v>0</v>
      </c>
      <c r="CI26" s="1">
        <f>IF('One-Off Entries'!U27 &lt;&gt; "", REPLACE('One-Off Entries'!U27, 1, 1, "Level "), 0)</f>
        <v>0</v>
      </c>
      <c r="CJ26" s="1">
        <f>IF('One-Off Entries'!V27 &lt;&gt; "", VLOOKUP('One-Off Entries'!V27, setupCostsReliability, 2, FALSE), 0)</f>
        <v>0</v>
      </c>
    </row>
    <row r="27" spans="7:88" ht="18" customHeight="1" x14ac:dyDescent="0.3">
      <c r="G27" s="47" t="str">
        <f>IF('Car Purchase'!D27 &lt;&gt; "", VLOOKUP('Car Purchase'!D27, modelData, 3, FALSE), "")</f>
        <v/>
      </c>
      <c r="H27" s="51" t="str">
        <f>IF('Car Purchase'!I27 &lt;&gt; "", VLOOKUP('Car Purchase'!I27, modelData, 4, FALSE) * 'Car Purchase'!J27, "")</f>
        <v/>
      </c>
      <c r="I27" s="2" t="str">
        <f>IF('Car Purchase'!I27 &lt;&gt; "", VLOOKUP('Car Purchase'!I27, modelData, 5, FALSE) * 'Car Purchase'!K27, "")</f>
        <v/>
      </c>
      <c r="J27" s="52" t="str">
        <f>IF('Car Purchase'!I27 &lt;&gt; "", VLOOKUP('Car Purchase'!I27, modelData, 6, FALSE) * 'Car Purchase'!L27, "")</f>
        <v/>
      </c>
      <c r="M27" s="47" t="str">
        <f t="shared" si="0"/>
        <v/>
      </c>
      <c r="N27" s="47" t="str">
        <f t="shared" si="18"/>
        <v/>
      </c>
      <c r="O27" s="47" t="str">
        <f t="shared" si="1"/>
        <v/>
      </c>
      <c r="P27" s="51" t="str">
        <f>IF('Full Season Entries'!K28 &lt;&gt; "", IF('Full Season Entries'!K28 = "Bronze", -AJ27, VLOOKUP('Full Season Entries'!K28, driverCosts, 2, FALSE) * Z27), "")</f>
        <v/>
      </c>
      <c r="Q27" s="2" t="str">
        <f>IF('Full Season Entries'!L28 &lt;&gt; "", IF('Full Season Entries'!L28 = "Bronze", -AK27, VLOOKUP('Full Season Entries'!L28, driverCosts, 2, FALSE) * Z27), "")</f>
        <v/>
      </c>
      <c r="R27" s="2" t="str">
        <f>IF('Full Season Entries'!M28 &lt;&gt; "", IF('Full Season Entries'!M28 = "Bronze", -AL27, IF(AND(AD27 = 2, OR(AF27 = "DPi", AF27 = "GTLM")), VLOOKUP('Full Season Entries'!M28, driverCosts, 2, FALSE) * VLOOKUP(AF27, nasccEcCosts, 3, FALSE), IF(AD27 = 7, VLOOKUP('Full Season Entries'!M28, driverCosts, 2, FALSE) * VLOOKUP("ASM 210 Minutes of CoTA", oneOffs, 3, FALSE), VLOOKUP('Full Season Entries'!M28, driverCosts, 2, FALSE) * Z27))), "")</f>
        <v/>
      </c>
      <c r="S27" s="52" t="str">
        <f>IF('Full Season Entries'!N28 &lt;&gt; "", IF('Full Season Entries'!N28 = "Bronze", -AM27, VLOOKUP('Full Season Entries'!N28, driverCosts, 2, FALSE) * Z27), "")</f>
        <v/>
      </c>
      <c r="T27" s="51">
        <f t="shared" si="19"/>
        <v>0</v>
      </c>
      <c r="U27" s="2">
        <f t="shared" si="20"/>
        <v>0</v>
      </c>
      <c r="V27" s="52">
        <f t="shared" si="21"/>
        <v>0</v>
      </c>
      <c r="Y27" s="1" t="str">
        <f t="shared" si="22"/>
        <v/>
      </c>
      <c r="Z27" s="1">
        <f t="shared" si="23"/>
        <v>0</v>
      </c>
      <c r="AA27" s="1">
        <f t="shared" si="3"/>
        <v>0</v>
      </c>
      <c r="AC27" s="1" t="str">
        <f>'Full Season Entries'!J28</f>
        <v/>
      </c>
      <c r="AD27" s="1">
        <f>'Full Season Entries'!AF28</f>
        <v>0</v>
      </c>
      <c r="AE27" s="1">
        <f>'Full Season Entries'!AG28</f>
        <v>0</v>
      </c>
      <c r="AF27" s="1" t="str">
        <f>'Full Season Entries'!D28</f>
        <v/>
      </c>
      <c r="AH27" s="1" t="str">
        <f>IF(AND(IF(AD27 = 1, TRUE, FALSE), IF(AE27 = 1, TRUE, FALSE)), VLOOKUP('Full Season Entries'!G28, t_gemLMP1, 2, FALSE), IF(AND(IF(AD27 = 1, TRUE, FALSE), IF(AE27 = 2, TRUE, FALSE)), VLOOKUP('Full Season Entries'!G28, t_gemLMP2, 2, FALSE), IF(AND(IF(AD27 = 1, TRUE, FALSE), IF(AE27 = 3, TRUE, FALSE)), VLOOKUP('Full Season Entries'!G28, t_gemLMGTE, 2, FALSE), IF(AND(IF(AD27 = 1, TRUE, FALSE), IF(AE27 = 4, TRUE, FALSE)), VLOOKUP('Full Season Entries'!G28, t_gemLMGTE, 2, FALSE), IF(AND(IF(AD27 = 2, TRUE, FALSE), IF(AE27 = 1, TRUE, FALSE)), VLOOKUP('Full Season Entries'!G28, t_nasccDPi, 2, FALSE), IF(AND(IF(AD27 = 2, TRUE, FALSE), IF(AE27 = 2, TRUE, FALSE)), VLOOKUP('Full Season Entries'!G28, t_nasccLMP2, 2, FALSE), IF(AND(IF(AD27 = 2, TRUE, FALSE), IF(AE27 = 3, TRUE, FALSE)), VLOOKUP('Full Season Entries'!G28, t_nasccGTLM, 2, FALSE), IF(AND(IF(AD27 = 2, TRUE, FALSE), IF(AE27 = 4, TRUE, FALSE)), VLOOKUP('Full Season Entries'!G28, t_nasccGTD, 2, FALSE), IF(AND(IF(AD27 = 2.1, TRUE, FALSE), IF(AE27 = 1, TRUE, FALSE)), VLOOKUP('Full Season Entries'!G28, t_nasccDPi, 2, FALSE), IF(AND(IF(AD27 = 2.1, TRUE, FALSE), IF(AE27 = 2, TRUE, FALSE)), VLOOKUP('Full Season Entries'!G28, t_nasccLMP2, 2, FALSE), IF(AND(IF(AD27 = 2.1, TRUE, FALSE), IF(AE27 = 3, TRUE, FALSE)), VLOOKUP('Full Season Entries'!G28, t_nasccGTLM, 2, FALSE), IF(AND(IF(AD27 = 2.1, TRUE, FALSE), IF(AE27 = 4, TRUE, FALSE)), VLOOKUP('Full Season Entries'!G28, t_nasccGTD, 2, FALSE), IF(AND(IF(AD27 = 2.2, TRUE, FALSE), IF(AE27 = 1, TRUE, FALSE)), VLOOKUP('Full Season Entries'!G28, t_nasccDPi, 2, FALSE), IF(AND(IF(AD27 = 2.2, TRUE, FALSE), IF(AE27 = 2, TRUE, FALSE)), VLOOKUP('Full Season Entries'!G28, t_nasccLMP2, 2, FALSE), IF(AND(IF(AD27 = 2.2, TRUE, FALSE), IF(AE27 = 3, TRUE, FALSE)), VLOOKUP('Full Season Entries'!G28, t_nasccGTLM, 2, FALSE), IF(AND(IF(AD27 = 2.2, TRUE, FALSE), IF(AE27 = 4, TRUE, FALSE)), VLOOKUP('Full Season Entries'!G28, t_nasccGTD, 2, FALSE), IF(AND(IF(AD27 = 3, TRUE, FALSE), IF(AE27 = 1, TRUE, FALSE)), VLOOKUP('Full Season Entries'!G28, t_euemLMP2, 2, FALSE), IF(AND(IF(AD27 = 3, TRUE, FALSE), IF(AE27 = 2, TRUE, FALSE)), VLOOKUP('Full Season Entries'!G28, t_euemLMP3, 2, FALSE), IF(AND(IF(AD27 = 3, TRUE, FALSE), IF(AE27 = 3, TRUE, FALSE)), VLOOKUP('Full Season Entries'!G28, t_euemLMGTE, 2, FALSE), IF(AND(IF(AD27 = 4, TRUE, FALSE), IF(AE27 = 1, TRUE, FALSE)), VLOOKUP('Full Season Entries'!G28, t_wgtssGT3, 2, FALSE), IF(AND(IF(AD27 = 4, TRUE, FALSE), IF(AE27 = 2, TRUE, FALSE)), VLOOKUP('Full Season Entries'!G28, t_wgtssGT4, 2, FALSE), IF(AND(IF(AD27 = 5, TRUE, FALSE), IF(AE27 = 1, TRUE, FALSE)), VLOOKUP('Full Season Entries'!G28, t_wgtmGT3P, 2, FALSE), IF(AND(IF(AD27 = 5, TRUE, FALSE), IF(AE27 = 2, TRUE, FALSE)), VLOOKUP('Full Season Entries'!G28, t_wgtmGT3A, 2, FALSE), IF(AND(IF(AD27 = 5, TRUE, FALSE), IF(AE27 = 3, TRUE, FALSE)), VLOOKUP('Full Season Entries'!G28, t_wgtmGT4, 2, FALSE), IF(AND(IF(AD27 = 7, TRUE, FALSE), IF(AE27 = 1, TRUE, FALSE)), VLOOKUP('Full Season Entries'!G28, t_asmLMP3, 2, FALSE), IF(AND(IF(AD27 = 7, TRUE, FALSE), IF(AE27 = 2, TRUE, FALSE)), VLOOKUP('Full Season Entries'!G28, t_asmGT3, 2, FALSE), IF(AND(IF(AD27 = 7, TRUE, FALSE), IF(AE27 = 3, TRUE, FALSE)), VLOOKUP('Full Season Entries'!G28, t_asmGT4, 2, FALSE), "")))))))))))))))))))))))))))</f>
        <v/>
      </c>
      <c r="AJ27" s="1" t="str">
        <f t="shared" si="4"/>
        <v/>
      </c>
      <c r="AK27" s="1" t="str">
        <f t="shared" si="5"/>
        <v/>
      </c>
      <c r="AL27" s="1" t="str">
        <f t="shared" si="24"/>
        <v/>
      </c>
      <c r="AM27" s="1" t="str">
        <f t="shared" si="6"/>
        <v/>
      </c>
      <c r="AO27" s="1" t="str">
        <f>'Full Season Entries'!I28</f>
        <v/>
      </c>
      <c r="AQ27" s="1">
        <f t="shared" si="7"/>
        <v>0</v>
      </c>
      <c r="AR27" s="1">
        <f>'Full Season Entries'!P28</f>
        <v>0</v>
      </c>
      <c r="AS27" s="1">
        <f>IF('Full Season Entries'!Q28 &lt;&gt; "", REPLACE('Full Season Entries'!Q28, 1, 1, "Level "), 0)</f>
        <v>0</v>
      </c>
      <c r="AT27" s="1">
        <f t="shared" si="8"/>
        <v>0</v>
      </c>
      <c r="AU27" s="1">
        <f>'Full Season Entries'!R28</f>
        <v>0</v>
      </c>
      <c r="AV27" s="1">
        <f>IF('Full Season Entries'!S28 &lt;&gt; "", REPLACE('Full Season Entries'!S28, 1, 1, "Level "), 0)</f>
        <v>0</v>
      </c>
      <c r="AW27" s="1">
        <f>IF('Full Season Entries'!T28 &lt;&gt; "", VLOOKUP('Full Season Entries'!T28, setupCostsReliability, 2, FALSE), 0)</f>
        <v>0</v>
      </c>
      <c r="AZ27" s="47" t="str">
        <f>IF('One-Off Entries'!I28 = "Yes", 0, IF(BQ27 &lt;&gt; "", IF(BQ27 = 1, VLOOKUP(BT27, gemCosts, 5, FALSE), IF(BQ27 = 2, VLOOKUP(BT27, nasccCosts, 5, FALSE), IF(BQ27 = 2.1, VLOOKUP(BT27, nasccScCosts, 5, FALSE), IF(BQ27 = 2.2, VLOOKUP(BT27, nasccEcCosts, 5, FALSE), IF(BQ27 = 3, VLOOKUP(BT27, euemCosts, 5, FALSE), IF(BQ27 = 4, VLOOKUP(BT27, wgtssCosts, 5, FALSE), IF(BQ27 = 5, VLOOKUP(BT27, wgtmCosts, 5, FALSE), IF(BQ27 = 6, VLOOKUP(BT27, wpcCosts, 5, FALSE), IF(BQ27 = 7, VLOOKUP(BT27, asmCosts, 5, FALSE), "")))))))))))</f>
        <v/>
      </c>
      <c r="BA27" s="47" t="str">
        <f t="shared" si="25"/>
        <v/>
      </c>
      <c r="BB27" s="47" t="str">
        <f t="shared" si="26"/>
        <v/>
      </c>
      <c r="BC27" s="51" t="str">
        <f>IF('One-Off Entries'!M28 &lt;&gt; "", IF('One-Off Entries'!M28 = "Bronze", -BX27, VLOOKUP('One-Off Entries'!M28, driverCosts, 2, FALSE) * BM27), "")</f>
        <v/>
      </c>
      <c r="BD27" s="2" t="str">
        <f>IF('One-Off Entries'!N28 &lt;&gt; "", IF('One-Off Entries'!N28 = "Bronze", -BY27, VLOOKUP('One-Off Entries'!N28, driverCosts, 2, FALSE) * BM27), "")</f>
        <v/>
      </c>
      <c r="BE27" s="2" t="str">
        <f>IF('One-Off Entries'!O28 &lt;&gt; "", IF('One-Off Entries'!O28 = "Bronze", -BZ27, VLOOKUP('One-Off Entries'!O28, driverCosts, 2, FALSE) * BM27), "")</f>
        <v/>
      </c>
      <c r="BF27" s="52" t="str">
        <f>IF('One-Off Entries'!P28 &lt;&gt; "", IF('One-Off Entries'!P28 = "Bronze", -CA27, VLOOKUP('One-Off Entries'!P28, driverCosts, 2, FALSE) * BM27), "")</f>
        <v/>
      </c>
      <c r="BG27" s="51">
        <f t="shared" si="27"/>
        <v>0</v>
      </c>
      <c r="BH27" s="2">
        <f t="shared" si="28"/>
        <v>0</v>
      </c>
      <c r="BI27" s="52">
        <f t="shared" si="29"/>
        <v>0</v>
      </c>
      <c r="BL27" s="1" t="str">
        <f t="shared" si="9"/>
        <v/>
      </c>
      <c r="BM27" s="1" t="str">
        <f t="shared" si="10"/>
        <v/>
      </c>
      <c r="BO27" s="1">
        <f>'One-Off Entries'!C28</f>
        <v>0</v>
      </c>
      <c r="BP27" s="1" t="str">
        <f>'One-Off Entries'!L28</f>
        <v/>
      </c>
      <c r="BQ27" s="1">
        <f>'One-Off Entries'!AI28</f>
        <v>0</v>
      </c>
      <c r="BR27" s="1">
        <f>'One-Off Entries'!AJ28</f>
        <v>0</v>
      </c>
      <c r="BT27" s="1" t="str">
        <f>'One-Off Entries'!E28</f>
        <v/>
      </c>
      <c r="BV27" s="1" t="str">
        <f>IF(AND(IF(BQ27 = 1, TRUE, FALSE), IF(BR27 = 1, TRUE, FALSE)), VLOOKUP('One-Off Entries'!H28, t_gemLMP1, 2, FALSE), IF(AND(IF(BQ27 = 1, TRUE, FALSE), IF(BR27 = 2, TRUE, FALSE)), VLOOKUP('One-Off Entries'!H28, t_gemLMP2, 2, FALSE), IF(AND(IF(BQ27 = 1, TRUE, FALSE), IF(BR27 = 3, TRUE, FALSE)), VLOOKUP('One-Off Entries'!H28, t_gemLMGTE, 2, FALSE), IF(AND(IF(BQ27 = 1, TRUE, FALSE), IF(BR27 = 4, TRUE, FALSE)), VLOOKUP('One-Off Entries'!H28, t_gemLMGTE, 2, FALSE), IF(AND(IF(BQ27 = 2, TRUE, FALSE), IF(BR27 = 1, TRUE, FALSE)), VLOOKUP('One-Off Entries'!H28, t_nasccDPi, 2, FALSE), IF(AND(IF(BQ27 = 2, TRUE, FALSE), IF(BR27 = 2, TRUE, FALSE)), VLOOKUP('One-Off Entries'!H28, t_nasccLMP2, 2, FALSE), IF(AND(IF(BQ27 = 2, TRUE, FALSE), IF(BR27 = 3, TRUE, FALSE)), VLOOKUP('One-Off Entries'!H28, t_nasccGTLM, 2, FALSE), IF(AND(IF(BQ27 = 2, TRUE, FALSE), IF(BR27 = 4, TRUE, FALSE)), VLOOKUP('One-Off Entries'!H28, t_nasccGTD, 2, FALSE), IF(AND(IF(BQ27 = 2.1, TRUE, FALSE), IF(BR27 = 1, TRUE, FALSE)), VLOOKUP('One-Off Entries'!H28, t_nasccDPi, 2, FALSE), IF(AND(IF(BQ27 = 2.1, TRUE, FALSE), IF(BR27 = 2, TRUE, FALSE)), VLOOKUP('One-Off Entries'!H28, t_nasccLMP2, 2, FALSE), IF(AND(IF(BQ27 = 2.1, TRUE, FALSE), IF(BR27 = 3, TRUE, FALSE)), VLOOKUP('One-Off Entries'!H28, t_nasccGTLM, 2, FALSE), IF(AND(IF(BQ27 = 2.1, TRUE, FALSE), IF(BR27 = 4, TRUE, FALSE)), VLOOKUP('One-Off Entries'!H28, t_nasccGTD, 2, FALSE), IF(AND(IF(BQ27 = 2.2, TRUE, FALSE), IF(BR27 = 1, TRUE, FALSE)), VLOOKUP('One-Off Entries'!H28, t_nasccDPi, 2, FALSE), IF(AND(IF(BQ27 = 2.2, TRUE, FALSE), IF(BR27 = 2, TRUE, FALSE)), VLOOKUP('One-Off Entries'!H28, t_nasccLMP2, 2, FALSE), IF(AND(IF(BQ27 = 2.2, TRUE, FALSE), IF(BR27 = 3, TRUE, FALSE)), VLOOKUP('One-Off Entries'!H28, t_nasccGTLM, 2, FALSE), IF(AND(IF(BQ27 = 2.2, TRUE, FALSE), IF(BR27 = 4, TRUE, FALSE)), VLOOKUP('One-Off Entries'!H28, t_nasccGTD, 2, FALSE), IF(AND(IF(BQ27 = 3, TRUE, FALSE), IF(BR27 = 1, TRUE, FALSE)), VLOOKUP('One-Off Entries'!H28, t_euemLMP2, 2, FALSE), IF(AND(IF(BQ27 = 3, TRUE, FALSE), IF(BR27 = 2, TRUE, FALSE)), VLOOKUP('One-Off Entries'!H28, t_euemLMP3, 2, FALSE), IF(AND(IF(BQ27 = 3, TRUE, FALSE), IF(BR27 = 3, TRUE, FALSE)), VLOOKUP('One-Off Entries'!H28, t_euemLMGTE, 2, FALSE), IF(AND(IF(BQ27 = 4, TRUE, FALSE), IF(BR27 = 1, TRUE, FALSE)), VLOOKUP('One-Off Entries'!H28, t_wgtssGT3, 2, FALSE), IF(AND(IF(BQ27 = 4, TRUE, FALSE), IF(BR27 = 2, TRUE, FALSE)), VLOOKUP('One-Off Entries'!H28, t_wgtssGT4, 2, FALSE), IF(AND(IF(BQ27 = 5, TRUE, FALSE), IF(BR27 = 1, TRUE, FALSE)), VLOOKUP('One-Off Entries'!H28, t_wgtmGT3P, 2, FALSE), IF(AND(IF(BQ27 = 5, TRUE, FALSE), IF(BR27 = 2, TRUE, FALSE)), VLOOKUP('One-Off Entries'!H28, t_wgtmGT3A, 2, FALSE), IF(AND(IF(BQ27 = 5, TRUE, FALSE), IF(BR27 = 3, TRUE, FALSE)), VLOOKUP('One-Off Entries'!H28, t_wgtmGT4, 2, FALSE), IF(AND(IF(BQ27 = 7, TRUE, FALSE), IF(BR27 = 1, TRUE, FALSE)), VLOOKUP('One-Off Entries'!H28, t_asmLMP3, 2, FALSE), IF(AND(IF(BQ27 = 7, TRUE, FALSE), IF(BR27 = 2, TRUE, FALSE)), VLOOKUP('One-Off Entries'!H28, t_asmGT3, 2, FALSE), IF(AND(IF(BQ27 = 7, TRUE, FALSE), IF(BR27 = 3, TRUE, FALSE)), VLOOKUP('One-Off Entries'!H28, t_asmGT4, 2, FALSE), "")))))))))))))))))))))))))))</f>
        <v/>
      </c>
      <c r="BX27" s="1" t="str">
        <f t="shared" si="11"/>
        <v/>
      </c>
      <c r="BY27" s="1" t="str">
        <f t="shared" si="12"/>
        <v/>
      </c>
      <c r="BZ27" s="1" t="str">
        <f t="shared" si="13"/>
        <v/>
      </c>
      <c r="CA27" s="1" t="str">
        <f t="shared" si="14"/>
        <v/>
      </c>
      <c r="CC27" s="1" t="str">
        <f>'One-Off Entries'!K28</f>
        <v/>
      </c>
      <c r="CD27" s="1">
        <f t="shared" si="15"/>
        <v>0</v>
      </c>
      <c r="CE27" s="1">
        <f>'One-Off Entries'!R28</f>
        <v>0</v>
      </c>
      <c r="CF27" s="1">
        <f>IF('One-Off Entries'!S28 &lt;&gt; "", REPLACE('One-Off Entries'!S28, 1, 1, "Level "), 0)</f>
        <v>0</v>
      </c>
      <c r="CG27" s="1">
        <f t="shared" si="16"/>
        <v>0</v>
      </c>
      <c r="CH27" s="1">
        <f>'One-Off Entries'!T28</f>
        <v>0</v>
      </c>
      <c r="CI27" s="1">
        <f>IF('One-Off Entries'!U28 &lt;&gt; "", REPLACE('One-Off Entries'!U28, 1, 1, "Level "), 0)</f>
        <v>0</v>
      </c>
      <c r="CJ27" s="1">
        <f>IF('One-Off Entries'!V28 &lt;&gt; "", VLOOKUP('One-Off Entries'!V28, setupCostsReliability, 2, FALSE), 0)</f>
        <v>0</v>
      </c>
    </row>
    <row r="28" spans="7:88" ht="18" customHeight="1" x14ac:dyDescent="0.3">
      <c r="G28" s="47" t="str">
        <f>IF('Car Purchase'!D28 &lt;&gt; "", VLOOKUP('Car Purchase'!D28, modelData, 3, FALSE), "")</f>
        <v/>
      </c>
      <c r="H28" s="51" t="str">
        <f>IF('Car Purchase'!I28 &lt;&gt; "", VLOOKUP('Car Purchase'!I28, modelData, 4, FALSE) * 'Car Purchase'!J28, "")</f>
        <v/>
      </c>
      <c r="I28" s="2" t="str">
        <f>IF('Car Purchase'!I28 &lt;&gt; "", VLOOKUP('Car Purchase'!I28, modelData, 5, FALSE) * 'Car Purchase'!K28, "")</f>
        <v/>
      </c>
      <c r="J28" s="52" t="str">
        <f>IF('Car Purchase'!I28 &lt;&gt; "", VLOOKUP('Car Purchase'!I28, modelData, 6, FALSE) * 'Car Purchase'!L28, "")</f>
        <v/>
      </c>
      <c r="M28" s="47" t="str">
        <f t="shared" si="0"/>
        <v/>
      </c>
      <c r="N28" s="47" t="str">
        <f t="shared" si="18"/>
        <v/>
      </c>
      <c r="O28" s="47" t="str">
        <f t="shared" si="1"/>
        <v/>
      </c>
      <c r="P28" s="51" t="str">
        <f>IF('Full Season Entries'!K29 &lt;&gt; "", IF('Full Season Entries'!K29 = "Bronze", -AJ28, VLOOKUP('Full Season Entries'!K29, driverCosts, 2, FALSE) * Z28), "")</f>
        <v/>
      </c>
      <c r="Q28" s="2" t="str">
        <f>IF('Full Season Entries'!L29 &lt;&gt; "", IF('Full Season Entries'!L29 = "Bronze", -AK28, VLOOKUP('Full Season Entries'!L29, driverCosts, 2, FALSE) * Z28), "")</f>
        <v/>
      </c>
      <c r="R28" s="2" t="str">
        <f>IF('Full Season Entries'!M29 &lt;&gt; "", IF('Full Season Entries'!M29 = "Bronze", -AL28, IF(AND(AD28 = 2, OR(AF28 = "DPi", AF28 = "GTLM")), VLOOKUP('Full Season Entries'!M29, driverCosts, 2, FALSE) * VLOOKUP(AF28, nasccEcCosts, 3, FALSE), IF(AD28 = 7, VLOOKUP('Full Season Entries'!M29, driverCosts, 2, FALSE) * VLOOKUP("ASM 210 Minutes of CoTA", oneOffs, 3, FALSE), VLOOKUP('Full Season Entries'!M29, driverCosts, 2, FALSE) * Z28))), "")</f>
        <v/>
      </c>
      <c r="S28" s="52" t="str">
        <f>IF('Full Season Entries'!N29 &lt;&gt; "", IF('Full Season Entries'!N29 = "Bronze", -AM28, VLOOKUP('Full Season Entries'!N29, driverCosts, 2, FALSE) * Z28), "")</f>
        <v/>
      </c>
      <c r="T28" s="51">
        <f t="shared" si="19"/>
        <v>0</v>
      </c>
      <c r="U28" s="2">
        <f t="shared" si="20"/>
        <v>0</v>
      </c>
      <c r="V28" s="52">
        <f t="shared" si="21"/>
        <v>0</v>
      </c>
      <c r="Y28" s="1" t="str">
        <f t="shared" si="22"/>
        <v/>
      </c>
      <c r="Z28" s="1">
        <f t="shared" si="23"/>
        <v>0</v>
      </c>
      <c r="AA28" s="1">
        <f t="shared" si="3"/>
        <v>0</v>
      </c>
      <c r="AC28" s="1" t="str">
        <f>'Full Season Entries'!J29</f>
        <v/>
      </c>
      <c r="AD28" s="1">
        <f>'Full Season Entries'!AF29</f>
        <v>0</v>
      </c>
      <c r="AE28" s="1">
        <f>'Full Season Entries'!AG29</f>
        <v>0</v>
      </c>
      <c r="AF28" s="1" t="str">
        <f>'Full Season Entries'!D29</f>
        <v/>
      </c>
      <c r="AH28" s="1" t="str">
        <f>IF(AND(IF(AD28 = 1, TRUE, FALSE), IF(AE28 = 1, TRUE, FALSE)), VLOOKUP('Full Season Entries'!G29, t_gemLMP1, 2, FALSE), IF(AND(IF(AD28 = 1, TRUE, FALSE), IF(AE28 = 2, TRUE, FALSE)), VLOOKUP('Full Season Entries'!G29, t_gemLMP2, 2, FALSE), IF(AND(IF(AD28 = 1, TRUE, FALSE), IF(AE28 = 3, TRUE, FALSE)), VLOOKUP('Full Season Entries'!G29, t_gemLMGTE, 2, FALSE), IF(AND(IF(AD28 = 1, TRUE, FALSE), IF(AE28 = 4, TRUE, FALSE)), VLOOKUP('Full Season Entries'!G29, t_gemLMGTE, 2, FALSE), IF(AND(IF(AD28 = 2, TRUE, FALSE), IF(AE28 = 1, TRUE, FALSE)), VLOOKUP('Full Season Entries'!G29, t_nasccDPi, 2, FALSE), IF(AND(IF(AD28 = 2, TRUE, FALSE), IF(AE28 = 2, TRUE, FALSE)), VLOOKUP('Full Season Entries'!G29, t_nasccLMP2, 2, FALSE), IF(AND(IF(AD28 = 2, TRUE, FALSE), IF(AE28 = 3, TRUE, FALSE)), VLOOKUP('Full Season Entries'!G29, t_nasccGTLM, 2, FALSE), IF(AND(IF(AD28 = 2, TRUE, FALSE), IF(AE28 = 4, TRUE, FALSE)), VLOOKUP('Full Season Entries'!G29, t_nasccGTD, 2, FALSE), IF(AND(IF(AD28 = 2.1, TRUE, FALSE), IF(AE28 = 1, TRUE, FALSE)), VLOOKUP('Full Season Entries'!G29, t_nasccDPi, 2, FALSE), IF(AND(IF(AD28 = 2.1, TRUE, FALSE), IF(AE28 = 2, TRUE, FALSE)), VLOOKUP('Full Season Entries'!G29, t_nasccLMP2, 2, FALSE), IF(AND(IF(AD28 = 2.1, TRUE, FALSE), IF(AE28 = 3, TRUE, FALSE)), VLOOKUP('Full Season Entries'!G29, t_nasccGTLM, 2, FALSE), IF(AND(IF(AD28 = 2.1, TRUE, FALSE), IF(AE28 = 4, TRUE, FALSE)), VLOOKUP('Full Season Entries'!G29, t_nasccGTD, 2, FALSE), IF(AND(IF(AD28 = 2.2, TRUE, FALSE), IF(AE28 = 1, TRUE, FALSE)), VLOOKUP('Full Season Entries'!G29, t_nasccDPi, 2, FALSE), IF(AND(IF(AD28 = 2.2, TRUE, FALSE), IF(AE28 = 2, TRUE, FALSE)), VLOOKUP('Full Season Entries'!G29, t_nasccLMP2, 2, FALSE), IF(AND(IF(AD28 = 2.2, TRUE, FALSE), IF(AE28 = 3, TRUE, FALSE)), VLOOKUP('Full Season Entries'!G29, t_nasccGTLM, 2, FALSE), IF(AND(IF(AD28 = 2.2, TRUE, FALSE), IF(AE28 = 4, TRUE, FALSE)), VLOOKUP('Full Season Entries'!G29, t_nasccGTD, 2, FALSE), IF(AND(IF(AD28 = 3, TRUE, FALSE), IF(AE28 = 1, TRUE, FALSE)), VLOOKUP('Full Season Entries'!G29, t_euemLMP2, 2, FALSE), IF(AND(IF(AD28 = 3, TRUE, FALSE), IF(AE28 = 2, TRUE, FALSE)), VLOOKUP('Full Season Entries'!G29, t_euemLMP3, 2, FALSE), IF(AND(IF(AD28 = 3, TRUE, FALSE), IF(AE28 = 3, TRUE, FALSE)), VLOOKUP('Full Season Entries'!G29, t_euemLMGTE, 2, FALSE), IF(AND(IF(AD28 = 4, TRUE, FALSE), IF(AE28 = 1, TRUE, FALSE)), VLOOKUP('Full Season Entries'!G29, t_wgtssGT3, 2, FALSE), IF(AND(IF(AD28 = 4, TRUE, FALSE), IF(AE28 = 2, TRUE, FALSE)), VLOOKUP('Full Season Entries'!G29, t_wgtssGT4, 2, FALSE), IF(AND(IF(AD28 = 5, TRUE, FALSE), IF(AE28 = 1, TRUE, FALSE)), VLOOKUP('Full Season Entries'!G29, t_wgtmGT3P, 2, FALSE), IF(AND(IF(AD28 = 5, TRUE, FALSE), IF(AE28 = 2, TRUE, FALSE)), VLOOKUP('Full Season Entries'!G29, t_wgtmGT3A, 2, FALSE), IF(AND(IF(AD28 = 5, TRUE, FALSE), IF(AE28 = 3, TRUE, FALSE)), VLOOKUP('Full Season Entries'!G29, t_wgtmGT4, 2, FALSE), IF(AND(IF(AD28 = 7, TRUE, FALSE), IF(AE28 = 1, TRUE, FALSE)), VLOOKUP('Full Season Entries'!G29, t_asmLMP3, 2, FALSE), IF(AND(IF(AD28 = 7, TRUE, FALSE), IF(AE28 = 2, TRUE, FALSE)), VLOOKUP('Full Season Entries'!G29, t_asmGT3, 2, FALSE), IF(AND(IF(AD28 = 7, TRUE, FALSE), IF(AE28 = 3, TRUE, FALSE)), VLOOKUP('Full Season Entries'!G29, t_asmGT4, 2, FALSE), "")))))))))))))))))))))))))))</f>
        <v/>
      </c>
      <c r="AJ28" s="1" t="str">
        <f t="shared" si="4"/>
        <v/>
      </c>
      <c r="AK28" s="1" t="str">
        <f t="shared" si="5"/>
        <v/>
      </c>
      <c r="AL28" s="1" t="str">
        <f t="shared" si="24"/>
        <v/>
      </c>
      <c r="AM28" s="1" t="str">
        <f t="shared" si="6"/>
        <v/>
      </c>
      <c r="AO28" s="1" t="str">
        <f>'Full Season Entries'!I29</f>
        <v/>
      </c>
      <c r="AQ28" s="1">
        <f t="shared" si="7"/>
        <v>0</v>
      </c>
      <c r="AR28" s="1">
        <f>'Full Season Entries'!P29</f>
        <v>0</v>
      </c>
      <c r="AS28" s="1">
        <f>IF('Full Season Entries'!Q29 &lt;&gt; "", REPLACE('Full Season Entries'!Q29, 1, 1, "Level "), 0)</f>
        <v>0</v>
      </c>
      <c r="AT28" s="1">
        <f t="shared" si="8"/>
        <v>0</v>
      </c>
      <c r="AU28" s="1">
        <f>'Full Season Entries'!R29</f>
        <v>0</v>
      </c>
      <c r="AV28" s="1">
        <f>IF('Full Season Entries'!S29 &lt;&gt; "", REPLACE('Full Season Entries'!S29, 1, 1, "Level "), 0)</f>
        <v>0</v>
      </c>
      <c r="AW28" s="1">
        <f>IF('Full Season Entries'!T29 &lt;&gt; "", VLOOKUP('Full Season Entries'!T29, setupCostsReliability, 2, FALSE), 0)</f>
        <v>0</v>
      </c>
      <c r="AZ28" s="47" t="str">
        <f>IF('One-Off Entries'!I29 = "Yes", 0, IF(BQ28 &lt;&gt; "", IF(BQ28 = 1, VLOOKUP(BT28, gemCosts, 5, FALSE), IF(BQ28 = 2, VLOOKUP(BT28, nasccCosts, 5, FALSE), IF(BQ28 = 2.1, VLOOKUP(BT28, nasccScCosts, 5, FALSE), IF(BQ28 = 2.2, VLOOKUP(BT28, nasccEcCosts, 5, FALSE), IF(BQ28 = 3, VLOOKUP(BT28, euemCosts, 5, FALSE), IF(BQ28 = 4, VLOOKUP(BT28, wgtssCosts, 5, FALSE), IF(BQ28 = 5, VLOOKUP(BT28, wgtmCosts, 5, FALSE), IF(BQ28 = 6, VLOOKUP(BT28, wpcCosts, 5, FALSE), IF(BQ28 = 7, VLOOKUP(BT28, asmCosts, 5, FALSE), "")))))))))))</f>
        <v/>
      </c>
      <c r="BA28" s="47" t="str">
        <f t="shared" si="25"/>
        <v/>
      </c>
      <c r="BB28" s="47" t="str">
        <f t="shared" si="26"/>
        <v/>
      </c>
      <c r="BC28" s="51" t="str">
        <f>IF('One-Off Entries'!M29 &lt;&gt; "", IF('One-Off Entries'!M29 = "Bronze", -BX28, VLOOKUP('One-Off Entries'!M29, driverCosts, 2, FALSE) * BM28), "")</f>
        <v/>
      </c>
      <c r="BD28" s="2" t="str">
        <f>IF('One-Off Entries'!N29 &lt;&gt; "", IF('One-Off Entries'!N29 = "Bronze", -BY28, VLOOKUP('One-Off Entries'!N29, driverCosts, 2, FALSE) * BM28), "")</f>
        <v/>
      </c>
      <c r="BE28" s="2" t="str">
        <f>IF('One-Off Entries'!O29 &lt;&gt; "", IF('One-Off Entries'!O29 = "Bronze", -BZ28, VLOOKUP('One-Off Entries'!O29, driverCosts, 2, FALSE) * BM28), "")</f>
        <v/>
      </c>
      <c r="BF28" s="52" t="str">
        <f>IF('One-Off Entries'!P29 &lt;&gt; "", IF('One-Off Entries'!P29 = "Bronze", -CA28, VLOOKUP('One-Off Entries'!P29, driverCosts, 2, FALSE) * BM28), "")</f>
        <v/>
      </c>
      <c r="BG28" s="51">
        <f t="shared" si="27"/>
        <v>0</v>
      </c>
      <c r="BH28" s="2">
        <f t="shared" si="28"/>
        <v>0</v>
      </c>
      <c r="BI28" s="52">
        <f t="shared" si="29"/>
        <v>0</v>
      </c>
      <c r="BL28" s="1" t="str">
        <f t="shared" si="9"/>
        <v/>
      </c>
      <c r="BM28" s="1" t="str">
        <f t="shared" si="10"/>
        <v/>
      </c>
      <c r="BO28" s="1">
        <f>'One-Off Entries'!C29</f>
        <v>0</v>
      </c>
      <c r="BP28" s="1" t="str">
        <f>'One-Off Entries'!L29</f>
        <v/>
      </c>
      <c r="BQ28" s="1">
        <f>'One-Off Entries'!AI29</f>
        <v>0</v>
      </c>
      <c r="BR28" s="1">
        <f>'One-Off Entries'!AJ29</f>
        <v>0</v>
      </c>
      <c r="BT28" s="1" t="str">
        <f>'One-Off Entries'!E29</f>
        <v/>
      </c>
      <c r="BV28" s="1" t="str">
        <f>IF(AND(IF(BQ28 = 1, TRUE, FALSE), IF(BR28 = 1, TRUE, FALSE)), VLOOKUP('One-Off Entries'!H29, t_gemLMP1, 2, FALSE), IF(AND(IF(BQ28 = 1, TRUE, FALSE), IF(BR28 = 2, TRUE, FALSE)), VLOOKUP('One-Off Entries'!H29, t_gemLMP2, 2, FALSE), IF(AND(IF(BQ28 = 1, TRUE, FALSE), IF(BR28 = 3, TRUE, FALSE)), VLOOKUP('One-Off Entries'!H29, t_gemLMGTE, 2, FALSE), IF(AND(IF(BQ28 = 1, TRUE, FALSE), IF(BR28 = 4, TRUE, FALSE)), VLOOKUP('One-Off Entries'!H29, t_gemLMGTE, 2, FALSE), IF(AND(IF(BQ28 = 2, TRUE, FALSE), IF(BR28 = 1, TRUE, FALSE)), VLOOKUP('One-Off Entries'!H29, t_nasccDPi, 2, FALSE), IF(AND(IF(BQ28 = 2, TRUE, FALSE), IF(BR28 = 2, TRUE, FALSE)), VLOOKUP('One-Off Entries'!H29, t_nasccLMP2, 2, FALSE), IF(AND(IF(BQ28 = 2, TRUE, FALSE), IF(BR28 = 3, TRUE, FALSE)), VLOOKUP('One-Off Entries'!H29, t_nasccGTLM, 2, FALSE), IF(AND(IF(BQ28 = 2, TRUE, FALSE), IF(BR28 = 4, TRUE, FALSE)), VLOOKUP('One-Off Entries'!H29, t_nasccGTD, 2, FALSE), IF(AND(IF(BQ28 = 2.1, TRUE, FALSE), IF(BR28 = 1, TRUE, FALSE)), VLOOKUP('One-Off Entries'!H29, t_nasccDPi, 2, FALSE), IF(AND(IF(BQ28 = 2.1, TRUE, FALSE), IF(BR28 = 2, TRUE, FALSE)), VLOOKUP('One-Off Entries'!H29, t_nasccLMP2, 2, FALSE), IF(AND(IF(BQ28 = 2.1, TRUE, FALSE), IF(BR28 = 3, TRUE, FALSE)), VLOOKUP('One-Off Entries'!H29, t_nasccGTLM, 2, FALSE), IF(AND(IF(BQ28 = 2.1, TRUE, FALSE), IF(BR28 = 4, TRUE, FALSE)), VLOOKUP('One-Off Entries'!H29, t_nasccGTD, 2, FALSE), IF(AND(IF(BQ28 = 2.2, TRUE, FALSE), IF(BR28 = 1, TRUE, FALSE)), VLOOKUP('One-Off Entries'!H29, t_nasccDPi, 2, FALSE), IF(AND(IF(BQ28 = 2.2, TRUE, FALSE), IF(BR28 = 2, TRUE, FALSE)), VLOOKUP('One-Off Entries'!H29, t_nasccLMP2, 2, FALSE), IF(AND(IF(BQ28 = 2.2, TRUE, FALSE), IF(BR28 = 3, TRUE, FALSE)), VLOOKUP('One-Off Entries'!H29, t_nasccGTLM, 2, FALSE), IF(AND(IF(BQ28 = 2.2, TRUE, FALSE), IF(BR28 = 4, TRUE, FALSE)), VLOOKUP('One-Off Entries'!H29, t_nasccGTD, 2, FALSE), IF(AND(IF(BQ28 = 3, TRUE, FALSE), IF(BR28 = 1, TRUE, FALSE)), VLOOKUP('One-Off Entries'!H29, t_euemLMP2, 2, FALSE), IF(AND(IF(BQ28 = 3, TRUE, FALSE), IF(BR28 = 2, TRUE, FALSE)), VLOOKUP('One-Off Entries'!H29, t_euemLMP3, 2, FALSE), IF(AND(IF(BQ28 = 3, TRUE, FALSE), IF(BR28 = 3, TRUE, FALSE)), VLOOKUP('One-Off Entries'!H29, t_euemLMGTE, 2, FALSE), IF(AND(IF(BQ28 = 4, TRUE, FALSE), IF(BR28 = 1, TRUE, FALSE)), VLOOKUP('One-Off Entries'!H29, t_wgtssGT3, 2, FALSE), IF(AND(IF(BQ28 = 4, TRUE, FALSE), IF(BR28 = 2, TRUE, FALSE)), VLOOKUP('One-Off Entries'!H29, t_wgtssGT4, 2, FALSE), IF(AND(IF(BQ28 = 5, TRUE, FALSE), IF(BR28 = 1, TRUE, FALSE)), VLOOKUP('One-Off Entries'!H29, t_wgtmGT3P, 2, FALSE), IF(AND(IF(BQ28 = 5, TRUE, FALSE), IF(BR28 = 2, TRUE, FALSE)), VLOOKUP('One-Off Entries'!H29, t_wgtmGT3A, 2, FALSE), IF(AND(IF(BQ28 = 5, TRUE, FALSE), IF(BR28 = 3, TRUE, FALSE)), VLOOKUP('One-Off Entries'!H29, t_wgtmGT4, 2, FALSE), IF(AND(IF(BQ28 = 7, TRUE, FALSE), IF(BR28 = 1, TRUE, FALSE)), VLOOKUP('One-Off Entries'!H29, t_asmLMP3, 2, FALSE), IF(AND(IF(BQ28 = 7, TRUE, FALSE), IF(BR28 = 2, TRUE, FALSE)), VLOOKUP('One-Off Entries'!H29, t_asmGT3, 2, FALSE), IF(AND(IF(BQ28 = 7, TRUE, FALSE), IF(BR28 = 3, TRUE, FALSE)), VLOOKUP('One-Off Entries'!H29, t_asmGT4, 2, FALSE), "")))))))))))))))))))))))))))</f>
        <v/>
      </c>
      <c r="BX28" s="1" t="str">
        <f t="shared" si="11"/>
        <v/>
      </c>
      <c r="BY28" s="1" t="str">
        <f t="shared" si="12"/>
        <v/>
      </c>
      <c r="BZ28" s="1" t="str">
        <f t="shared" si="13"/>
        <v/>
      </c>
      <c r="CA28" s="1" t="str">
        <f t="shared" si="14"/>
        <v/>
      </c>
      <c r="CC28" s="1" t="str">
        <f>'One-Off Entries'!K29</f>
        <v/>
      </c>
      <c r="CD28" s="1">
        <f t="shared" si="15"/>
        <v>0</v>
      </c>
      <c r="CE28" s="1">
        <f>'One-Off Entries'!R29</f>
        <v>0</v>
      </c>
      <c r="CF28" s="1">
        <f>IF('One-Off Entries'!S29 &lt;&gt; "", REPLACE('One-Off Entries'!S29, 1, 1, "Level "), 0)</f>
        <v>0</v>
      </c>
      <c r="CG28" s="1">
        <f t="shared" si="16"/>
        <v>0</v>
      </c>
      <c r="CH28" s="1">
        <f>'One-Off Entries'!T29</f>
        <v>0</v>
      </c>
      <c r="CI28" s="1">
        <f>IF('One-Off Entries'!U29 &lt;&gt; "", REPLACE('One-Off Entries'!U29, 1, 1, "Level "), 0)</f>
        <v>0</v>
      </c>
      <c r="CJ28" s="1">
        <f>IF('One-Off Entries'!V29 &lt;&gt; "", VLOOKUP('One-Off Entries'!V29, setupCostsReliability, 2, FALSE), 0)</f>
        <v>0</v>
      </c>
    </row>
    <row r="29" spans="7:88" ht="18" customHeight="1" x14ac:dyDescent="0.3">
      <c r="G29" s="47" t="str">
        <f>IF('Car Purchase'!D29 &lt;&gt; "", VLOOKUP('Car Purchase'!D29, modelData, 3, FALSE), "")</f>
        <v/>
      </c>
      <c r="H29" s="51" t="str">
        <f>IF('Car Purchase'!I29 &lt;&gt; "", VLOOKUP('Car Purchase'!I29, modelData, 4, FALSE) * 'Car Purchase'!J29, "")</f>
        <v/>
      </c>
      <c r="I29" s="2" t="str">
        <f>IF('Car Purchase'!I29 &lt;&gt; "", VLOOKUP('Car Purchase'!I29, modelData, 5, FALSE) * 'Car Purchase'!K29, "")</f>
        <v/>
      </c>
      <c r="J29" s="52" t="str">
        <f>IF('Car Purchase'!I29 &lt;&gt; "", VLOOKUP('Car Purchase'!I29, modelData, 6, FALSE) * 'Car Purchase'!L29, "")</f>
        <v/>
      </c>
      <c r="M29" s="47" t="str">
        <f t="shared" si="0"/>
        <v/>
      </c>
      <c r="N29" s="47" t="str">
        <f t="shared" si="18"/>
        <v/>
      </c>
      <c r="O29" s="47" t="str">
        <f t="shared" si="1"/>
        <v/>
      </c>
      <c r="P29" s="51" t="str">
        <f>IF('Full Season Entries'!K30 &lt;&gt; "", IF('Full Season Entries'!K30 = "Bronze", -AJ29, VLOOKUP('Full Season Entries'!K30, driverCosts, 2, FALSE) * Z29), "")</f>
        <v/>
      </c>
      <c r="Q29" s="2" t="str">
        <f>IF('Full Season Entries'!L30 &lt;&gt; "", IF('Full Season Entries'!L30 = "Bronze", -AK29, VLOOKUP('Full Season Entries'!L30, driverCosts, 2, FALSE) * Z29), "")</f>
        <v/>
      </c>
      <c r="R29" s="2" t="str">
        <f>IF('Full Season Entries'!M30 &lt;&gt; "", IF('Full Season Entries'!M30 = "Bronze", -AL29, IF(AND(AD29 = 2, OR(AF29 = "DPi", AF29 = "GTLM")), VLOOKUP('Full Season Entries'!M30, driverCosts, 2, FALSE) * VLOOKUP(AF29, nasccEcCosts, 3, FALSE), IF(AD29 = 7, VLOOKUP('Full Season Entries'!M30, driverCosts, 2, FALSE) * VLOOKUP("ASM 210 Minutes of CoTA", oneOffs, 3, FALSE), VLOOKUP('Full Season Entries'!M30, driverCosts, 2, FALSE) * Z29))), "")</f>
        <v/>
      </c>
      <c r="S29" s="52" t="str">
        <f>IF('Full Season Entries'!N30 &lt;&gt; "", IF('Full Season Entries'!N30 = "Bronze", -AM29, VLOOKUP('Full Season Entries'!N30, driverCosts, 2, FALSE) * Z29), "")</f>
        <v/>
      </c>
      <c r="T29" s="51">
        <f t="shared" si="19"/>
        <v>0</v>
      </c>
      <c r="U29" s="2">
        <f t="shared" si="20"/>
        <v>0</v>
      </c>
      <c r="V29" s="52">
        <f t="shared" si="21"/>
        <v>0</v>
      </c>
      <c r="Y29" s="1" t="str">
        <f t="shared" si="22"/>
        <v/>
      </c>
      <c r="Z29" s="1">
        <f t="shared" si="23"/>
        <v>0</v>
      </c>
      <c r="AA29" s="1">
        <f t="shared" si="3"/>
        <v>0</v>
      </c>
      <c r="AC29" s="1" t="str">
        <f>'Full Season Entries'!J30</f>
        <v/>
      </c>
      <c r="AD29" s="1">
        <f>'Full Season Entries'!AF30</f>
        <v>0</v>
      </c>
      <c r="AE29" s="1">
        <f>'Full Season Entries'!AG30</f>
        <v>0</v>
      </c>
      <c r="AF29" s="1" t="str">
        <f>'Full Season Entries'!D30</f>
        <v/>
      </c>
      <c r="AH29" s="1" t="str">
        <f>IF(AND(IF(AD29 = 1, TRUE, FALSE), IF(AE29 = 1, TRUE, FALSE)), VLOOKUP('Full Season Entries'!G30, t_gemLMP1, 2, FALSE), IF(AND(IF(AD29 = 1, TRUE, FALSE), IF(AE29 = 2, TRUE, FALSE)), VLOOKUP('Full Season Entries'!G30, t_gemLMP2, 2, FALSE), IF(AND(IF(AD29 = 1, TRUE, FALSE), IF(AE29 = 3, TRUE, FALSE)), VLOOKUP('Full Season Entries'!G30, t_gemLMGTE, 2, FALSE), IF(AND(IF(AD29 = 1, TRUE, FALSE), IF(AE29 = 4, TRUE, FALSE)), VLOOKUP('Full Season Entries'!G30, t_gemLMGTE, 2, FALSE), IF(AND(IF(AD29 = 2, TRUE, FALSE), IF(AE29 = 1, TRUE, FALSE)), VLOOKUP('Full Season Entries'!G30, t_nasccDPi, 2, FALSE), IF(AND(IF(AD29 = 2, TRUE, FALSE), IF(AE29 = 2, TRUE, FALSE)), VLOOKUP('Full Season Entries'!G30, t_nasccLMP2, 2, FALSE), IF(AND(IF(AD29 = 2, TRUE, FALSE), IF(AE29 = 3, TRUE, FALSE)), VLOOKUP('Full Season Entries'!G30, t_nasccGTLM, 2, FALSE), IF(AND(IF(AD29 = 2, TRUE, FALSE), IF(AE29 = 4, TRUE, FALSE)), VLOOKUP('Full Season Entries'!G30, t_nasccGTD, 2, FALSE), IF(AND(IF(AD29 = 2.1, TRUE, FALSE), IF(AE29 = 1, TRUE, FALSE)), VLOOKUP('Full Season Entries'!G30, t_nasccDPi, 2, FALSE), IF(AND(IF(AD29 = 2.1, TRUE, FALSE), IF(AE29 = 2, TRUE, FALSE)), VLOOKUP('Full Season Entries'!G30, t_nasccLMP2, 2, FALSE), IF(AND(IF(AD29 = 2.1, TRUE, FALSE), IF(AE29 = 3, TRUE, FALSE)), VLOOKUP('Full Season Entries'!G30, t_nasccGTLM, 2, FALSE), IF(AND(IF(AD29 = 2.1, TRUE, FALSE), IF(AE29 = 4, TRUE, FALSE)), VLOOKUP('Full Season Entries'!G30, t_nasccGTD, 2, FALSE), IF(AND(IF(AD29 = 2.2, TRUE, FALSE), IF(AE29 = 1, TRUE, FALSE)), VLOOKUP('Full Season Entries'!G30, t_nasccDPi, 2, FALSE), IF(AND(IF(AD29 = 2.2, TRUE, FALSE), IF(AE29 = 2, TRUE, FALSE)), VLOOKUP('Full Season Entries'!G30, t_nasccLMP2, 2, FALSE), IF(AND(IF(AD29 = 2.2, TRUE, FALSE), IF(AE29 = 3, TRUE, FALSE)), VLOOKUP('Full Season Entries'!G30, t_nasccGTLM, 2, FALSE), IF(AND(IF(AD29 = 2.2, TRUE, FALSE), IF(AE29 = 4, TRUE, FALSE)), VLOOKUP('Full Season Entries'!G30, t_nasccGTD, 2, FALSE), IF(AND(IF(AD29 = 3, TRUE, FALSE), IF(AE29 = 1, TRUE, FALSE)), VLOOKUP('Full Season Entries'!G30, t_euemLMP2, 2, FALSE), IF(AND(IF(AD29 = 3, TRUE, FALSE), IF(AE29 = 2, TRUE, FALSE)), VLOOKUP('Full Season Entries'!G30, t_euemLMP3, 2, FALSE), IF(AND(IF(AD29 = 3, TRUE, FALSE), IF(AE29 = 3, TRUE, FALSE)), VLOOKUP('Full Season Entries'!G30, t_euemLMGTE, 2, FALSE), IF(AND(IF(AD29 = 4, TRUE, FALSE), IF(AE29 = 1, TRUE, FALSE)), VLOOKUP('Full Season Entries'!G30, t_wgtssGT3, 2, FALSE), IF(AND(IF(AD29 = 4, TRUE, FALSE), IF(AE29 = 2, TRUE, FALSE)), VLOOKUP('Full Season Entries'!G30, t_wgtssGT4, 2, FALSE), IF(AND(IF(AD29 = 5, TRUE, FALSE), IF(AE29 = 1, TRUE, FALSE)), VLOOKUP('Full Season Entries'!G30, t_wgtmGT3P, 2, FALSE), IF(AND(IF(AD29 = 5, TRUE, FALSE), IF(AE29 = 2, TRUE, FALSE)), VLOOKUP('Full Season Entries'!G30, t_wgtmGT3A, 2, FALSE), IF(AND(IF(AD29 = 5, TRUE, FALSE), IF(AE29 = 3, TRUE, FALSE)), VLOOKUP('Full Season Entries'!G30, t_wgtmGT4, 2, FALSE), IF(AND(IF(AD29 = 7, TRUE, FALSE), IF(AE29 = 1, TRUE, FALSE)), VLOOKUP('Full Season Entries'!G30, t_asmLMP3, 2, FALSE), IF(AND(IF(AD29 = 7, TRUE, FALSE), IF(AE29 = 2, TRUE, FALSE)), VLOOKUP('Full Season Entries'!G30, t_asmGT3, 2, FALSE), IF(AND(IF(AD29 = 7, TRUE, FALSE), IF(AE29 = 3, TRUE, FALSE)), VLOOKUP('Full Season Entries'!G30, t_asmGT4, 2, FALSE), "")))))))))))))))))))))))))))</f>
        <v/>
      </c>
      <c r="AJ29" s="1" t="str">
        <f t="shared" si="4"/>
        <v/>
      </c>
      <c r="AK29" s="1" t="str">
        <f t="shared" si="5"/>
        <v/>
      </c>
      <c r="AL29" s="1" t="str">
        <f t="shared" si="24"/>
        <v/>
      </c>
      <c r="AM29" s="1" t="str">
        <f t="shared" si="6"/>
        <v/>
      </c>
      <c r="AO29" s="1" t="str">
        <f>'Full Season Entries'!I30</f>
        <v/>
      </c>
      <c r="AQ29" s="1">
        <f t="shared" si="7"/>
        <v>0</v>
      </c>
      <c r="AR29" s="1">
        <f>'Full Season Entries'!P30</f>
        <v>0</v>
      </c>
      <c r="AS29" s="1">
        <f>IF('Full Season Entries'!Q30 &lt;&gt; "", REPLACE('Full Season Entries'!Q30, 1, 1, "Level "), 0)</f>
        <v>0</v>
      </c>
      <c r="AT29" s="1">
        <f t="shared" si="8"/>
        <v>0</v>
      </c>
      <c r="AU29" s="1">
        <f>'Full Season Entries'!R30</f>
        <v>0</v>
      </c>
      <c r="AV29" s="1">
        <f>IF('Full Season Entries'!S30 &lt;&gt; "", REPLACE('Full Season Entries'!S30, 1, 1, "Level "), 0)</f>
        <v>0</v>
      </c>
      <c r="AW29" s="1">
        <f>IF('Full Season Entries'!T30 &lt;&gt; "", VLOOKUP('Full Season Entries'!T30, setupCostsReliability, 2, FALSE), 0)</f>
        <v>0</v>
      </c>
      <c r="AZ29" s="47" t="str">
        <f>IF('One-Off Entries'!I30 = "Yes", 0, IF(BQ29 &lt;&gt; "", IF(BQ29 = 1, VLOOKUP(BT29, gemCosts, 5, FALSE), IF(BQ29 = 2, VLOOKUP(BT29, nasccCosts, 5, FALSE), IF(BQ29 = 2.1, VLOOKUP(BT29, nasccScCosts, 5, FALSE), IF(BQ29 = 2.2, VLOOKUP(BT29, nasccEcCosts, 5, FALSE), IF(BQ29 = 3, VLOOKUP(BT29, euemCosts, 5, FALSE), IF(BQ29 = 4, VLOOKUP(BT29, wgtssCosts, 5, FALSE), IF(BQ29 = 5, VLOOKUP(BT29, wgtmCosts, 5, FALSE), IF(BQ29 = 6, VLOOKUP(BT29, wpcCosts, 5, FALSE), IF(BQ29 = 7, VLOOKUP(BT29, asmCosts, 5, FALSE), "")))))))))))</f>
        <v/>
      </c>
      <c r="BA29" s="47" t="str">
        <f t="shared" si="25"/>
        <v/>
      </c>
      <c r="BB29" s="47" t="str">
        <f t="shared" si="26"/>
        <v/>
      </c>
      <c r="BC29" s="51" t="str">
        <f>IF('One-Off Entries'!M30 &lt;&gt; "", IF('One-Off Entries'!M30 = "Bronze", -BX29, VLOOKUP('One-Off Entries'!M30, driverCosts, 2, FALSE) * BM29), "")</f>
        <v/>
      </c>
      <c r="BD29" s="2" t="str">
        <f>IF('One-Off Entries'!N30 &lt;&gt; "", IF('One-Off Entries'!N30 = "Bronze", -BY29, VLOOKUP('One-Off Entries'!N30, driverCosts, 2, FALSE) * BM29), "")</f>
        <v/>
      </c>
      <c r="BE29" s="2" t="str">
        <f>IF('One-Off Entries'!O30 &lt;&gt; "", IF('One-Off Entries'!O30 = "Bronze", -BZ29, VLOOKUP('One-Off Entries'!O30, driverCosts, 2, FALSE) * BM29), "")</f>
        <v/>
      </c>
      <c r="BF29" s="52" t="str">
        <f>IF('One-Off Entries'!P30 &lt;&gt; "", IF('One-Off Entries'!P30 = "Bronze", -CA29, VLOOKUP('One-Off Entries'!P30, driverCosts, 2, FALSE) * BM29), "")</f>
        <v/>
      </c>
      <c r="BG29" s="51">
        <f t="shared" si="27"/>
        <v>0</v>
      </c>
      <c r="BH29" s="2">
        <f t="shared" si="28"/>
        <v>0</v>
      </c>
      <c r="BI29" s="52">
        <f t="shared" si="29"/>
        <v>0</v>
      </c>
      <c r="BL29" s="1" t="str">
        <f t="shared" si="9"/>
        <v/>
      </c>
      <c r="BM29" s="1" t="str">
        <f t="shared" si="10"/>
        <v/>
      </c>
      <c r="BO29" s="1">
        <f>'One-Off Entries'!C30</f>
        <v>0</v>
      </c>
      <c r="BP29" s="1" t="str">
        <f>'One-Off Entries'!L30</f>
        <v/>
      </c>
      <c r="BQ29" s="1">
        <f>'One-Off Entries'!AI30</f>
        <v>0</v>
      </c>
      <c r="BR29" s="1">
        <f>'One-Off Entries'!AJ30</f>
        <v>0</v>
      </c>
      <c r="BT29" s="1" t="str">
        <f>'One-Off Entries'!E30</f>
        <v/>
      </c>
      <c r="BV29" s="1" t="str">
        <f>IF(AND(IF(BQ29 = 1, TRUE, FALSE), IF(BR29 = 1, TRUE, FALSE)), VLOOKUP('One-Off Entries'!H30, t_gemLMP1, 2, FALSE), IF(AND(IF(BQ29 = 1, TRUE, FALSE), IF(BR29 = 2, TRUE, FALSE)), VLOOKUP('One-Off Entries'!H30, t_gemLMP2, 2, FALSE), IF(AND(IF(BQ29 = 1, TRUE, FALSE), IF(BR29 = 3, TRUE, FALSE)), VLOOKUP('One-Off Entries'!H30, t_gemLMGTE, 2, FALSE), IF(AND(IF(BQ29 = 1, TRUE, FALSE), IF(BR29 = 4, TRUE, FALSE)), VLOOKUP('One-Off Entries'!H30, t_gemLMGTE, 2, FALSE), IF(AND(IF(BQ29 = 2, TRUE, FALSE), IF(BR29 = 1, TRUE, FALSE)), VLOOKUP('One-Off Entries'!H30, t_nasccDPi, 2, FALSE), IF(AND(IF(BQ29 = 2, TRUE, FALSE), IF(BR29 = 2, TRUE, FALSE)), VLOOKUP('One-Off Entries'!H30, t_nasccLMP2, 2, FALSE), IF(AND(IF(BQ29 = 2, TRUE, FALSE), IF(BR29 = 3, TRUE, FALSE)), VLOOKUP('One-Off Entries'!H30, t_nasccGTLM, 2, FALSE), IF(AND(IF(BQ29 = 2, TRUE, FALSE), IF(BR29 = 4, TRUE, FALSE)), VLOOKUP('One-Off Entries'!H30, t_nasccGTD, 2, FALSE), IF(AND(IF(BQ29 = 2.1, TRUE, FALSE), IF(BR29 = 1, TRUE, FALSE)), VLOOKUP('One-Off Entries'!H30, t_nasccDPi, 2, FALSE), IF(AND(IF(BQ29 = 2.1, TRUE, FALSE), IF(BR29 = 2, TRUE, FALSE)), VLOOKUP('One-Off Entries'!H30, t_nasccLMP2, 2, FALSE), IF(AND(IF(BQ29 = 2.1, TRUE, FALSE), IF(BR29 = 3, TRUE, FALSE)), VLOOKUP('One-Off Entries'!H30, t_nasccGTLM, 2, FALSE), IF(AND(IF(BQ29 = 2.1, TRUE, FALSE), IF(BR29 = 4, TRUE, FALSE)), VLOOKUP('One-Off Entries'!H30, t_nasccGTD, 2, FALSE), IF(AND(IF(BQ29 = 2.2, TRUE, FALSE), IF(BR29 = 1, TRUE, FALSE)), VLOOKUP('One-Off Entries'!H30, t_nasccDPi, 2, FALSE), IF(AND(IF(BQ29 = 2.2, TRUE, FALSE), IF(BR29 = 2, TRUE, FALSE)), VLOOKUP('One-Off Entries'!H30, t_nasccLMP2, 2, FALSE), IF(AND(IF(BQ29 = 2.2, TRUE, FALSE), IF(BR29 = 3, TRUE, FALSE)), VLOOKUP('One-Off Entries'!H30, t_nasccGTLM, 2, FALSE), IF(AND(IF(BQ29 = 2.2, TRUE, FALSE), IF(BR29 = 4, TRUE, FALSE)), VLOOKUP('One-Off Entries'!H30, t_nasccGTD, 2, FALSE), IF(AND(IF(BQ29 = 3, TRUE, FALSE), IF(BR29 = 1, TRUE, FALSE)), VLOOKUP('One-Off Entries'!H30, t_euemLMP2, 2, FALSE), IF(AND(IF(BQ29 = 3, TRUE, FALSE), IF(BR29 = 2, TRUE, FALSE)), VLOOKUP('One-Off Entries'!H30, t_euemLMP3, 2, FALSE), IF(AND(IF(BQ29 = 3, TRUE, FALSE), IF(BR29 = 3, TRUE, FALSE)), VLOOKUP('One-Off Entries'!H30, t_euemLMGTE, 2, FALSE), IF(AND(IF(BQ29 = 4, TRUE, FALSE), IF(BR29 = 1, TRUE, FALSE)), VLOOKUP('One-Off Entries'!H30, t_wgtssGT3, 2, FALSE), IF(AND(IF(BQ29 = 4, TRUE, FALSE), IF(BR29 = 2, TRUE, FALSE)), VLOOKUP('One-Off Entries'!H30, t_wgtssGT4, 2, FALSE), IF(AND(IF(BQ29 = 5, TRUE, FALSE), IF(BR29 = 1, TRUE, FALSE)), VLOOKUP('One-Off Entries'!H30, t_wgtmGT3P, 2, FALSE), IF(AND(IF(BQ29 = 5, TRUE, FALSE), IF(BR29 = 2, TRUE, FALSE)), VLOOKUP('One-Off Entries'!H30, t_wgtmGT3A, 2, FALSE), IF(AND(IF(BQ29 = 5, TRUE, FALSE), IF(BR29 = 3, TRUE, FALSE)), VLOOKUP('One-Off Entries'!H30, t_wgtmGT4, 2, FALSE), IF(AND(IF(BQ29 = 7, TRUE, FALSE), IF(BR29 = 1, TRUE, FALSE)), VLOOKUP('One-Off Entries'!H30, t_asmLMP3, 2, FALSE), IF(AND(IF(BQ29 = 7, TRUE, FALSE), IF(BR29 = 2, TRUE, FALSE)), VLOOKUP('One-Off Entries'!H30, t_asmGT3, 2, FALSE), IF(AND(IF(BQ29 = 7, TRUE, FALSE), IF(BR29 = 3, TRUE, FALSE)), VLOOKUP('One-Off Entries'!H30, t_asmGT4, 2, FALSE), "")))))))))))))))))))))))))))</f>
        <v/>
      </c>
      <c r="BX29" s="1" t="str">
        <f t="shared" si="11"/>
        <v/>
      </c>
      <c r="BY29" s="1" t="str">
        <f t="shared" si="12"/>
        <v/>
      </c>
      <c r="BZ29" s="1" t="str">
        <f t="shared" si="13"/>
        <v/>
      </c>
      <c r="CA29" s="1" t="str">
        <f t="shared" si="14"/>
        <v/>
      </c>
      <c r="CC29" s="1" t="str">
        <f>'One-Off Entries'!K30</f>
        <v/>
      </c>
      <c r="CD29" s="1">
        <f t="shared" si="15"/>
        <v>0</v>
      </c>
      <c r="CE29" s="1">
        <f>'One-Off Entries'!R30</f>
        <v>0</v>
      </c>
      <c r="CF29" s="1">
        <f>IF('One-Off Entries'!S30 &lt;&gt; "", REPLACE('One-Off Entries'!S30, 1, 1, "Level "), 0)</f>
        <v>0</v>
      </c>
      <c r="CG29" s="1">
        <f t="shared" si="16"/>
        <v>0</v>
      </c>
      <c r="CH29" s="1">
        <f>'One-Off Entries'!T30</f>
        <v>0</v>
      </c>
      <c r="CI29" s="1">
        <f>IF('One-Off Entries'!U30 &lt;&gt; "", REPLACE('One-Off Entries'!U30, 1, 1, "Level "), 0)</f>
        <v>0</v>
      </c>
      <c r="CJ29" s="1">
        <f>IF('One-Off Entries'!V30 &lt;&gt; "", VLOOKUP('One-Off Entries'!V30, setupCostsReliability, 2, FALSE), 0)</f>
        <v>0</v>
      </c>
    </row>
    <row r="30" spans="7:88" ht="18" customHeight="1" x14ac:dyDescent="0.3">
      <c r="G30" s="47" t="str">
        <f>IF('Car Purchase'!D30 &lt;&gt; "", VLOOKUP('Car Purchase'!D30, modelData, 3, FALSE), "")</f>
        <v/>
      </c>
      <c r="H30" s="51" t="str">
        <f>IF('Car Purchase'!I30 &lt;&gt; "", VLOOKUP('Car Purchase'!I30, modelData, 4, FALSE) * 'Car Purchase'!J30, "")</f>
        <v/>
      </c>
      <c r="I30" s="2" t="str">
        <f>IF('Car Purchase'!I30 &lt;&gt; "", VLOOKUP('Car Purchase'!I30, modelData, 5, FALSE) * 'Car Purchase'!K30, "")</f>
        <v/>
      </c>
      <c r="J30" s="52" t="str">
        <f>IF('Car Purchase'!I30 &lt;&gt; "", VLOOKUP('Car Purchase'!I30, modelData, 6, FALSE) * 'Car Purchase'!L30, "")</f>
        <v/>
      </c>
      <c r="M30" s="47" t="str">
        <f t="shared" si="0"/>
        <v/>
      </c>
      <c r="N30" s="47" t="str">
        <f t="shared" si="18"/>
        <v/>
      </c>
      <c r="O30" s="47" t="str">
        <f t="shared" si="1"/>
        <v/>
      </c>
      <c r="P30" s="51" t="str">
        <f>IF('Full Season Entries'!K31 &lt;&gt; "", IF('Full Season Entries'!K31 = "Bronze", -AJ30, VLOOKUP('Full Season Entries'!K31, driverCosts, 2, FALSE) * Z30), "")</f>
        <v/>
      </c>
      <c r="Q30" s="2" t="str">
        <f>IF('Full Season Entries'!L31 &lt;&gt; "", IF('Full Season Entries'!L31 = "Bronze", -AK30, VLOOKUP('Full Season Entries'!L31, driverCosts, 2, FALSE) * Z30), "")</f>
        <v/>
      </c>
      <c r="R30" s="2" t="str">
        <f>IF('Full Season Entries'!M31 &lt;&gt; "", IF('Full Season Entries'!M31 = "Bronze", -AL30, IF(AND(AD30 = 2, OR(AF30 = "DPi", AF30 = "GTLM")), VLOOKUP('Full Season Entries'!M31, driverCosts, 2, FALSE) * VLOOKUP(AF30, nasccEcCosts, 3, FALSE), IF(AD30 = 7, VLOOKUP('Full Season Entries'!M31, driverCosts, 2, FALSE) * VLOOKUP("ASM 210 Minutes of CoTA", oneOffs, 3, FALSE), VLOOKUP('Full Season Entries'!M31, driverCosts, 2, FALSE) * Z30))), "")</f>
        <v/>
      </c>
      <c r="S30" s="52" t="str">
        <f>IF('Full Season Entries'!N31 &lt;&gt; "", IF('Full Season Entries'!N31 = "Bronze", -AM30, VLOOKUP('Full Season Entries'!N31, driverCosts, 2, FALSE) * Z30), "")</f>
        <v/>
      </c>
      <c r="T30" s="51">
        <f t="shared" si="19"/>
        <v>0</v>
      </c>
      <c r="U30" s="2">
        <f t="shared" si="20"/>
        <v>0</v>
      </c>
      <c r="V30" s="52">
        <f t="shared" si="21"/>
        <v>0</v>
      </c>
      <c r="Y30" s="1" t="str">
        <f t="shared" si="22"/>
        <v/>
      </c>
      <c r="Z30" s="1">
        <f t="shared" si="23"/>
        <v>0</v>
      </c>
      <c r="AA30" s="1">
        <f t="shared" si="3"/>
        <v>0</v>
      </c>
      <c r="AC30" s="1" t="str">
        <f>'Full Season Entries'!J31</f>
        <v/>
      </c>
      <c r="AD30" s="1">
        <f>'Full Season Entries'!AF31</f>
        <v>0</v>
      </c>
      <c r="AE30" s="1">
        <f>'Full Season Entries'!AG31</f>
        <v>0</v>
      </c>
      <c r="AF30" s="1" t="str">
        <f>'Full Season Entries'!D31</f>
        <v/>
      </c>
      <c r="AH30" s="1" t="str">
        <f>IF(AND(IF(AD30 = 1, TRUE, FALSE), IF(AE30 = 1, TRUE, FALSE)), VLOOKUP('Full Season Entries'!G31, t_gemLMP1, 2, FALSE), IF(AND(IF(AD30 = 1, TRUE, FALSE), IF(AE30 = 2, TRUE, FALSE)), VLOOKUP('Full Season Entries'!G31, t_gemLMP2, 2, FALSE), IF(AND(IF(AD30 = 1, TRUE, FALSE), IF(AE30 = 3, TRUE, FALSE)), VLOOKUP('Full Season Entries'!G31, t_gemLMGTE, 2, FALSE), IF(AND(IF(AD30 = 1, TRUE, FALSE), IF(AE30 = 4, TRUE, FALSE)), VLOOKUP('Full Season Entries'!G31, t_gemLMGTE, 2, FALSE), IF(AND(IF(AD30 = 2, TRUE, FALSE), IF(AE30 = 1, TRUE, FALSE)), VLOOKUP('Full Season Entries'!G31, t_nasccDPi, 2, FALSE), IF(AND(IF(AD30 = 2, TRUE, FALSE), IF(AE30 = 2, TRUE, FALSE)), VLOOKUP('Full Season Entries'!G31, t_nasccLMP2, 2, FALSE), IF(AND(IF(AD30 = 2, TRUE, FALSE), IF(AE30 = 3, TRUE, FALSE)), VLOOKUP('Full Season Entries'!G31, t_nasccGTLM, 2, FALSE), IF(AND(IF(AD30 = 2, TRUE, FALSE), IF(AE30 = 4, TRUE, FALSE)), VLOOKUP('Full Season Entries'!G31, t_nasccGTD, 2, FALSE), IF(AND(IF(AD30 = 2.1, TRUE, FALSE), IF(AE30 = 1, TRUE, FALSE)), VLOOKUP('Full Season Entries'!G31, t_nasccDPi, 2, FALSE), IF(AND(IF(AD30 = 2.1, TRUE, FALSE), IF(AE30 = 2, TRUE, FALSE)), VLOOKUP('Full Season Entries'!G31, t_nasccLMP2, 2, FALSE), IF(AND(IF(AD30 = 2.1, TRUE, FALSE), IF(AE30 = 3, TRUE, FALSE)), VLOOKUP('Full Season Entries'!G31, t_nasccGTLM, 2, FALSE), IF(AND(IF(AD30 = 2.1, TRUE, FALSE), IF(AE30 = 4, TRUE, FALSE)), VLOOKUP('Full Season Entries'!G31, t_nasccGTD, 2, FALSE), IF(AND(IF(AD30 = 2.2, TRUE, FALSE), IF(AE30 = 1, TRUE, FALSE)), VLOOKUP('Full Season Entries'!G31, t_nasccDPi, 2, FALSE), IF(AND(IF(AD30 = 2.2, TRUE, FALSE), IF(AE30 = 2, TRUE, FALSE)), VLOOKUP('Full Season Entries'!G31, t_nasccLMP2, 2, FALSE), IF(AND(IF(AD30 = 2.2, TRUE, FALSE), IF(AE30 = 3, TRUE, FALSE)), VLOOKUP('Full Season Entries'!G31, t_nasccGTLM, 2, FALSE), IF(AND(IF(AD30 = 2.2, TRUE, FALSE), IF(AE30 = 4, TRUE, FALSE)), VLOOKUP('Full Season Entries'!G31, t_nasccGTD, 2, FALSE), IF(AND(IF(AD30 = 3, TRUE, FALSE), IF(AE30 = 1, TRUE, FALSE)), VLOOKUP('Full Season Entries'!G31, t_euemLMP2, 2, FALSE), IF(AND(IF(AD30 = 3, TRUE, FALSE), IF(AE30 = 2, TRUE, FALSE)), VLOOKUP('Full Season Entries'!G31, t_euemLMP3, 2, FALSE), IF(AND(IF(AD30 = 3, TRUE, FALSE), IF(AE30 = 3, TRUE, FALSE)), VLOOKUP('Full Season Entries'!G31, t_euemLMGTE, 2, FALSE), IF(AND(IF(AD30 = 4, TRUE, FALSE), IF(AE30 = 1, TRUE, FALSE)), VLOOKUP('Full Season Entries'!G31, t_wgtssGT3, 2, FALSE), IF(AND(IF(AD30 = 4, TRUE, FALSE), IF(AE30 = 2, TRUE, FALSE)), VLOOKUP('Full Season Entries'!G31, t_wgtssGT4, 2, FALSE), IF(AND(IF(AD30 = 5, TRUE, FALSE), IF(AE30 = 1, TRUE, FALSE)), VLOOKUP('Full Season Entries'!G31, t_wgtmGT3P, 2, FALSE), IF(AND(IF(AD30 = 5, TRUE, FALSE), IF(AE30 = 2, TRUE, FALSE)), VLOOKUP('Full Season Entries'!G31, t_wgtmGT3A, 2, FALSE), IF(AND(IF(AD30 = 5, TRUE, FALSE), IF(AE30 = 3, TRUE, FALSE)), VLOOKUP('Full Season Entries'!G31, t_wgtmGT4, 2, FALSE), IF(AND(IF(AD30 = 7, TRUE, FALSE), IF(AE30 = 1, TRUE, FALSE)), VLOOKUP('Full Season Entries'!G31, t_asmLMP3, 2, FALSE), IF(AND(IF(AD30 = 7, TRUE, FALSE), IF(AE30 = 2, TRUE, FALSE)), VLOOKUP('Full Season Entries'!G31, t_asmGT3, 2, FALSE), IF(AND(IF(AD30 = 7, TRUE, FALSE), IF(AE30 = 3, TRUE, FALSE)), VLOOKUP('Full Season Entries'!G31, t_asmGT4, 2, FALSE), "")))))))))))))))))))))))))))</f>
        <v/>
      </c>
      <c r="AJ30" s="1" t="str">
        <f t="shared" si="4"/>
        <v/>
      </c>
      <c r="AK30" s="1" t="str">
        <f t="shared" si="5"/>
        <v/>
      </c>
      <c r="AL30" s="1" t="str">
        <f t="shared" si="24"/>
        <v/>
      </c>
      <c r="AM30" s="1" t="str">
        <f t="shared" si="6"/>
        <v/>
      </c>
      <c r="AO30" s="1" t="str">
        <f>'Full Season Entries'!I31</f>
        <v/>
      </c>
      <c r="AQ30" s="1">
        <f t="shared" si="7"/>
        <v>0</v>
      </c>
      <c r="AR30" s="1">
        <f>'Full Season Entries'!P31</f>
        <v>0</v>
      </c>
      <c r="AS30" s="1">
        <f>IF('Full Season Entries'!Q31 &lt;&gt; "", REPLACE('Full Season Entries'!Q31, 1, 1, "Level "), 0)</f>
        <v>0</v>
      </c>
      <c r="AT30" s="1">
        <f t="shared" si="8"/>
        <v>0</v>
      </c>
      <c r="AU30" s="1">
        <f>'Full Season Entries'!R31</f>
        <v>0</v>
      </c>
      <c r="AV30" s="1">
        <f>IF('Full Season Entries'!S31 &lt;&gt; "", REPLACE('Full Season Entries'!S31, 1, 1, "Level "), 0)</f>
        <v>0</v>
      </c>
      <c r="AW30" s="1">
        <f>IF('Full Season Entries'!T31 &lt;&gt; "", VLOOKUP('Full Season Entries'!T31, setupCostsReliability, 2, FALSE), 0)</f>
        <v>0</v>
      </c>
      <c r="AZ30" s="47" t="str">
        <f>IF('One-Off Entries'!I31 = "Yes", 0, IF(BQ30 &lt;&gt; "", IF(BQ30 = 1, VLOOKUP(BT30, gemCosts, 5, FALSE), IF(BQ30 = 2, VLOOKUP(BT30, nasccCosts, 5, FALSE), IF(BQ30 = 2.1, VLOOKUP(BT30, nasccScCosts, 5, FALSE), IF(BQ30 = 2.2, VLOOKUP(BT30, nasccEcCosts, 5, FALSE), IF(BQ30 = 3, VLOOKUP(BT30, euemCosts, 5, FALSE), IF(BQ30 = 4, VLOOKUP(BT30, wgtssCosts, 5, FALSE), IF(BQ30 = 5, VLOOKUP(BT30, wgtmCosts, 5, FALSE), IF(BQ30 = 6, VLOOKUP(BT30, wpcCosts, 5, FALSE), IF(BQ30 = 7, VLOOKUP(BT30, asmCosts, 5, FALSE), "")))))))))))</f>
        <v/>
      </c>
      <c r="BA30" s="47" t="str">
        <f t="shared" si="25"/>
        <v/>
      </c>
      <c r="BB30" s="47" t="str">
        <f t="shared" si="26"/>
        <v/>
      </c>
      <c r="BC30" s="51" t="str">
        <f>IF('One-Off Entries'!M31 &lt;&gt; "", IF('One-Off Entries'!M31 = "Bronze", -BX30, VLOOKUP('One-Off Entries'!M31, driverCosts, 2, FALSE) * BM30), "")</f>
        <v/>
      </c>
      <c r="BD30" s="2" t="str">
        <f>IF('One-Off Entries'!N31 &lt;&gt; "", IF('One-Off Entries'!N31 = "Bronze", -BY30, VLOOKUP('One-Off Entries'!N31, driverCosts, 2, FALSE) * BM30), "")</f>
        <v/>
      </c>
      <c r="BE30" s="2" t="str">
        <f>IF('One-Off Entries'!O31 &lt;&gt; "", IF('One-Off Entries'!O31 = "Bronze", -BZ30, VLOOKUP('One-Off Entries'!O31, driverCosts, 2, FALSE) * BM30), "")</f>
        <v/>
      </c>
      <c r="BF30" s="52" t="str">
        <f>IF('One-Off Entries'!P31 &lt;&gt; "", IF('One-Off Entries'!P31 = "Bronze", -CA30, VLOOKUP('One-Off Entries'!P31, driverCosts, 2, FALSE) * BM30), "")</f>
        <v/>
      </c>
      <c r="BG30" s="51">
        <f t="shared" si="27"/>
        <v>0</v>
      </c>
      <c r="BH30" s="2">
        <f t="shared" si="28"/>
        <v>0</v>
      </c>
      <c r="BI30" s="52">
        <f t="shared" si="29"/>
        <v>0</v>
      </c>
      <c r="BL30" s="1" t="str">
        <f t="shared" si="9"/>
        <v/>
      </c>
      <c r="BM30" s="1" t="str">
        <f t="shared" si="10"/>
        <v/>
      </c>
      <c r="BO30" s="1">
        <f>'One-Off Entries'!C31</f>
        <v>0</v>
      </c>
      <c r="BP30" s="1" t="str">
        <f>'One-Off Entries'!L31</f>
        <v/>
      </c>
      <c r="BQ30" s="1">
        <f>'One-Off Entries'!AI31</f>
        <v>0</v>
      </c>
      <c r="BR30" s="1">
        <f>'One-Off Entries'!AJ31</f>
        <v>0</v>
      </c>
      <c r="BT30" s="1" t="str">
        <f>'One-Off Entries'!E31</f>
        <v/>
      </c>
      <c r="BV30" s="1" t="str">
        <f>IF(AND(IF(BQ30 = 1, TRUE, FALSE), IF(BR30 = 1, TRUE, FALSE)), VLOOKUP('One-Off Entries'!H31, t_gemLMP1, 2, FALSE), IF(AND(IF(BQ30 = 1, TRUE, FALSE), IF(BR30 = 2, TRUE, FALSE)), VLOOKUP('One-Off Entries'!H31, t_gemLMP2, 2, FALSE), IF(AND(IF(BQ30 = 1, TRUE, FALSE), IF(BR30 = 3, TRUE, FALSE)), VLOOKUP('One-Off Entries'!H31, t_gemLMGTE, 2, FALSE), IF(AND(IF(BQ30 = 1, TRUE, FALSE), IF(BR30 = 4, TRUE, FALSE)), VLOOKUP('One-Off Entries'!H31, t_gemLMGTE, 2, FALSE), IF(AND(IF(BQ30 = 2, TRUE, FALSE), IF(BR30 = 1, TRUE, FALSE)), VLOOKUP('One-Off Entries'!H31, t_nasccDPi, 2, FALSE), IF(AND(IF(BQ30 = 2, TRUE, FALSE), IF(BR30 = 2, TRUE, FALSE)), VLOOKUP('One-Off Entries'!H31, t_nasccLMP2, 2, FALSE), IF(AND(IF(BQ30 = 2, TRUE, FALSE), IF(BR30 = 3, TRUE, FALSE)), VLOOKUP('One-Off Entries'!H31, t_nasccGTLM, 2, FALSE), IF(AND(IF(BQ30 = 2, TRUE, FALSE), IF(BR30 = 4, TRUE, FALSE)), VLOOKUP('One-Off Entries'!H31, t_nasccGTD, 2, FALSE), IF(AND(IF(BQ30 = 2.1, TRUE, FALSE), IF(BR30 = 1, TRUE, FALSE)), VLOOKUP('One-Off Entries'!H31, t_nasccDPi, 2, FALSE), IF(AND(IF(BQ30 = 2.1, TRUE, FALSE), IF(BR30 = 2, TRUE, FALSE)), VLOOKUP('One-Off Entries'!H31, t_nasccLMP2, 2, FALSE), IF(AND(IF(BQ30 = 2.1, TRUE, FALSE), IF(BR30 = 3, TRUE, FALSE)), VLOOKUP('One-Off Entries'!H31, t_nasccGTLM, 2, FALSE), IF(AND(IF(BQ30 = 2.1, TRUE, FALSE), IF(BR30 = 4, TRUE, FALSE)), VLOOKUP('One-Off Entries'!H31, t_nasccGTD, 2, FALSE), IF(AND(IF(BQ30 = 2.2, TRUE, FALSE), IF(BR30 = 1, TRUE, FALSE)), VLOOKUP('One-Off Entries'!H31, t_nasccDPi, 2, FALSE), IF(AND(IF(BQ30 = 2.2, TRUE, FALSE), IF(BR30 = 2, TRUE, FALSE)), VLOOKUP('One-Off Entries'!H31, t_nasccLMP2, 2, FALSE), IF(AND(IF(BQ30 = 2.2, TRUE, FALSE), IF(BR30 = 3, TRUE, FALSE)), VLOOKUP('One-Off Entries'!H31, t_nasccGTLM, 2, FALSE), IF(AND(IF(BQ30 = 2.2, TRUE, FALSE), IF(BR30 = 4, TRUE, FALSE)), VLOOKUP('One-Off Entries'!H31, t_nasccGTD, 2, FALSE), IF(AND(IF(BQ30 = 3, TRUE, FALSE), IF(BR30 = 1, TRUE, FALSE)), VLOOKUP('One-Off Entries'!H31, t_euemLMP2, 2, FALSE), IF(AND(IF(BQ30 = 3, TRUE, FALSE), IF(BR30 = 2, TRUE, FALSE)), VLOOKUP('One-Off Entries'!H31, t_euemLMP3, 2, FALSE), IF(AND(IF(BQ30 = 3, TRUE, FALSE), IF(BR30 = 3, TRUE, FALSE)), VLOOKUP('One-Off Entries'!H31, t_euemLMGTE, 2, FALSE), IF(AND(IF(BQ30 = 4, TRUE, FALSE), IF(BR30 = 1, TRUE, FALSE)), VLOOKUP('One-Off Entries'!H31, t_wgtssGT3, 2, FALSE), IF(AND(IF(BQ30 = 4, TRUE, FALSE), IF(BR30 = 2, TRUE, FALSE)), VLOOKUP('One-Off Entries'!H31, t_wgtssGT4, 2, FALSE), IF(AND(IF(BQ30 = 5, TRUE, FALSE), IF(BR30 = 1, TRUE, FALSE)), VLOOKUP('One-Off Entries'!H31, t_wgtmGT3P, 2, FALSE), IF(AND(IF(BQ30 = 5, TRUE, FALSE), IF(BR30 = 2, TRUE, FALSE)), VLOOKUP('One-Off Entries'!H31, t_wgtmGT3A, 2, FALSE), IF(AND(IF(BQ30 = 5, TRUE, FALSE), IF(BR30 = 3, TRUE, FALSE)), VLOOKUP('One-Off Entries'!H31, t_wgtmGT4, 2, FALSE), IF(AND(IF(BQ30 = 7, TRUE, FALSE), IF(BR30 = 1, TRUE, FALSE)), VLOOKUP('One-Off Entries'!H31, t_asmLMP3, 2, FALSE), IF(AND(IF(BQ30 = 7, TRUE, FALSE), IF(BR30 = 2, TRUE, FALSE)), VLOOKUP('One-Off Entries'!H31, t_asmGT3, 2, FALSE), IF(AND(IF(BQ30 = 7, TRUE, FALSE), IF(BR30 = 3, TRUE, FALSE)), VLOOKUP('One-Off Entries'!H31, t_asmGT4, 2, FALSE), "")))))))))))))))))))))))))))</f>
        <v/>
      </c>
      <c r="BX30" s="1" t="str">
        <f t="shared" si="11"/>
        <v/>
      </c>
      <c r="BY30" s="1" t="str">
        <f t="shared" si="12"/>
        <v/>
      </c>
      <c r="BZ30" s="1" t="str">
        <f t="shared" si="13"/>
        <v/>
      </c>
      <c r="CA30" s="1" t="str">
        <f t="shared" si="14"/>
        <v/>
      </c>
      <c r="CC30" s="1" t="str">
        <f>'One-Off Entries'!K31</f>
        <v/>
      </c>
      <c r="CD30" s="1">
        <f t="shared" si="15"/>
        <v>0</v>
      </c>
      <c r="CE30" s="1">
        <f>'One-Off Entries'!R31</f>
        <v>0</v>
      </c>
      <c r="CF30" s="1">
        <f>IF('One-Off Entries'!S31 &lt;&gt; "", REPLACE('One-Off Entries'!S31, 1, 1, "Level "), 0)</f>
        <v>0</v>
      </c>
      <c r="CG30" s="1">
        <f t="shared" si="16"/>
        <v>0</v>
      </c>
      <c r="CH30" s="1">
        <f>'One-Off Entries'!T31</f>
        <v>0</v>
      </c>
      <c r="CI30" s="1">
        <f>IF('One-Off Entries'!U31 &lt;&gt; "", REPLACE('One-Off Entries'!U31, 1, 1, "Level "), 0)</f>
        <v>0</v>
      </c>
      <c r="CJ30" s="1">
        <f>IF('One-Off Entries'!V31 &lt;&gt; "", VLOOKUP('One-Off Entries'!V31, setupCostsReliability, 2, FALSE), 0)</f>
        <v>0</v>
      </c>
    </row>
    <row r="31" spans="7:88" ht="18" customHeight="1" x14ac:dyDescent="0.3">
      <c r="G31" s="47" t="str">
        <f>IF('Car Purchase'!D31 &lt;&gt; "", VLOOKUP('Car Purchase'!D31, modelData, 3, FALSE), "")</f>
        <v/>
      </c>
      <c r="H31" s="51" t="str">
        <f>IF('Car Purchase'!I31 &lt;&gt; "", VLOOKUP('Car Purchase'!I31, modelData, 4, FALSE) * 'Car Purchase'!J31, "")</f>
        <v/>
      </c>
      <c r="I31" s="2" t="str">
        <f>IF('Car Purchase'!I31 &lt;&gt; "", VLOOKUP('Car Purchase'!I31, modelData, 5, FALSE) * 'Car Purchase'!K31, "")</f>
        <v/>
      </c>
      <c r="J31" s="52" t="str">
        <f>IF('Car Purchase'!I31 &lt;&gt; "", VLOOKUP('Car Purchase'!I31, modelData, 6, FALSE) * 'Car Purchase'!L31, "")</f>
        <v/>
      </c>
      <c r="M31" s="47" t="str">
        <f t="shared" si="0"/>
        <v/>
      </c>
      <c r="N31" s="47" t="str">
        <f t="shared" si="18"/>
        <v/>
      </c>
      <c r="O31" s="47" t="str">
        <f t="shared" si="1"/>
        <v/>
      </c>
      <c r="P31" s="51" t="str">
        <f>IF('Full Season Entries'!K32 &lt;&gt; "", IF('Full Season Entries'!K32 = "Bronze", -AJ31, VLOOKUP('Full Season Entries'!K32, driverCosts, 2, FALSE) * Z31), "")</f>
        <v/>
      </c>
      <c r="Q31" s="2" t="str">
        <f>IF('Full Season Entries'!L32 &lt;&gt; "", IF('Full Season Entries'!L32 = "Bronze", -AK31, VLOOKUP('Full Season Entries'!L32, driverCosts, 2, FALSE) * Z31), "")</f>
        <v/>
      </c>
      <c r="R31" s="2" t="str">
        <f>IF('Full Season Entries'!M32 &lt;&gt; "", IF('Full Season Entries'!M32 = "Bronze", -AL31, IF(AND(AD31 = 2, OR(AF31 = "DPi", AF31 = "GTLM")), VLOOKUP('Full Season Entries'!M32, driverCosts, 2, FALSE) * VLOOKUP(AF31, nasccEcCosts, 3, FALSE), IF(AD31 = 7, VLOOKUP('Full Season Entries'!M32, driverCosts, 2, FALSE) * VLOOKUP("ASM 210 Minutes of CoTA", oneOffs, 3, FALSE), VLOOKUP('Full Season Entries'!M32, driverCosts, 2, FALSE) * Z31))), "")</f>
        <v/>
      </c>
      <c r="S31" s="52" t="str">
        <f>IF('Full Season Entries'!N32 &lt;&gt; "", IF('Full Season Entries'!N32 = "Bronze", -AM31, VLOOKUP('Full Season Entries'!N32, driverCosts, 2, FALSE) * Z31), "")</f>
        <v/>
      </c>
      <c r="T31" s="51">
        <f t="shared" si="19"/>
        <v>0</v>
      </c>
      <c r="U31" s="2">
        <f t="shared" si="20"/>
        <v>0</v>
      </c>
      <c r="V31" s="52">
        <f t="shared" si="21"/>
        <v>0</v>
      </c>
      <c r="Y31" s="1" t="str">
        <f t="shared" si="22"/>
        <v/>
      </c>
      <c r="Z31" s="1">
        <f t="shared" si="23"/>
        <v>0</v>
      </c>
      <c r="AA31" s="1">
        <f t="shared" si="3"/>
        <v>0</v>
      </c>
      <c r="AC31" s="1" t="str">
        <f>'Full Season Entries'!J32</f>
        <v/>
      </c>
      <c r="AD31" s="1">
        <f>'Full Season Entries'!AF32</f>
        <v>0</v>
      </c>
      <c r="AE31" s="1">
        <f>'Full Season Entries'!AG32</f>
        <v>0</v>
      </c>
      <c r="AF31" s="1" t="str">
        <f>'Full Season Entries'!D32</f>
        <v/>
      </c>
      <c r="AH31" s="1" t="str">
        <f>IF(AND(IF(AD31 = 1, TRUE, FALSE), IF(AE31 = 1, TRUE, FALSE)), VLOOKUP('Full Season Entries'!G32, t_gemLMP1, 2, FALSE), IF(AND(IF(AD31 = 1, TRUE, FALSE), IF(AE31 = 2, TRUE, FALSE)), VLOOKUP('Full Season Entries'!G32, t_gemLMP2, 2, FALSE), IF(AND(IF(AD31 = 1, TRUE, FALSE), IF(AE31 = 3, TRUE, FALSE)), VLOOKUP('Full Season Entries'!G32, t_gemLMGTE, 2, FALSE), IF(AND(IF(AD31 = 1, TRUE, FALSE), IF(AE31 = 4, TRUE, FALSE)), VLOOKUP('Full Season Entries'!G32, t_gemLMGTE, 2, FALSE), IF(AND(IF(AD31 = 2, TRUE, FALSE), IF(AE31 = 1, TRUE, FALSE)), VLOOKUP('Full Season Entries'!G32, t_nasccDPi, 2, FALSE), IF(AND(IF(AD31 = 2, TRUE, FALSE), IF(AE31 = 2, TRUE, FALSE)), VLOOKUP('Full Season Entries'!G32, t_nasccLMP2, 2, FALSE), IF(AND(IF(AD31 = 2, TRUE, FALSE), IF(AE31 = 3, TRUE, FALSE)), VLOOKUP('Full Season Entries'!G32, t_nasccGTLM, 2, FALSE), IF(AND(IF(AD31 = 2, TRUE, FALSE), IF(AE31 = 4, TRUE, FALSE)), VLOOKUP('Full Season Entries'!G32, t_nasccGTD, 2, FALSE), IF(AND(IF(AD31 = 2.1, TRUE, FALSE), IF(AE31 = 1, TRUE, FALSE)), VLOOKUP('Full Season Entries'!G32, t_nasccDPi, 2, FALSE), IF(AND(IF(AD31 = 2.1, TRUE, FALSE), IF(AE31 = 2, TRUE, FALSE)), VLOOKUP('Full Season Entries'!G32, t_nasccLMP2, 2, FALSE), IF(AND(IF(AD31 = 2.1, TRUE, FALSE), IF(AE31 = 3, TRUE, FALSE)), VLOOKUP('Full Season Entries'!G32, t_nasccGTLM, 2, FALSE), IF(AND(IF(AD31 = 2.1, TRUE, FALSE), IF(AE31 = 4, TRUE, FALSE)), VLOOKUP('Full Season Entries'!G32, t_nasccGTD, 2, FALSE), IF(AND(IF(AD31 = 2.2, TRUE, FALSE), IF(AE31 = 1, TRUE, FALSE)), VLOOKUP('Full Season Entries'!G32, t_nasccDPi, 2, FALSE), IF(AND(IF(AD31 = 2.2, TRUE, FALSE), IF(AE31 = 2, TRUE, FALSE)), VLOOKUP('Full Season Entries'!G32, t_nasccLMP2, 2, FALSE), IF(AND(IF(AD31 = 2.2, TRUE, FALSE), IF(AE31 = 3, TRUE, FALSE)), VLOOKUP('Full Season Entries'!G32, t_nasccGTLM, 2, FALSE), IF(AND(IF(AD31 = 2.2, TRUE, FALSE), IF(AE31 = 4, TRUE, FALSE)), VLOOKUP('Full Season Entries'!G32, t_nasccGTD, 2, FALSE), IF(AND(IF(AD31 = 3, TRUE, FALSE), IF(AE31 = 1, TRUE, FALSE)), VLOOKUP('Full Season Entries'!G32, t_euemLMP2, 2, FALSE), IF(AND(IF(AD31 = 3, TRUE, FALSE), IF(AE31 = 2, TRUE, FALSE)), VLOOKUP('Full Season Entries'!G32, t_euemLMP3, 2, FALSE), IF(AND(IF(AD31 = 3, TRUE, FALSE), IF(AE31 = 3, TRUE, FALSE)), VLOOKUP('Full Season Entries'!G32, t_euemLMGTE, 2, FALSE), IF(AND(IF(AD31 = 4, TRUE, FALSE), IF(AE31 = 1, TRUE, FALSE)), VLOOKUP('Full Season Entries'!G32, t_wgtssGT3, 2, FALSE), IF(AND(IF(AD31 = 4, TRUE, FALSE), IF(AE31 = 2, TRUE, FALSE)), VLOOKUP('Full Season Entries'!G32, t_wgtssGT4, 2, FALSE), IF(AND(IF(AD31 = 5, TRUE, FALSE), IF(AE31 = 1, TRUE, FALSE)), VLOOKUP('Full Season Entries'!G32, t_wgtmGT3P, 2, FALSE), IF(AND(IF(AD31 = 5, TRUE, FALSE), IF(AE31 = 2, TRUE, FALSE)), VLOOKUP('Full Season Entries'!G32, t_wgtmGT3A, 2, FALSE), IF(AND(IF(AD31 = 5, TRUE, FALSE), IF(AE31 = 3, TRUE, FALSE)), VLOOKUP('Full Season Entries'!G32, t_wgtmGT4, 2, FALSE), IF(AND(IF(AD31 = 7, TRUE, FALSE), IF(AE31 = 1, TRUE, FALSE)), VLOOKUP('Full Season Entries'!G32, t_asmLMP3, 2, FALSE), IF(AND(IF(AD31 = 7, TRUE, FALSE), IF(AE31 = 2, TRUE, FALSE)), VLOOKUP('Full Season Entries'!G32, t_asmGT3, 2, FALSE), IF(AND(IF(AD31 = 7, TRUE, FALSE), IF(AE31 = 3, TRUE, FALSE)), VLOOKUP('Full Season Entries'!G32, t_asmGT4, 2, FALSE), "")))))))))))))))))))))))))))</f>
        <v/>
      </c>
      <c r="AJ31" s="1" t="str">
        <f t="shared" si="4"/>
        <v/>
      </c>
      <c r="AK31" s="1" t="str">
        <f t="shared" si="5"/>
        <v/>
      </c>
      <c r="AL31" s="1" t="str">
        <f t="shared" si="24"/>
        <v/>
      </c>
      <c r="AM31" s="1" t="str">
        <f t="shared" si="6"/>
        <v/>
      </c>
      <c r="AO31" s="1" t="str">
        <f>'Full Season Entries'!I32</f>
        <v/>
      </c>
      <c r="AQ31" s="1">
        <f t="shared" si="7"/>
        <v>0</v>
      </c>
      <c r="AR31" s="1">
        <f>'Full Season Entries'!P32</f>
        <v>0</v>
      </c>
      <c r="AS31" s="1">
        <f>IF('Full Season Entries'!Q32 &lt;&gt; "", REPLACE('Full Season Entries'!Q32, 1, 1, "Level "), 0)</f>
        <v>0</v>
      </c>
      <c r="AT31" s="1">
        <f t="shared" si="8"/>
        <v>0</v>
      </c>
      <c r="AU31" s="1">
        <f>'Full Season Entries'!R32</f>
        <v>0</v>
      </c>
      <c r="AV31" s="1">
        <f>IF('Full Season Entries'!S32 &lt;&gt; "", REPLACE('Full Season Entries'!S32, 1, 1, "Level "), 0)</f>
        <v>0</v>
      </c>
      <c r="AW31" s="1">
        <f>IF('Full Season Entries'!T32 &lt;&gt; "", VLOOKUP('Full Season Entries'!T32, setupCostsReliability, 2, FALSE), 0)</f>
        <v>0</v>
      </c>
      <c r="AZ31" s="47" t="str">
        <f>IF('One-Off Entries'!I32 = "Yes", 0, IF(BQ31 &lt;&gt; "", IF(BQ31 = 1, VLOOKUP(BT31, gemCosts, 5, FALSE), IF(BQ31 = 2, VLOOKUP(BT31, nasccCosts, 5, FALSE), IF(BQ31 = 2.1, VLOOKUP(BT31, nasccScCosts, 5, FALSE), IF(BQ31 = 2.2, VLOOKUP(BT31, nasccEcCosts, 5, FALSE), IF(BQ31 = 3, VLOOKUP(BT31, euemCosts, 5, FALSE), IF(BQ31 = 4, VLOOKUP(BT31, wgtssCosts, 5, FALSE), IF(BQ31 = 5, VLOOKUP(BT31, wgtmCosts, 5, FALSE), IF(BQ31 = 6, VLOOKUP(BT31, wpcCosts, 5, FALSE), IF(BQ31 = 7, VLOOKUP(BT31, asmCosts, 5, FALSE), "")))))))))))</f>
        <v/>
      </c>
      <c r="BA31" s="47" t="str">
        <f t="shared" si="25"/>
        <v/>
      </c>
      <c r="BB31" s="47" t="str">
        <f t="shared" si="26"/>
        <v/>
      </c>
      <c r="BC31" s="51" t="str">
        <f>IF('One-Off Entries'!M32 &lt;&gt; "", IF('One-Off Entries'!M32 = "Bronze", -BX31, VLOOKUP('One-Off Entries'!M32, driverCosts, 2, FALSE) * BM31), "")</f>
        <v/>
      </c>
      <c r="BD31" s="2" t="str">
        <f>IF('One-Off Entries'!N32 &lt;&gt; "", IF('One-Off Entries'!N32 = "Bronze", -BY31, VLOOKUP('One-Off Entries'!N32, driverCosts, 2, FALSE) * BM31), "")</f>
        <v/>
      </c>
      <c r="BE31" s="2" t="str">
        <f>IF('One-Off Entries'!O32 &lt;&gt; "", IF('One-Off Entries'!O32 = "Bronze", -BZ31, VLOOKUP('One-Off Entries'!O32, driverCosts, 2, FALSE) * BM31), "")</f>
        <v/>
      </c>
      <c r="BF31" s="52" t="str">
        <f>IF('One-Off Entries'!P32 &lt;&gt; "", IF('One-Off Entries'!P32 = "Bronze", -CA31, VLOOKUP('One-Off Entries'!P32, driverCosts, 2, FALSE) * BM31), "")</f>
        <v/>
      </c>
      <c r="BG31" s="51">
        <f t="shared" si="27"/>
        <v>0</v>
      </c>
      <c r="BH31" s="2">
        <f t="shared" si="28"/>
        <v>0</v>
      </c>
      <c r="BI31" s="52">
        <f t="shared" si="29"/>
        <v>0</v>
      </c>
      <c r="BL31" s="1" t="str">
        <f t="shared" si="9"/>
        <v/>
      </c>
      <c r="BM31" s="1" t="str">
        <f t="shared" si="10"/>
        <v/>
      </c>
      <c r="BO31" s="1">
        <f>'One-Off Entries'!C32</f>
        <v>0</v>
      </c>
      <c r="BP31" s="1" t="str">
        <f>'One-Off Entries'!L32</f>
        <v/>
      </c>
      <c r="BQ31" s="1">
        <f>'One-Off Entries'!AI32</f>
        <v>0</v>
      </c>
      <c r="BR31" s="1">
        <f>'One-Off Entries'!AJ32</f>
        <v>0</v>
      </c>
      <c r="BT31" s="1" t="str">
        <f>'One-Off Entries'!E32</f>
        <v/>
      </c>
      <c r="BV31" s="1" t="str">
        <f>IF(AND(IF(BQ31 = 1, TRUE, FALSE), IF(BR31 = 1, TRUE, FALSE)), VLOOKUP('One-Off Entries'!H32, t_gemLMP1, 2, FALSE), IF(AND(IF(BQ31 = 1, TRUE, FALSE), IF(BR31 = 2, TRUE, FALSE)), VLOOKUP('One-Off Entries'!H32, t_gemLMP2, 2, FALSE), IF(AND(IF(BQ31 = 1, TRUE, FALSE), IF(BR31 = 3, TRUE, FALSE)), VLOOKUP('One-Off Entries'!H32, t_gemLMGTE, 2, FALSE), IF(AND(IF(BQ31 = 1, TRUE, FALSE), IF(BR31 = 4, TRUE, FALSE)), VLOOKUP('One-Off Entries'!H32, t_gemLMGTE, 2, FALSE), IF(AND(IF(BQ31 = 2, TRUE, FALSE), IF(BR31 = 1, TRUE, FALSE)), VLOOKUP('One-Off Entries'!H32, t_nasccDPi, 2, FALSE), IF(AND(IF(BQ31 = 2, TRUE, FALSE), IF(BR31 = 2, TRUE, FALSE)), VLOOKUP('One-Off Entries'!H32, t_nasccLMP2, 2, FALSE), IF(AND(IF(BQ31 = 2, TRUE, FALSE), IF(BR31 = 3, TRUE, FALSE)), VLOOKUP('One-Off Entries'!H32, t_nasccGTLM, 2, FALSE), IF(AND(IF(BQ31 = 2, TRUE, FALSE), IF(BR31 = 4, TRUE, FALSE)), VLOOKUP('One-Off Entries'!H32, t_nasccGTD, 2, FALSE), IF(AND(IF(BQ31 = 2.1, TRUE, FALSE), IF(BR31 = 1, TRUE, FALSE)), VLOOKUP('One-Off Entries'!H32, t_nasccDPi, 2, FALSE), IF(AND(IF(BQ31 = 2.1, TRUE, FALSE), IF(BR31 = 2, TRUE, FALSE)), VLOOKUP('One-Off Entries'!H32, t_nasccLMP2, 2, FALSE), IF(AND(IF(BQ31 = 2.1, TRUE, FALSE), IF(BR31 = 3, TRUE, FALSE)), VLOOKUP('One-Off Entries'!H32, t_nasccGTLM, 2, FALSE), IF(AND(IF(BQ31 = 2.1, TRUE, FALSE), IF(BR31 = 4, TRUE, FALSE)), VLOOKUP('One-Off Entries'!H32, t_nasccGTD, 2, FALSE), IF(AND(IF(BQ31 = 2.2, TRUE, FALSE), IF(BR31 = 1, TRUE, FALSE)), VLOOKUP('One-Off Entries'!H32, t_nasccDPi, 2, FALSE), IF(AND(IF(BQ31 = 2.2, TRUE, FALSE), IF(BR31 = 2, TRUE, FALSE)), VLOOKUP('One-Off Entries'!H32, t_nasccLMP2, 2, FALSE), IF(AND(IF(BQ31 = 2.2, TRUE, FALSE), IF(BR31 = 3, TRUE, FALSE)), VLOOKUP('One-Off Entries'!H32, t_nasccGTLM, 2, FALSE), IF(AND(IF(BQ31 = 2.2, TRUE, FALSE), IF(BR31 = 4, TRUE, FALSE)), VLOOKUP('One-Off Entries'!H32, t_nasccGTD, 2, FALSE), IF(AND(IF(BQ31 = 3, TRUE, FALSE), IF(BR31 = 1, TRUE, FALSE)), VLOOKUP('One-Off Entries'!H32, t_euemLMP2, 2, FALSE), IF(AND(IF(BQ31 = 3, TRUE, FALSE), IF(BR31 = 2, TRUE, FALSE)), VLOOKUP('One-Off Entries'!H32, t_euemLMP3, 2, FALSE), IF(AND(IF(BQ31 = 3, TRUE, FALSE), IF(BR31 = 3, TRUE, FALSE)), VLOOKUP('One-Off Entries'!H32, t_euemLMGTE, 2, FALSE), IF(AND(IF(BQ31 = 4, TRUE, FALSE), IF(BR31 = 1, TRUE, FALSE)), VLOOKUP('One-Off Entries'!H32, t_wgtssGT3, 2, FALSE), IF(AND(IF(BQ31 = 4, TRUE, FALSE), IF(BR31 = 2, TRUE, FALSE)), VLOOKUP('One-Off Entries'!H32, t_wgtssGT4, 2, FALSE), IF(AND(IF(BQ31 = 5, TRUE, FALSE), IF(BR31 = 1, TRUE, FALSE)), VLOOKUP('One-Off Entries'!H32, t_wgtmGT3P, 2, FALSE), IF(AND(IF(BQ31 = 5, TRUE, FALSE), IF(BR31 = 2, TRUE, FALSE)), VLOOKUP('One-Off Entries'!H32, t_wgtmGT3A, 2, FALSE), IF(AND(IF(BQ31 = 5, TRUE, FALSE), IF(BR31 = 3, TRUE, FALSE)), VLOOKUP('One-Off Entries'!H32, t_wgtmGT4, 2, FALSE), IF(AND(IF(BQ31 = 7, TRUE, FALSE), IF(BR31 = 1, TRUE, FALSE)), VLOOKUP('One-Off Entries'!H32, t_asmLMP3, 2, FALSE), IF(AND(IF(BQ31 = 7, TRUE, FALSE), IF(BR31 = 2, TRUE, FALSE)), VLOOKUP('One-Off Entries'!H32, t_asmGT3, 2, FALSE), IF(AND(IF(BQ31 = 7, TRUE, FALSE), IF(BR31 = 3, TRUE, FALSE)), VLOOKUP('One-Off Entries'!H32, t_asmGT4, 2, FALSE), "")))))))))))))))))))))))))))</f>
        <v/>
      </c>
      <c r="BX31" s="1" t="str">
        <f t="shared" si="11"/>
        <v/>
      </c>
      <c r="BY31" s="1" t="str">
        <f t="shared" si="12"/>
        <v/>
      </c>
      <c r="BZ31" s="1" t="str">
        <f t="shared" si="13"/>
        <v/>
      </c>
      <c r="CA31" s="1" t="str">
        <f t="shared" si="14"/>
        <v/>
      </c>
      <c r="CC31" s="1" t="str">
        <f>'One-Off Entries'!K32</f>
        <v/>
      </c>
      <c r="CD31" s="1">
        <f t="shared" si="15"/>
        <v>0</v>
      </c>
      <c r="CE31" s="1">
        <f>'One-Off Entries'!R32</f>
        <v>0</v>
      </c>
      <c r="CF31" s="1">
        <f>IF('One-Off Entries'!S32 &lt;&gt; "", REPLACE('One-Off Entries'!S32, 1, 1, "Level "), 0)</f>
        <v>0</v>
      </c>
      <c r="CG31" s="1">
        <f t="shared" si="16"/>
        <v>0</v>
      </c>
      <c r="CH31" s="1">
        <f>'One-Off Entries'!T32</f>
        <v>0</v>
      </c>
      <c r="CI31" s="1">
        <f>IF('One-Off Entries'!U32 &lt;&gt; "", REPLACE('One-Off Entries'!U32, 1, 1, "Level "), 0)</f>
        <v>0</v>
      </c>
      <c r="CJ31" s="1">
        <f>IF('One-Off Entries'!V32 &lt;&gt; "", VLOOKUP('One-Off Entries'!V32, setupCostsReliability, 2, FALSE), 0)</f>
        <v>0</v>
      </c>
    </row>
    <row r="32" spans="7:88" ht="18" customHeight="1" x14ac:dyDescent="0.3">
      <c r="G32" s="47" t="str">
        <f>IF('Car Purchase'!D32 &lt;&gt; "", VLOOKUP('Car Purchase'!D32, modelData, 3, FALSE), "")</f>
        <v/>
      </c>
      <c r="H32" s="51" t="str">
        <f>IF('Car Purchase'!I32 &lt;&gt; "", VLOOKUP('Car Purchase'!I32, modelData, 4, FALSE) * 'Car Purchase'!J32, "")</f>
        <v/>
      </c>
      <c r="I32" s="2" t="str">
        <f>IF('Car Purchase'!I32 &lt;&gt; "", VLOOKUP('Car Purchase'!I32, modelData, 5, FALSE) * 'Car Purchase'!K32, "")</f>
        <v/>
      </c>
      <c r="J32" s="52" t="str">
        <f>IF('Car Purchase'!I32 &lt;&gt; "", VLOOKUP('Car Purchase'!I32, modelData, 6, FALSE) * 'Car Purchase'!L32, "")</f>
        <v/>
      </c>
      <c r="M32" s="47" t="str">
        <f t="shared" si="0"/>
        <v/>
      </c>
      <c r="N32" s="47" t="str">
        <f>IF(AND(IF(ISERROR(Y32) = FALSE, TRUE, FALSE), IF(Y32 &lt;&gt; "", TRUE, FALSE), IF(ISERROR(Z32) = FALSE, TRUE, FALSE)) = TRUE, Y32 * Z32, "")</f>
        <v/>
      </c>
      <c r="O32" s="47" t="str">
        <f t="shared" si="1"/>
        <v/>
      </c>
      <c r="P32" s="51" t="str">
        <f>IF('Full Season Entries'!K33 &lt;&gt; "", IF('Full Season Entries'!K33 = "Bronze", -AJ32, VLOOKUP('Full Season Entries'!K33, driverCosts, 2, FALSE) * Z32), "")</f>
        <v/>
      </c>
      <c r="Q32" s="2" t="str">
        <f>IF('Full Season Entries'!L33 &lt;&gt; "", IF('Full Season Entries'!L33 = "Bronze", -AK32, VLOOKUP('Full Season Entries'!L33, driverCosts, 2, FALSE) * Z32), "")</f>
        <v/>
      </c>
      <c r="R32" s="2" t="str">
        <f>IF('Full Season Entries'!M33 &lt;&gt; "", IF('Full Season Entries'!M33 = "Bronze", -AL32, IF(AND(AD32 = 2, OR(AF32 = "DPi", AF32 = "GTLM")), VLOOKUP('Full Season Entries'!M33, driverCosts, 2, FALSE) * VLOOKUP(AF32, nasccEcCosts, 3, FALSE), IF(AD32 = 7, VLOOKUP('Full Season Entries'!M33, driverCosts, 2, FALSE) * VLOOKUP("ASM 210 Minutes of CoTA", oneOffs, 3, FALSE), VLOOKUP('Full Season Entries'!M33, driverCosts, 2, FALSE) * Z32))), "")</f>
        <v/>
      </c>
      <c r="S32" s="52" t="str">
        <f>IF('Full Season Entries'!N33 &lt;&gt; "", IF('Full Season Entries'!N33 = "Bronze", -AM32, VLOOKUP('Full Season Entries'!N33, driverCosts, 2, FALSE) * Z32), "")</f>
        <v/>
      </c>
      <c r="T32" s="51">
        <f t="shared" si="19"/>
        <v>0</v>
      </c>
      <c r="U32" s="2">
        <f t="shared" si="20"/>
        <v>0</v>
      </c>
      <c r="V32" s="52">
        <f t="shared" si="21"/>
        <v>0</v>
      </c>
      <c r="Y32" s="1" t="str">
        <f t="shared" si="22"/>
        <v/>
      </c>
      <c r="Z32" s="1">
        <f t="shared" si="23"/>
        <v>0</v>
      </c>
      <c r="AA32" s="1">
        <f t="shared" si="3"/>
        <v>0</v>
      </c>
      <c r="AC32" s="1" t="str">
        <f>'Full Season Entries'!J33</f>
        <v/>
      </c>
      <c r="AD32" s="1">
        <f>'Full Season Entries'!AF33</f>
        <v>0</v>
      </c>
      <c r="AE32" s="1">
        <f>'Full Season Entries'!AG33</f>
        <v>0</v>
      </c>
      <c r="AF32" s="1" t="str">
        <f>'Full Season Entries'!D33</f>
        <v/>
      </c>
      <c r="AH32" s="1" t="str">
        <f>IF(AND(IF(AD32 = 1, TRUE, FALSE), IF(AE32 = 1, TRUE, FALSE)), VLOOKUP('Full Season Entries'!G33, t_gemLMP1, 2, FALSE), IF(AND(IF(AD32 = 1, TRUE, FALSE), IF(AE32 = 2, TRUE, FALSE)), VLOOKUP('Full Season Entries'!G33, t_gemLMP2, 2, FALSE), IF(AND(IF(AD32 = 1, TRUE, FALSE), IF(AE32 = 3, TRUE, FALSE)), VLOOKUP('Full Season Entries'!G33, t_gemLMGTE, 2, FALSE), IF(AND(IF(AD32 = 1, TRUE, FALSE), IF(AE32 = 4, TRUE, FALSE)), VLOOKUP('Full Season Entries'!G33, t_gemLMGTE, 2, FALSE), IF(AND(IF(AD32 = 2, TRUE, FALSE), IF(AE32 = 1, TRUE, FALSE)), VLOOKUP('Full Season Entries'!G33, t_nasccDPi, 2, FALSE), IF(AND(IF(AD32 = 2, TRUE, FALSE), IF(AE32 = 2, TRUE, FALSE)), VLOOKUP('Full Season Entries'!G33, t_nasccLMP2, 2, FALSE), IF(AND(IF(AD32 = 2, TRUE, FALSE), IF(AE32 = 3, TRUE, FALSE)), VLOOKUP('Full Season Entries'!G33, t_nasccGTLM, 2, FALSE), IF(AND(IF(AD32 = 2, TRUE, FALSE), IF(AE32 = 4, TRUE, FALSE)), VLOOKUP('Full Season Entries'!G33, t_nasccGTD, 2, FALSE), IF(AND(IF(AD32 = 2.1, TRUE, FALSE), IF(AE32 = 1, TRUE, FALSE)), VLOOKUP('Full Season Entries'!G33, t_nasccDPi, 2, FALSE), IF(AND(IF(AD32 = 2.1, TRUE, FALSE), IF(AE32 = 2, TRUE, FALSE)), VLOOKUP('Full Season Entries'!G33, t_nasccLMP2, 2, FALSE), IF(AND(IF(AD32 = 2.1, TRUE, FALSE), IF(AE32 = 3, TRUE, FALSE)), VLOOKUP('Full Season Entries'!G33, t_nasccGTLM, 2, FALSE), IF(AND(IF(AD32 = 2.1, TRUE, FALSE), IF(AE32 = 4, TRUE, FALSE)), VLOOKUP('Full Season Entries'!G33, t_nasccGTD, 2, FALSE), IF(AND(IF(AD32 = 2.2, TRUE, FALSE), IF(AE32 = 1, TRUE, FALSE)), VLOOKUP('Full Season Entries'!G33, t_nasccDPi, 2, FALSE), IF(AND(IF(AD32 = 2.2, TRUE, FALSE), IF(AE32 = 2, TRUE, FALSE)), VLOOKUP('Full Season Entries'!G33, t_nasccLMP2, 2, FALSE), IF(AND(IF(AD32 = 2.2, TRUE, FALSE), IF(AE32 = 3, TRUE, FALSE)), VLOOKUP('Full Season Entries'!G33, t_nasccGTLM, 2, FALSE), IF(AND(IF(AD32 = 2.2, TRUE, FALSE), IF(AE32 = 4, TRUE, FALSE)), VLOOKUP('Full Season Entries'!G33, t_nasccGTD, 2, FALSE), IF(AND(IF(AD32 = 3, TRUE, FALSE), IF(AE32 = 1, TRUE, FALSE)), VLOOKUP('Full Season Entries'!G33, t_euemLMP2, 2, FALSE), IF(AND(IF(AD32 = 3, TRUE, FALSE), IF(AE32 = 2, TRUE, FALSE)), VLOOKUP('Full Season Entries'!G33, t_euemLMP3, 2, FALSE), IF(AND(IF(AD32 = 3, TRUE, FALSE), IF(AE32 = 3, TRUE, FALSE)), VLOOKUP('Full Season Entries'!G33, t_euemLMGTE, 2, FALSE), IF(AND(IF(AD32 = 4, TRUE, FALSE), IF(AE32 = 1, TRUE, FALSE)), VLOOKUP('Full Season Entries'!G33, t_wgtssGT3, 2, FALSE), IF(AND(IF(AD32 = 4, TRUE, FALSE), IF(AE32 = 2, TRUE, FALSE)), VLOOKUP('Full Season Entries'!G33, t_wgtssGT4, 2, FALSE), IF(AND(IF(AD32 = 5, TRUE, FALSE), IF(AE32 = 1, TRUE, FALSE)), VLOOKUP('Full Season Entries'!G33, t_wgtmGT3P, 2, FALSE), IF(AND(IF(AD32 = 5, TRUE, FALSE), IF(AE32 = 2, TRUE, FALSE)), VLOOKUP('Full Season Entries'!G33, t_wgtmGT3A, 2, FALSE), IF(AND(IF(AD32 = 5, TRUE, FALSE), IF(AE32 = 3, TRUE, FALSE)), VLOOKUP('Full Season Entries'!G33, t_wgtmGT4, 2, FALSE), IF(AND(IF(AD32 = 7, TRUE, FALSE), IF(AE32 = 1, TRUE, FALSE)), VLOOKUP('Full Season Entries'!G33, t_asmLMP3, 2, FALSE), IF(AND(IF(AD32 = 7, TRUE, FALSE), IF(AE32 = 2, TRUE, FALSE)), VLOOKUP('Full Season Entries'!G33, t_asmGT3, 2, FALSE), IF(AND(IF(AD32 = 7, TRUE, FALSE), IF(AE32 = 3, TRUE, FALSE)), VLOOKUP('Full Season Entries'!G33, t_asmGT4, 2, FALSE), "")))))))))))))))))))))))))))</f>
        <v/>
      </c>
      <c r="AJ32" s="1" t="str">
        <f t="shared" si="4"/>
        <v/>
      </c>
      <c r="AK32" s="1" t="str">
        <f t="shared" si="5"/>
        <v/>
      </c>
      <c r="AL32" s="1" t="str">
        <f t="shared" si="24"/>
        <v/>
      </c>
      <c r="AM32" s="1" t="str">
        <f t="shared" si="6"/>
        <v/>
      </c>
      <c r="AO32" s="1" t="str">
        <f>'Full Season Entries'!I33</f>
        <v/>
      </c>
      <c r="AQ32" s="1">
        <f t="shared" si="7"/>
        <v>0</v>
      </c>
      <c r="AR32" s="1">
        <f>'Full Season Entries'!P33</f>
        <v>0</v>
      </c>
      <c r="AS32" s="1">
        <f>IF('Full Season Entries'!Q33 &lt;&gt; "", REPLACE('Full Season Entries'!Q33, 1, 1, "Level "), 0)</f>
        <v>0</v>
      </c>
      <c r="AT32" s="1">
        <f t="shared" si="8"/>
        <v>0</v>
      </c>
      <c r="AU32" s="1">
        <f>'Full Season Entries'!R33</f>
        <v>0</v>
      </c>
      <c r="AV32" s="1">
        <f>IF('Full Season Entries'!S33 &lt;&gt; "", REPLACE('Full Season Entries'!S33, 1, 1, "Level "), 0)</f>
        <v>0</v>
      </c>
      <c r="AW32" s="1">
        <f>IF('Full Season Entries'!T33 &lt;&gt; "", VLOOKUP('Full Season Entries'!T33, setupCostsReliability, 2, FALSE), 0)</f>
        <v>0</v>
      </c>
      <c r="AZ32" s="47" t="str">
        <f>IF('One-Off Entries'!I33 = "Yes", 0, IF(BQ32 &lt;&gt; "", IF(BQ32 = 1, VLOOKUP(BT32, gemCosts, 5, FALSE), IF(BQ32 = 2, VLOOKUP(BT32, nasccCosts, 5, FALSE), IF(BQ32 = 2.1, VLOOKUP(BT32, nasccScCosts, 5, FALSE), IF(BQ32 = 2.2, VLOOKUP(BT32, nasccEcCosts, 5, FALSE), IF(BQ32 = 3, VLOOKUP(BT32, euemCosts, 5, FALSE), IF(BQ32 = 4, VLOOKUP(BT32, wgtssCosts, 5, FALSE), IF(BQ32 = 5, VLOOKUP(BT32, wgtmCosts, 5, FALSE), IF(BQ32 = 6, VLOOKUP(BT32, wpcCosts, 5, FALSE), IF(BQ32 = 7, VLOOKUP(BT32, asmCosts, 5, FALSE), "")))))))))))</f>
        <v/>
      </c>
      <c r="BA32" s="47" t="str">
        <f t="shared" si="25"/>
        <v/>
      </c>
      <c r="BB32" s="47" t="str">
        <f t="shared" si="26"/>
        <v/>
      </c>
      <c r="BC32" s="51" t="str">
        <f>IF('One-Off Entries'!M33 &lt;&gt; "", IF('One-Off Entries'!M33 = "Bronze", -BX32, VLOOKUP('One-Off Entries'!M33, driverCosts, 2, FALSE) * BM32), "")</f>
        <v/>
      </c>
      <c r="BD32" s="2" t="str">
        <f>IF('One-Off Entries'!N33 &lt;&gt; "", IF('One-Off Entries'!N33 = "Bronze", -BY32, VLOOKUP('One-Off Entries'!N33, driverCosts, 2, FALSE) * BM32), "")</f>
        <v/>
      </c>
      <c r="BE32" s="2" t="str">
        <f>IF('One-Off Entries'!O33 &lt;&gt; "", IF('One-Off Entries'!O33 = "Bronze", -BZ32, VLOOKUP('One-Off Entries'!O33, driverCosts, 2, FALSE) * BM32), "")</f>
        <v/>
      </c>
      <c r="BF32" s="52" t="str">
        <f>IF('One-Off Entries'!P33 &lt;&gt; "", IF('One-Off Entries'!P33 = "Bronze", -CA32, VLOOKUP('One-Off Entries'!P33, driverCosts, 2, FALSE) * BM32), "")</f>
        <v/>
      </c>
      <c r="BG32" s="51">
        <f t="shared" si="27"/>
        <v>0</v>
      </c>
      <c r="BH32" s="2">
        <f t="shared" si="28"/>
        <v>0</v>
      </c>
      <c r="BI32" s="52">
        <f t="shared" si="29"/>
        <v>0</v>
      </c>
      <c r="BL32" s="1" t="str">
        <f t="shared" si="9"/>
        <v/>
      </c>
      <c r="BM32" s="1" t="str">
        <f t="shared" si="10"/>
        <v/>
      </c>
      <c r="BO32" s="1">
        <f>'One-Off Entries'!C33</f>
        <v>0</v>
      </c>
      <c r="BP32" s="1" t="str">
        <f>'One-Off Entries'!L33</f>
        <v/>
      </c>
      <c r="BQ32" s="1">
        <f>'One-Off Entries'!AI33</f>
        <v>0</v>
      </c>
      <c r="BR32" s="1">
        <f>'One-Off Entries'!AJ33</f>
        <v>0</v>
      </c>
      <c r="BT32" s="1" t="str">
        <f>'One-Off Entries'!E33</f>
        <v/>
      </c>
      <c r="BV32" s="1" t="str">
        <f>IF(AND(IF(BQ32 = 1, TRUE, FALSE), IF(BR32 = 1, TRUE, FALSE)), VLOOKUP('One-Off Entries'!H33, t_gemLMP1, 2, FALSE), IF(AND(IF(BQ32 = 1, TRUE, FALSE), IF(BR32 = 2, TRUE, FALSE)), VLOOKUP('One-Off Entries'!H33, t_gemLMP2, 2, FALSE), IF(AND(IF(BQ32 = 1, TRUE, FALSE), IF(BR32 = 3, TRUE, FALSE)), VLOOKUP('One-Off Entries'!H33, t_gemLMGTE, 2, FALSE), IF(AND(IF(BQ32 = 1, TRUE, FALSE), IF(BR32 = 4, TRUE, FALSE)), VLOOKUP('One-Off Entries'!H33, t_gemLMGTE, 2, FALSE), IF(AND(IF(BQ32 = 2, TRUE, FALSE), IF(BR32 = 1, TRUE, FALSE)), VLOOKUP('One-Off Entries'!H33, t_nasccDPi, 2, FALSE), IF(AND(IF(BQ32 = 2, TRUE, FALSE), IF(BR32 = 2, TRUE, FALSE)), VLOOKUP('One-Off Entries'!H33, t_nasccLMP2, 2, FALSE), IF(AND(IF(BQ32 = 2, TRUE, FALSE), IF(BR32 = 3, TRUE, FALSE)), VLOOKUP('One-Off Entries'!H33, t_nasccGTLM, 2, FALSE), IF(AND(IF(BQ32 = 2, TRUE, FALSE), IF(BR32 = 4, TRUE, FALSE)), VLOOKUP('One-Off Entries'!H33, t_nasccGTD, 2, FALSE), IF(AND(IF(BQ32 = 2.1, TRUE, FALSE), IF(BR32 = 1, TRUE, FALSE)), VLOOKUP('One-Off Entries'!H33, t_nasccDPi, 2, FALSE), IF(AND(IF(BQ32 = 2.1, TRUE, FALSE), IF(BR32 = 2, TRUE, FALSE)), VLOOKUP('One-Off Entries'!H33, t_nasccLMP2, 2, FALSE), IF(AND(IF(BQ32 = 2.1, TRUE, FALSE), IF(BR32 = 3, TRUE, FALSE)), VLOOKUP('One-Off Entries'!H33, t_nasccGTLM, 2, FALSE), IF(AND(IF(BQ32 = 2.1, TRUE, FALSE), IF(BR32 = 4, TRUE, FALSE)), VLOOKUP('One-Off Entries'!H33, t_nasccGTD, 2, FALSE), IF(AND(IF(BQ32 = 2.2, TRUE, FALSE), IF(BR32 = 1, TRUE, FALSE)), VLOOKUP('One-Off Entries'!H33, t_nasccDPi, 2, FALSE), IF(AND(IF(BQ32 = 2.2, TRUE, FALSE), IF(BR32 = 2, TRUE, FALSE)), VLOOKUP('One-Off Entries'!H33, t_nasccLMP2, 2, FALSE), IF(AND(IF(BQ32 = 2.2, TRUE, FALSE), IF(BR32 = 3, TRUE, FALSE)), VLOOKUP('One-Off Entries'!H33, t_nasccGTLM, 2, FALSE), IF(AND(IF(BQ32 = 2.2, TRUE, FALSE), IF(BR32 = 4, TRUE, FALSE)), VLOOKUP('One-Off Entries'!H33, t_nasccGTD, 2, FALSE), IF(AND(IF(BQ32 = 3, TRUE, FALSE), IF(BR32 = 1, TRUE, FALSE)), VLOOKUP('One-Off Entries'!H33, t_euemLMP2, 2, FALSE), IF(AND(IF(BQ32 = 3, TRUE, FALSE), IF(BR32 = 2, TRUE, FALSE)), VLOOKUP('One-Off Entries'!H33, t_euemLMP3, 2, FALSE), IF(AND(IF(BQ32 = 3, TRUE, FALSE), IF(BR32 = 3, TRUE, FALSE)), VLOOKUP('One-Off Entries'!H33, t_euemLMGTE, 2, FALSE), IF(AND(IF(BQ32 = 4, TRUE, FALSE), IF(BR32 = 1, TRUE, FALSE)), VLOOKUP('One-Off Entries'!H33, t_wgtssGT3, 2, FALSE), IF(AND(IF(BQ32 = 4, TRUE, FALSE), IF(BR32 = 2, TRUE, FALSE)), VLOOKUP('One-Off Entries'!H33, t_wgtssGT4, 2, FALSE), IF(AND(IF(BQ32 = 5, TRUE, FALSE), IF(BR32 = 1, TRUE, FALSE)), VLOOKUP('One-Off Entries'!H33, t_wgtmGT3P, 2, FALSE), IF(AND(IF(BQ32 = 5, TRUE, FALSE), IF(BR32 = 2, TRUE, FALSE)), VLOOKUP('One-Off Entries'!H33, t_wgtmGT3A, 2, FALSE), IF(AND(IF(BQ32 = 5, TRUE, FALSE), IF(BR32 = 3, TRUE, FALSE)), VLOOKUP('One-Off Entries'!H33, t_wgtmGT4, 2, FALSE), IF(AND(IF(BQ32 = 7, TRUE, FALSE), IF(BR32 = 1, TRUE, FALSE)), VLOOKUP('One-Off Entries'!H33, t_asmLMP3, 2, FALSE), IF(AND(IF(BQ32 = 7, TRUE, FALSE), IF(BR32 = 2, TRUE, FALSE)), VLOOKUP('One-Off Entries'!H33, t_asmGT3, 2, FALSE), IF(AND(IF(BQ32 = 7, TRUE, FALSE), IF(BR32 = 3, TRUE, FALSE)), VLOOKUP('One-Off Entries'!H33, t_asmGT4, 2, FALSE), "")))))))))))))))))))))))))))</f>
        <v/>
      </c>
      <c r="BX32" s="1" t="str">
        <f t="shared" si="11"/>
        <v/>
      </c>
      <c r="BY32" s="1" t="str">
        <f t="shared" si="12"/>
        <v/>
      </c>
      <c r="BZ32" s="1" t="str">
        <f t="shared" si="13"/>
        <v/>
      </c>
      <c r="CA32" s="1" t="str">
        <f t="shared" si="14"/>
        <v/>
      </c>
      <c r="CC32" s="1" t="str">
        <f>'One-Off Entries'!K33</f>
        <v/>
      </c>
      <c r="CD32" s="1">
        <f t="shared" si="15"/>
        <v>0</v>
      </c>
      <c r="CE32" s="1">
        <f>'One-Off Entries'!R33</f>
        <v>0</v>
      </c>
      <c r="CF32" s="1">
        <f>IF('One-Off Entries'!S33 &lt;&gt; "", REPLACE('One-Off Entries'!S33, 1, 1, "Level "), 0)</f>
        <v>0</v>
      </c>
      <c r="CG32" s="1">
        <f t="shared" si="16"/>
        <v>0</v>
      </c>
      <c r="CH32" s="1">
        <f>'One-Off Entries'!T33</f>
        <v>0</v>
      </c>
      <c r="CI32" s="1">
        <f>IF('One-Off Entries'!U33 &lt;&gt; "", REPLACE('One-Off Entries'!U33, 1, 1, "Level "), 0)</f>
        <v>0</v>
      </c>
      <c r="CJ32" s="1">
        <f>IF('One-Off Entries'!V33 &lt;&gt; "", VLOOKUP('One-Off Entries'!V33, setupCostsReliability, 2, FALSE), 0)</f>
        <v>0</v>
      </c>
    </row>
    <row r="33" spans="7:88" ht="18" customHeight="1" x14ac:dyDescent="0.3">
      <c r="G33" s="47" t="str">
        <f>IF('Car Purchase'!D33 &lt;&gt; "", VLOOKUP('Car Purchase'!D33, modelData, 3, FALSE), "")</f>
        <v/>
      </c>
      <c r="H33" s="51" t="str">
        <f>IF('Car Purchase'!I33 &lt;&gt; "", VLOOKUP('Car Purchase'!I33, modelData, 4, FALSE) * 'Car Purchase'!J33, "")</f>
        <v/>
      </c>
      <c r="I33" s="2" t="str">
        <f>IF('Car Purchase'!I33 &lt;&gt; "", VLOOKUP('Car Purchase'!I33, modelData, 5, FALSE) * 'Car Purchase'!K33, "")</f>
        <v/>
      </c>
      <c r="J33" s="52" t="str">
        <f>IF('Car Purchase'!I33 &lt;&gt; "", VLOOKUP('Car Purchase'!I33, modelData, 6, FALSE) * 'Car Purchase'!L33, "")</f>
        <v/>
      </c>
      <c r="M33" s="47" t="str">
        <f t="shared" si="0"/>
        <v/>
      </c>
      <c r="N33" s="47" t="str">
        <f t="shared" si="18"/>
        <v/>
      </c>
      <c r="O33" s="47" t="str">
        <f t="shared" si="1"/>
        <v/>
      </c>
      <c r="P33" s="51" t="str">
        <f>IF('Full Season Entries'!K34 &lt;&gt; "", IF('Full Season Entries'!K34 = "Bronze", -AJ33, VLOOKUP('Full Season Entries'!K34, driverCosts, 2, FALSE) * Z33), "")</f>
        <v/>
      </c>
      <c r="Q33" s="2" t="str">
        <f>IF('Full Season Entries'!L34 &lt;&gt; "", IF('Full Season Entries'!L34 = "Bronze", -AK33, VLOOKUP('Full Season Entries'!L34, driverCosts, 2, FALSE) * Z33), "")</f>
        <v/>
      </c>
      <c r="R33" s="2" t="str">
        <f>IF('Full Season Entries'!M34 &lt;&gt; "", IF('Full Season Entries'!M34 = "Bronze", -AL33, IF(AND(AD33 = 2, OR(AF33 = "DPi", AF33 = "GTLM")), VLOOKUP('Full Season Entries'!M34, driverCosts, 2, FALSE) * VLOOKUP(AF33, nasccEcCosts, 3, FALSE), IF(AD33 = 7, VLOOKUP('Full Season Entries'!M34, driverCosts, 2, FALSE) * VLOOKUP("ASM 210 Minutes of CoTA", oneOffs, 3, FALSE), VLOOKUP('Full Season Entries'!M34, driverCosts, 2, FALSE) * Z33))), "")</f>
        <v/>
      </c>
      <c r="S33" s="52" t="str">
        <f>IF('Full Season Entries'!N34 &lt;&gt; "", IF('Full Season Entries'!N34 = "Bronze", -AM33, VLOOKUP('Full Season Entries'!N34, driverCosts, 2, FALSE) * Z33), "")</f>
        <v/>
      </c>
      <c r="T33" s="51">
        <f t="shared" si="19"/>
        <v>0</v>
      </c>
      <c r="U33" s="2">
        <f t="shared" si="20"/>
        <v>0</v>
      </c>
      <c r="V33" s="52">
        <f t="shared" si="21"/>
        <v>0</v>
      </c>
      <c r="Y33" s="1" t="str">
        <f t="shared" si="22"/>
        <v/>
      </c>
      <c r="Z33" s="1">
        <f t="shared" si="23"/>
        <v>0</v>
      </c>
      <c r="AA33" s="1">
        <f t="shared" si="3"/>
        <v>0</v>
      </c>
      <c r="AC33" s="1" t="str">
        <f>'Full Season Entries'!J34</f>
        <v/>
      </c>
      <c r="AD33" s="1">
        <f>'Full Season Entries'!AF34</f>
        <v>0</v>
      </c>
      <c r="AE33" s="1">
        <f>'Full Season Entries'!AG34</f>
        <v>0</v>
      </c>
      <c r="AF33" s="1" t="str">
        <f>'Full Season Entries'!D34</f>
        <v/>
      </c>
      <c r="AH33" s="1" t="str">
        <f>IF(AND(IF(AD33 = 1, TRUE, FALSE), IF(AE33 = 1, TRUE, FALSE)), VLOOKUP('Full Season Entries'!G34, t_gemLMP1, 2, FALSE), IF(AND(IF(AD33 = 1, TRUE, FALSE), IF(AE33 = 2, TRUE, FALSE)), VLOOKUP('Full Season Entries'!G34, t_gemLMP2, 2, FALSE), IF(AND(IF(AD33 = 1, TRUE, FALSE), IF(AE33 = 3, TRUE, FALSE)), VLOOKUP('Full Season Entries'!G34, t_gemLMGTE, 2, FALSE), IF(AND(IF(AD33 = 1, TRUE, FALSE), IF(AE33 = 4, TRUE, FALSE)), VLOOKUP('Full Season Entries'!G34, t_gemLMGTE, 2, FALSE), IF(AND(IF(AD33 = 2, TRUE, FALSE), IF(AE33 = 1, TRUE, FALSE)), VLOOKUP('Full Season Entries'!G34, t_nasccDPi, 2, FALSE), IF(AND(IF(AD33 = 2, TRUE, FALSE), IF(AE33 = 2, TRUE, FALSE)), VLOOKUP('Full Season Entries'!G34, t_nasccLMP2, 2, FALSE), IF(AND(IF(AD33 = 2, TRUE, FALSE), IF(AE33 = 3, TRUE, FALSE)), VLOOKUP('Full Season Entries'!G34, t_nasccGTLM, 2, FALSE), IF(AND(IF(AD33 = 2, TRUE, FALSE), IF(AE33 = 4, TRUE, FALSE)), VLOOKUP('Full Season Entries'!G34, t_nasccGTD, 2, FALSE), IF(AND(IF(AD33 = 2.1, TRUE, FALSE), IF(AE33 = 1, TRUE, FALSE)), VLOOKUP('Full Season Entries'!G34, t_nasccDPi, 2, FALSE), IF(AND(IF(AD33 = 2.1, TRUE, FALSE), IF(AE33 = 2, TRUE, FALSE)), VLOOKUP('Full Season Entries'!G34, t_nasccLMP2, 2, FALSE), IF(AND(IF(AD33 = 2.1, TRUE, FALSE), IF(AE33 = 3, TRUE, FALSE)), VLOOKUP('Full Season Entries'!G34, t_nasccGTLM, 2, FALSE), IF(AND(IF(AD33 = 2.1, TRUE, FALSE), IF(AE33 = 4, TRUE, FALSE)), VLOOKUP('Full Season Entries'!G34, t_nasccGTD, 2, FALSE), IF(AND(IF(AD33 = 2.2, TRUE, FALSE), IF(AE33 = 1, TRUE, FALSE)), VLOOKUP('Full Season Entries'!G34, t_nasccDPi, 2, FALSE), IF(AND(IF(AD33 = 2.2, TRUE, FALSE), IF(AE33 = 2, TRUE, FALSE)), VLOOKUP('Full Season Entries'!G34, t_nasccLMP2, 2, FALSE), IF(AND(IF(AD33 = 2.2, TRUE, FALSE), IF(AE33 = 3, TRUE, FALSE)), VLOOKUP('Full Season Entries'!G34, t_nasccGTLM, 2, FALSE), IF(AND(IF(AD33 = 2.2, TRUE, FALSE), IF(AE33 = 4, TRUE, FALSE)), VLOOKUP('Full Season Entries'!G34, t_nasccGTD, 2, FALSE), IF(AND(IF(AD33 = 3, TRUE, FALSE), IF(AE33 = 1, TRUE, FALSE)), VLOOKUP('Full Season Entries'!G34, t_euemLMP2, 2, FALSE), IF(AND(IF(AD33 = 3, TRUE, FALSE), IF(AE33 = 2, TRUE, FALSE)), VLOOKUP('Full Season Entries'!G34, t_euemLMP3, 2, FALSE), IF(AND(IF(AD33 = 3, TRUE, FALSE), IF(AE33 = 3, TRUE, FALSE)), VLOOKUP('Full Season Entries'!G34, t_euemLMGTE, 2, FALSE), IF(AND(IF(AD33 = 4, TRUE, FALSE), IF(AE33 = 1, TRUE, FALSE)), VLOOKUP('Full Season Entries'!G34, t_wgtssGT3, 2, FALSE), IF(AND(IF(AD33 = 4, TRUE, FALSE), IF(AE33 = 2, TRUE, FALSE)), VLOOKUP('Full Season Entries'!G34, t_wgtssGT4, 2, FALSE), IF(AND(IF(AD33 = 5, TRUE, FALSE), IF(AE33 = 1, TRUE, FALSE)), VLOOKUP('Full Season Entries'!G34, t_wgtmGT3P, 2, FALSE), IF(AND(IF(AD33 = 5, TRUE, FALSE), IF(AE33 = 2, TRUE, FALSE)), VLOOKUP('Full Season Entries'!G34, t_wgtmGT3A, 2, FALSE), IF(AND(IF(AD33 = 5, TRUE, FALSE), IF(AE33 = 3, TRUE, FALSE)), VLOOKUP('Full Season Entries'!G34, t_wgtmGT4, 2, FALSE), IF(AND(IF(AD33 = 7, TRUE, FALSE), IF(AE33 = 1, TRUE, FALSE)), VLOOKUP('Full Season Entries'!G34, t_asmLMP3, 2, FALSE), IF(AND(IF(AD33 = 7, TRUE, FALSE), IF(AE33 = 2, TRUE, FALSE)), VLOOKUP('Full Season Entries'!G34, t_asmGT3, 2, FALSE), IF(AND(IF(AD33 = 7, TRUE, FALSE), IF(AE33 = 3, TRUE, FALSE)), VLOOKUP('Full Season Entries'!G34, t_asmGT4, 2, FALSE), "")))))))))))))))))))))))))))</f>
        <v/>
      </c>
      <c r="AJ33" s="1" t="str">
        <f t="shared" si="4"/>
        <v/>
      </c>
      <c r="AK33" s="1" t="str">
        <f t="shared" si="5"/>
        <v/>
      </c>
      <c r="AL33" s="1" t="str">
        <f t="shared" si="24"/>
        <v/>
      </c>
      <c r="AM33" s="1" t="str">
        <f t="shared" si="6"/>
        <v/>
      </c>
      <c r="AO33" s="1" t="str">
        <f>'Full Season Entries'!I34</f>
        <v/>
      </c>
      <c r="AQ33" s="1">
        <f t="shared" si="7"/>
        <v>0</v>
      </c>
      <c r="AR33" s="1">
        <f>'Full Season Entries'!P34</f>
        <v>0</v>
      </c>
      <c r="AS33" s="1">
        <f>IF('Full Season Entries'!Q34 &lt;&gt; "", REPLACE('Full Season Entries'!Q34, 1, 1, "Level "), 0)</f>
        <v>0</v>
      </c>
      <c r="AT33" s="1">
        <f t="shared" si="8"/>
        <v>0</v>
      </c>
      <c r="AU33" s="1">
        <f>'Full Season Entries'!R34</f>
        <v>0</v>
      </c>
      <c r="AV33" s="1">
        <f>IF('Full Season Entries'!S34 &lt;&gt; "", REPLACE('Full Season Entries'!S34, 1, 1, "Level "), 0)</f>
        <v>0</v>
      </c>
      <c r="AW33" s="1">
        <f>IF('Full Season Entries'!T34 &lt;&gt; "", VLOOKUP('Full Season Entries'!T34, setupCostsReliability, 2, FALSE), 0)</f>
        <v>0</v>
      </c>
      <c r="AZ33" s="47" t="str">
        <f>IF('One-Off Entries'!I34 = "Yes", 0, IF(BQ33 &lt;&gt; "", IF(BQ33 = 1, VLOOKUP(BT33, gemCosts, 5, FALSE), IF(BQ33 = 2, VLOOKUP(BT33, nasccCosts, 5, FALSE), IF(BQ33 = 2.1, VLOOKUP(BT33, nasccScCosts, 5, FALSE), IF(BQ33 = 2.2, VLOOKUP(BT33, nasccEcCosts, 5, FALSE), IF(BQ33 = 3, VLOOKUP(BT33, euemCosts, 5, FALSE), IF(BQ33 = 4, VLOOKUP(BT33, wgtssCosts, 5, FALSE), IF(BQ33 = 5, VLOOKUP(BT33, wgtmCosts, 5, FALSE), IF(BQ33 = 6, VLOOKUP(BT33, wpcCosts, 5, FALSE), IF(BQ33 = 7, VLOOKUP(BT33, asmCosts, 5, FALSE), "")))))))))))</f>
        <v/>
      </c>
      <c r="BA33" s="47" t="str">
        <f t="shared" si="25"/>
        <v/>
      </c>
      <c r="BB33" s="47" t="str">
        <f t="shared" si="26"/>
        <v/>
      </c>
      <c r="BC33" s="51" t="str">
        <f>IF('One-Off Entries'!M34 &lt;&gt; "", IF('One-Off Entries'!M34 = "Bronze", -BX33, VLOOKUP('One-Off Entries'!M34, driverCosts, 2, FALSE) * BM33), "")</f>
        <v/>
      </c>
      <c r="BD33" s="2" t="str">
        <f>IF('One-Off Entries'!N34 &lt;&gt; "", IF('One-Off Entries'!N34 = "Bronze", -BY33, VLOOKUP('One-Off Entries'!N34, driverCosts, 2, FALSE) * BM33), "")</f>
        <v/>
      </c>
      <c r="BE33" s="2" t="str">
        <f>IF('One-Off Entries'!O34 &lt;&gt; "", IF('One-Off Entries'!O34 = "Bronze", -BZ33, VLOOKUP('One-Off Entries'!O34, driverCosts, 2, FALSE) * BM33), "")</f>
        <v/>
      </c>
      <c r="BF33" s="52" t="str">
        <f>IF('One-Off Entries'!P34 &lt;&gt; "", IF('One-Off Entries'!P34 = "Bronze", -CA33, VLOOKUP('One-Off Entries'!P34, driverCosts, 2, FALSE) * BM33), "")</f>
        <v/>
      </c>
      <c r="BG33" s="51">
        <f t="shared" si="27"/>
        <v>0</v>
      </c>
      <c r="BH33" s="2">
        <f t="shared" si="28"/>
        <v>0</v>
      </c>
      <c r="BI33" s="52">
        <f t="shared" si="29"/>
        <v>0</v>
      </c>
      <c r="BL33" s="1" t="str">
        <f t="shared" si="9"/>
        <v/>
      </c>
      <c r="BM33" s="1" t="str">
        <f t="shared" si="10"/>
        <v/>
      </c>
      <c r="BO33" s="1">
        <f>'One-Off Entries'!C34</f>
        <v>0</v>
      </c>
      <c r="BP33" s="1" t="str">
        <f>'One-Off Entries'!L34</f>
        <v/>
      </c>
      <c r="BQ33" s="1">
        <f>'One-Off Entries'!AI34</f>
        <v>0</v>
      </c>
      <c r="BR33" s="1">
        <f>'One-Off Entries'!AJ34</f>
        <v>0</v>
      </c>
      <c r="BT33" s="1" t="str">
        <f>'One-Off Entries'!E34</f>
        <v/>
      </c>
      <c r="BV33" s="1" t="str">
        <f>IF(AND(IF(BQ33 = 1, TRUE, FALSE), IF(BR33 = 1, TRUE, FALSE)), VLOOKUP('One-Off Entries'!H34, t_gemLMP1, 2, FALSE), IF(AND(IF(BQ33 = 1, TRUE, FALSE), IF(BR33 = 2, TRUE, FALSE)), VLOOKUP('One-Off Entries'!H34, t_gemLMP2, 2, FALSE), IF(AND(IF(BQ33 = 1, TRUE, FALSE), IF(BR33 = 3, TRUE, FALSE)), VLOOKUP('One-Off Entries'!H34, t_gemLMGTE, 2, FALSE), IF(AND(IF(BQ33 = 1, TRUE, FALSE), IF(BR33 = 4, TRUE, FALSE)), VLOOKUP('One-Off Entries'!H34, t_gemLMGTE, 2, FALSE), IF(AND(IF(BQ33 = 2, TRUE, FALSE), IF(BR33 = 1, TRUE, FALSE)), VLOOKUP('One-Off Entries'!H34, t_nasccDPi, 2, FALSE), IF(AND(IF(BQ33 = 2, TRUE, FALSE), IF(BR33 = 2, TRUE, FALSE)), VLOOKUP('One-Off Entries'!H34, t_nasccLMP2, 2, FALSE), IF(AND(IF(BQ33 = 2, TRUE, FALSE), IF(BR33 = 3, TRUE, FALSE)), VLOOKUP('One-Off Entries'!H34, t_nasccGTLM, 2, FALSE), IF(AND(IF(BQ33 = 2, TRUE, FALSE), IF(BR33 = 4, TRUE, FALSE)), VLOOKUP('One-Off Entries'!H34, t_nasccGTD, 2, FALSE), IF(AND(IF(BQ33 = 2.1, TRUE, FALSE), IF(BR33 = 1, TRUE, FALSE)), VLOOKUP('One-Off Entries'!H34, t_nasccDPi, 2, FALSE), IF(AND(IF(BQ33 = 2.1, TRUE, FALSE), IF(BR33 = 2, TRUE, FALSE)), VLOOKUP('One-Off Entries'!H34, t_nasccLMP2, 2, FALSE), IF(AND(IF(BQ33 = 2.1, TRUE, FALSE), IF(BR33 = 3, TRUE, FALSE)), VLOOKUP('One-Off Entries'!H34, t_nasccGTLM, 2, FALSE), IF(AND(IF(BQ33 = 2.1, TRUE, FALSE), IF(BR33 = 4, TRUE, FALSE)), VLOOKUP('One-Off Entries'!H34, t_nasccGTD, 2, FALSE), IF(AND(IF(BQ33 = 2.2, TRUE, FALSE), IF(BR33 = 1, TRUE, FALSE)), VLOOKUP('One-Off Entries'!H34, t_nasccDPi, 2, FALSE), IF(AND(IF(BQ33 = 2.2, TRUE, FALSE), IF(BR33 = 2, TRUE, FALSE)), VLOOKUP('One-Off Entries'!H34, t_nasccLMP2, 2, FALSE), IF(AND(IF(BQ33 = 2.2, TRUE, FALSE), IF(BR33 = 3, TRUE, FALSE)), VLOOKUP('One-Off Entries'!H34, t_nasccGTLM, 2, FALSE), IF(AND(IF(BQ33 = 2.2, TRUE, FALSE), IF(BR33 = 4, TRUE, FALSE)), VLOOKUP('One-Off Entries'!H34, t_nasccGTD, 2, FALSE), IF(AND(IF(BQ33 = 3, TRUE, FALSE), IF(BR33 = 1, TRUE, FALSE)), VLOOKUP('One-Off Entries'!H34, t_euemLMP2, 2, FALSE), IF(AND(IF(BQ33 = 3, TRUE, FALSE), IF(BR33 = 2, TRUE, FALSE)), VLOOKUP('One-Off Entries'!H34, t_euemLMP3, 2, FALSE), IF(AND(IF(BQ33 = 3, TRUE, FALSE), IF(BR33 = 3, TRUE, FALSE)), VLOOKUP('One-Off Entries'!H34, t_euemLMGTE, 2, FALSE), IF(AND(IF(BQ33 = 4, TRUE, FALSE), IF(BR33 = 1, TRUE, FALSE)), VLOOKUP('One-Off Entries'!H34, t_wgtssGT3, 2, FALSE), IF(AND(IF(BQ33 = 4, TRUE, FALSE), IF(BR33 = 2, TRUE, FALSE)), VLOOKUP('One-Off Entries'!H34, t_wgtssGT4, 2, FALSE), IF(AND(IF(BQ33 = 5, TRUE, FALSE), IF(BR33 = 1, TRUE, FALSE)), VLOOKUP('One-Off Entries'!H34, t_wgtmGT3P, 2, FALSE), IF(AND(IF(BQ33 = 5, TRUE, FALSE), IF(BR33 = 2, TRUE, FALSE)), VLOOKUP('One-Off Entries'!H34, t_wgtmGT3A, 2, FALSE), IF(AND(IF(BQ33 = 5, TRUE, FALSE), IF(BR33 = 3, TRUE, FALSE)), VLOOKUP('One-Off Entries'!H34, t_wgtmGT4, 2, FALSE), IF(AND(IF(BQ33 = 7, TRUE, FALSE), IF(BR33 = 1, TRUE, FALSE)), VLOOKUP('One-Off Entries'!H34, t_asmLMP3, 2, FALSE), IF(AND(IF(BQ33 = 7, TRUE, FALSE), IF(BR33 = 2, TRUE, FALSE)), VLOOKUP('One-Off Entries'!H34, t_asmGT3, 2, FALSE), IF(AND(IF(BQ33 = 7, TRUE, FALSE), IF(BR33 = 3, TRUE, FALSE)), VLOOKUP('One-Off Entries'!H34, t_asmGT4, 2, FALSE), "")))))))))))))))))))))))))))</f>
        <v/>
      </c>
      <c r="BX33" s="1" t="str">
        <f t="shared" si="11"/>
        <v/>
      </c>
      <c r="BY33" s="1" t="str">
        <f t="shared" si="12"/>
        <v/>
      </c>
      <c r="BZ33" s="1" t="str">
        <f t="shared" si="13"/>
        <v/>
      </c>
      <c r="CA33" s="1" t="str">
        <f t="shared" si="14"/>
        <v/>
      </c>
      <c r="CC33" s="1" t="str">
        <f>'One-Off Entries'!K34</f>
        <v/>
      </c>
      <c r="CD33" s="1">
        <f t="shared" si="15"/>
        <v>0</v>
      </c>
      <c r="CE33" s="1">
        <f>'One-Off Entries'!R34</f>
        <v>0</v>
      </c>
      <c r="CF33" s="1">
        <f>IF('One-Off Entries'!S34 &lt;&gt; "", REPLACE('One-Off Entries'!S34, 1, 1, "Level "), 0)</f>
        <v>0</v>
      </c>
      <c r="CG33" s="1">
        <f t="shared" si="16"/>
        <v>0</v>
      </c>
      <c r="CH33" s="1">
        <f>'One-Off Entries'!T34</f>
        <v>0</v>
      </c>
      <c r="CI33" s="1">
        <f>IF('One-Off Entries'!U34 &lt;&gt; "", REPLACE('One-Off Entries'!U34, 1, 1, "Level "), 0)</f>
        <v>0</v>
      </c>
      <c r="CJ33" s="1">
        <f>IF('One-Off Entries'!V34 &lt;&gt; "", VLOOKUP('One-Off Entries'!V34, setupCostsReliability, 2, FALSE), 0)</f>
        <v>0</v>
      </c>
    </row>
    <row r="34" spans="7:88" ht="18" customHeight="1" x14ac:dyDescent="0.3">
      <c r="G34" s="47" t="str">
        <f>IF('Car Purchase'!D34 &lt;&gt; "", VLOOKUP('Car Purchase'!D34, modelData, 3, FALSE), "")</f>
        <v/>
      </c>
      <c r="H34" s="51" t="str">
        <f>IF('Car Purchase'!I34 &lt;&gt; "", VLOOKUP('Car Purchase'!I34, modelData, 4, FALSE) * 'Car Purchase'!J34, "")</f>
        <v/>
      </c>
      <c r="I34" s="2" t="str">
        <f>IF('Car Purchase'!I34 &lt;&gt; "", VLOOKUP('Car Purchase'!I34, modelData, 5, FALSE) * 'Car Purchase'!K34, "")</f>
        <v/>
      </c>
      <c r="J34" s="52" t="str">
        <f>IF('Car Purchase'!I34 &lt;&gt; "", VLOOKUP('Car Purchase'!I34, modelData, 6, FALSE) * 'Car Purchase'!L34, "")</f>
        <v/>
      </c>
      <c r="M34" s="47" t="str">
        <f t="shared" si="0"/>
        <v/>
      </c>
      <c r="N34" s="47" t="str">
        <f t="shared" si="18"/>
        <v/>
      </c>
      <c r="O34" s="47" t="str">
        <f t="shared" si="1"/>
        <v/>
      </c>
      <c r="P34" s="51" t="str">
        <f>IF('Full Season Entries'!K35 &lt;&gt; "", IF('Full Season Entries'!K35 = "Bronze", -AJ34, VLOOKUP('Full Season Entries'!K35, driverCosts, 2, FALSE) * Z34), "")</f>
        <v/>
      </c>
      <c r="Q34" s="2" t="str">
        <f>IF('Full Season Entries'!L35 &lt;&gt; "", IF('Full Season Entries'!L35 = "Bronze", -AK34, VLOOKUP('Full Season Entries'!L35, driverCosts, 2, FALSE) * Z34), "")</f>
        <v/>
      </c>
      <c r="R34" s="2" t="str">
        <f>IF('Full Season Entries'!M35 &lt;&gt; "", IF('Full Season Entries'!M35 = "Bronze", -AL34, IF(AND(AD34 = 2, OR(AF34 = "DPi", AF34 = "GTLM")), VLOOKUP('Full Season Entries'!M35, driverCosts, 2, FALSE) * VLOOKUP(AF34, nasccEcCosts, 3, FALSE), IF(AD34 = 7, VLOOKUP('Full Season Entries'!M35, driverCosts, 2, FALSE) * VLOOKUP("ASM 210 Minutes of CoTA", oneOffs, 3, FALSE), VLOOKUP('Full Season Entries'!M35, driverCosts, 2, FALSE) * Z34))), "")</f>
        <v/>
      </c>
      <c r="S34" s="52" t="str">
        <f>IF('Full Season Entries'!N35 &lt;&gt; "", IF('Full Season Entries'!N35 = "Bronze", -AM34, VLOOKUP('Full Season Entries'!N35, driverCosts, 2, FALSE) * Z34), "")</f>
        <v/>
      </c>
      <c r="T34" s="51">
        <f t="shared" si="19"/>
        <v>0</v>
      </c>
      <c r="U34" s="2">
        <f t="shared" si="20"/>
        <v>0</v>
      </c>
      <c r="V34" s="52">
        <f t="shared" si="21"/>
        <v>0</v>
      </c>
      <c r="Y34" s="1" t="str">
        <f t="shared" si="22"/>
        <v/>
      </c>
      <c r="Z34" s="1">
        <f t="shared" si="23"/>
        <v>0</v>
      </c>
      <c r="AA34" s="1">
        <f t="shared" si="3"/>
        <v>0</v>
      </c>
      <c r="AC34" s="1" t="str">
        <f>'Full Season Entries'!J35</f>
        <v/>
      </c>
      <c r="AD34" s="1">
        <f>'Full Season Entries'!AF35</f>
        <v>0</v>
      </c>
      <c r="AE34" s="1">
        <f>'Full Season Entries'!AG35</f>
        <v>0</v>
      </c>
      <c r="AF34" s="1" t="str">
        <f>'Full Season Entries'!D35</f>
        <v/>
      </c>
      <c r="AH34" s="1" t="str">
        <f>IF(AND(IF(AD34 = 1, TRUE, FALSE), IF(AE34 = 1, TRUE, FALSE)), VLOOKUP('Full Season Entries'!G35, t_gemLMP1, 2, FALSE), IF(AND(IF(AD34 = 1, TRUE, FALSE), IF(AE34 = 2, TRUE, FALSE)), VLOOKUP('Full Season Entries'!G35, t_gemLMP2, 2, FALSE), IF(AND(IF(AD34 = 1, TRUE, FALSE), IF(AE34 = 3, TRUE, FALSE)), VLOOKUP('Full Season Entries'!G35, t_gemLMGTE, 2, FALSE), IF(AND(IF(AD34 = 1, TRUE, FALSE), IF(AE34 = 4, TRUE, FALSE)), VLOOKUP('Full Season Entries'!G35, t_gemLMGTE, 2, FALSE), IF(AND(IF(AD34 = 2, TRUE, FALSE), IF(AE34 = 1, TRUE, FALSE)), VLOOKUP('Full Season Entries'!G35, t_nasccDPi, 2, FALSE), IF(AND(IF(AD34 = 2, TRUE, FALSE), IF(AE34 = 2, TRUE, FALSE)), VLOOKUP('Full Season Entries'!G35, t_nasccLMP2, 2, FALSE), IF(AND(IF(AD34 = 2, TRUE, FALSE), IF(AE34 = 3, TRUE, FALSE)), VLOOKUP('Full Season Entries'!G35, t_nasccGTLM, 2, FALSE), IF(AND(IF(AD34 = 2, TRUE, FALSE), IF(AE34 = 4, TRUE, FALSE)), VLOOKUP('Full Season Entries'!G35, t_nasccGTD, 2, FALSE), IF(AND(IF(AD34 = 2.1, TRUE, FALSE), IF(AE34 = 1, TRUE, FALSE)), VLOOKUP('Full Season Entries'!G35, t_nasccDPi, 2, FALSE), IF(AND(IF(AD34 = 2.1, TRUE, FALSE), IF(AE34 = 2, TRUE, FALSE)), VLOOKUP('Full Season Entries'!G35, t_nasccLMP2, 2, FALSE), IF(AND(IF(AD34 = 2.1, TRUE, FALSE), IF(AE34 = 3, TRUE, FALSE)), VLOOKUP('Full Season Entries'!G35, t_nasccGTLM, 2, FALSE), IF(AND(IF(AD34 = 2.1, TRUE, FALSE), IF(AE34 = 4, TRUE, FALSE)), VLOOKUP('Full Season Entries'!G35, t_nasccGTD, 2, FALSE), IF(AND(IF(AD34 = 2.2, TRUE, FALSE), IF(AE34 = 1, TRUE, FALSE)), VLOOKUP('Full Season Entries'!G35, t_nasccDPi, 2, FALSE), IF(AND(IF(AD34 = 2.2, TRUE, FALSE), IF(AE34 = 2, TRUE, FALSE)), VLOOKUP('Full Season Entries'!G35, t_nasccLMP2, 2, FALSE), IF(AND(IF(AD34 = 2.2, TRUE, FALSE), IF(AE34 = 3, TRUE, FALSE)), VLOOKUP('Full Season Entries'!G35, t_nasccGTLM, 2, FALSE), IF(AND(IF(AD34 = 2.2, TRUE, FALSE), IF(AE34 = 4, TRUE, FALSE)), VLOOKUP('Full Season Entries'!G35, t_nasccGTD, 2, FALSE), IF(AND(IF(AD34 = 3, TRUE, FALSE), IF(AE34 = 1, TRUE, FALSE)), VLOOKUP('Full Season Entries'!G35, t_euemLMP2, 2, FALSE), IF(AND(IF(AD34 = 3, TRUE, FALSE), IF(AE34 = 2, TRUE, FALSE)), VLOOKUP('Full Season Entries'!G35, t_euemLMP3, 2, FALSE), IF(AND(IF(AD34 = 3, TRUE, FALSE), IF(AE34 = 3, TRUE, FALSE)), VLOOKUP('Full Season Entries'!G35, t_euemLMGTE, 2, FALSE), IF(AND(IF(AD34 = 4, TRUE, FALSE), IF(AE34 = 1, TRUE, FALSE)), VLOOKUP('Full Season Entries'!G35, t_wgtssGT3, 2, FALSE), IF(AND(IF(AD34 = 4, TRUE, FALSE), IF(AE34 = 2, TRUE, FALSE)), VLOOKUP('Full Season Entries'!G35, t_wgtssGT4, 2, FALSE), IF(AND(IF(AD34 = 5, TRUE, FALSE), IF(AE34 = 1, TRUE, FALSE)), VLOOKUP('Full Season Entries'!G35, t_wgtmGT3P, 2, FALSE), IF(AND(IF(AD34 = 5, TRUE, FALSE), IF(AE34 = 2, TRUE, FALSE)), VLOOKUP('Full Season Entries'!G35, t_wgtmGT3A, 2, FALSE), IF(AND(IF(AD34 = 5, TRUE, FALSE), IF(AE34 = 3, TRUE, FALSE)), VLOOKUP('Full Season Entries'!G35, t_wgtmGT4, 2, FALSE), IF(AND(IF(AD34 = 7, TRUE, FALSE), IF(AE34 = 1, TRUE, FALSE)), VLOOKUP('Full Season Entries'!G35, t_asmLMP3, 2, FALSE), IF(AND(IF(AD34 = 7, TRUE, FALSE), IF(AE34 = 2, TRUE, FALSE)), VLOOKUP('Full Season Entries'!G35, t_asmGT3, 2, FALSE), IF(AND(IF(AD34 = 7, TRUE, FALSE), IF(AE34 = 3, TRUE, FALSE)), VLOOKUP('Full Season Entries'!G35, t_asmGT4, 2, FALSE), "")))))))))))))))))))))))))))</f>
        <v/>
      </c>
      <c r="AJ34" s="1" t="str">
        <f t="shared" si="4"/>
        <v/>
      </c>
      <c r="AK34" s="1" t="str">
        <f t="shared" si="5"/>
        <v/>
      </c>
      <c r="AL34" s="1" t="str">
        <f t="shared" si="24"/>
        <v/>
      </c>
      <c r="AM34" s="1" t="str">
        <f t="shared" si="6"/>
        <v/>
      </c>
      <c r="AO34" s="1" t="str">
        <f>'Full Season Entries'!I35</f>
        <v/>
      </c>
      <c r="AQ34" s="1">
        <f t="shared" si="7"/>
        <v>0</v>
      </c>
      <c r="AR34" s="1">
        <f>'Full Season Entries'!P35</f>
        <v>0</v>
      </c>
      <c r="AS34" s="1">
        <f>IF('Full Season Entries'!Q35 &lt;&gt; "", REPLACE('Full Season Entries'!Q35, 1, 1, "Level "), 0)</f>
        <v>0</v>
      </c>
      <c r="AT34" s="1">
        <f t="shared" si="8"/>
        <v>0</v>
      </c>
      <c r="AU34" s="1">
        <f>'Full Season Entries'!R35</f>
        <v>0</v>
      </c>
      <c r="AV34" s="1">
        <f>IF('Full Season Entries'!S35 &lt;&gt; "", REPLACE('Full Season Entries'!S35, 1, 1, "Level "), 0)</f>
        <v>0</v>
      </c>
      <c r="AW34" s="1">
        <f>IF('Full Season Entries'!T35 &lt;&gt; "", VLOOKUP('Full Season Entries'!T35, setupCostsReliability, 2, FALSE), 0)</f>
        <v>0</v>
      </c>
      <c r="AZ34" s="47" t="str">
        <f>IF('One-Off Entries'!I35 = "Yes", 0, IF(BQ34 &lt;&gt; "", IF(BQ34 = 1, VLOOKUP(BT34, gemCosts, 5, FALSE), IF(BQ34 = 2, VLOOKUP(BT34, nasccCosts, 5, FALSE), IF(BQ34 = 2.1, VLOOKUP(BT34, nasccScCosts, 5, FALSE), IF(BQ34 = 2.2, VLOOKUP(BT34, nasccEcCosts, 5, FALSE), IF(BQ34 = 3, VLOOKUP(BT34, euemCosts, 5, FALSE), IF(BQ34 = 4, VLOOKUP(BT34, wgtssCosts, 5, FALSE), IF(BQ34 = 5, VLOOKUP(BT34, wgtmCosts, 5, FALSE), IF(BQ34 = 6, VLOOKUP(BT34, wpcCosts, 5, FALSE), IF(BQ34 = 7, VLOOKUP(BT34, asmCosts, 5, FALSE), "")))))))))))</f>
        <v/>
      </c>
      <c r="BA34" s="47" t="str">
        <f t="shared" si="25"/>
        <v/>
      </c>
      <c r="BB34" s="47" t="str">
        <f t="shared" si="26"/>
        <v/>
      </c>
      <c r="BC34" s="51" t="str">
        <f>IF('One-Off Entries'!M35 &lt;&gt; "", IF('One-Off Entries'!M35 = "Bronze", -BX34, VLOOKUP('One-Off Entries'!M35, driverCosts, 2, FALSE) * BM34), "")</f>
        <v/>
      </c>
      <c r="BD34" s="2" t="str">
        <f>IF('One-Off Entries'!N35 &lt;&gt; "", IF('One-Off Entries'!N35 = "Bronze", -BY34, VLOOKUP('One-Off Entries'!N35, driverCosts, 2, FALSE) * BM34), "")</f>
        <v/>
      </c>
      <c r="BE34" s="2" t="str">
        <f>IF('One-Off Entries'!O35 &lt;&gt; "", IF('One-Off Entries'!O35 = "Bronze", -BZ34, VLOOKUP('One-Off Entries'!O35, driverCosts, 2, FALSE) * BM34), "")</f>
        <v/>
      </c>
      <c r="BF34" s="52" t="str">
        <f>IF('One-Off Entries'!P35 &lt;&gt; "", IF('One-Off Entries'!P35 = "Bronze", -CA34, VLOOKUP('One-Off Entries'!P35, driverCosts, 2, FALSE) * BM34), "")</f>
        <v/>
      </c>
      <c r="BG34" s="51">
        <f t="shared" si="27"/>
        <v>0</v>
      </c>
      <c r="BH34" s="2">
        <f t="shared" si="28"/>
        <v>0</v>
      </c>
      <c r="BI34" s="52">
        <f t="shared" si="29"/>
        <v>0</v>
      </c>
      <c r="BL34" s="1" t="str">
        <f t="shared" si="9"/>
        <v/>
      </c>
      <c r="BM34" s="1" t="str">
        <f t="shared" si="10"/>
        <v/>
      </c>
      <c r="BO34" s="1">
        <f>'One-Off Entries'!C35</f>
        <v>0</v>
      </c>
      <c r="BP34" s="1" t="str">
        <f>'One-Off Entries'!L35</f>
        <v/>
      </c>
      <c r="BQ34" s="1">
        <f>'One-Off Entries'!AI35</f>
        <v>0</v>
      </c>
      <c r="BR34" s="1">
        <f>'One-Off Entries'!AJ35</f>
        <v>0</v>
      </c>
      <c r="BT34" s="1" t="str">
        <f>'One-Off Entries'!E35</f>
        <v/>
      </c>
      <c r="BV34" s="1" t="str">
        <f>IF(AND(IF(BQ34 = 1, TRUE, FALSE), IF(BR34 = 1, TRUE, FALSE)), VLOOKUP('One-Off Entries'!H35, t_gemLMP1, 2, FALSE), IF(AND(IF(BQ34 = 1, TRUE, FALSE), IF(BR34 = 2, TRUE, FALSE)), VLOOKUP('One-Off Entries'!H35, t_gemLMP2, 2, FALSE), IF(AND(IF(BQ34 = 1, TRUE, FALSE), IF(BR34 = 3, TRUE, FALSE)), VLOOKUP('One-Off Entries'!H35, t_gemLMGTE, 2, FALSE), IF(AND(IF(BQ34 = 1, TRUE, FALSE), IF(BR34 = 4, TRUE, FALSE)), VLOOKUP('One-Off Entries'!H35, t_gemLMGTE, 2, FALSE), IF(AND(IF(BQ34 = 2, TRUE, FALSE), IF(BR34 = 1, TRUE, FALSE)), VLOOKUP('One-Off Entries'!H35, t_nasccDPi, 2, FALSE), IF(AND(IF(BQ34 = 2, TRUE, FALSE), IF(BR34 = 2, TRUE, FALSE)), VLOOKUP('One-Off Entries'!H35, t_nasccLMP2, 2, FALSE), IF(AND(IF(BQ34 = 2, TRUE, FALSE), IF(BR34 = 3, TRUE, FALSE)), VLOOKUP('One-Off Entries'!H35, t_nasccGTLM, 2, FALSE), IF(AND(IF(BQ34 = 2, TRUE, FALSE), IF(BR34 = 4, TRUE, FALSE)), VLOOKUP('One-Off Entries'!H35, t_nasccGTD, 2, FALSE), IF(AND(IF(BQ34 = 2.1, TRUE, FALSE), IF(BR34 = 1, TRUE, FALSE)), VLOOKUP('One-Off Entries'!H35, t_nasccDPi, 2, FALSE), IF(AND(IF(BQ34 = 2.1, TRUE, FALSE), IF(BR34 = 2, TRUE, FALSE)), VLOOKUP('One-Off Entries'!H35, t_nasccLMP2, 2, FALSE), IF(AND(IF(BQ34 = 2.1, TRUE, FALSE), IF(BR34 = 3, TRUE, FALSE)), VLOOKUP('One-Off Entries'!H35, t_nasccGTLM, 2, FALSE), IF(AND(IF(BQ34 = 2.1, TRUE, FALSE), IF(BR34 = 4, TRUE, FALSE)), VLOOKUP('One-Off Entries'!H35, t_nasccGTD, 2, FALSE), IF(AND(IF(BQ34 = 2.2, TRUE, FALSE), IF(BR34 = 1, TRUE, FALSE)), VLOOKUP('One-Off Entries'!H35, t_nasccDPi, 2, FALSE), IF(AND(IF(BQ34 = 2.2, TRUE, FALSE), IF(BR34 = 2, TRUE, FALSE)), VLOOKUP('One-Off Entries'!H35, t_nasccLMP2, 2, FALSE), IF(AND(IF(BQ34 = 2.2, TRUE, FALSE), IF(BR34 = 3, TRUE, FALSE)), VLOOKUP('One-Off Entries'!H35, t_nasccGTLM, 2, FALSE), IF(AND(IF(BQ34 = 2.2, TRUE, FALSE), IF(BR34 = 4, TRUE, FALSE)), VLOOKUP('One-Off Entries'!H35, t_nasccGTD, 2, FALSE), IF(AND(IF(BQ34 = 3, TRUE, FALSE), IF(BR34 = 1, TRUE, FALSE)), VLOOKUP('One-Off Entries'!H35, t_euemLMP2, 2, FALSE), IF(AND(IF(BQ34 = 3, TRUE, FALSE), IF(BR34 = 2, TRUE, FALSE)), VLOOKUP('One-Off Entries'!H35, t_euemLMP3, 2, FALSE), IF(AND(IF(BQ34 = 3, TRUE, FALSE), IF(BR34 = 3, TRUE, FALSE)), VLOOKUP('One-Off Entries'!H35, t_euemLMGTE, 2, FALSE), IF(AND(IF(BQ34 = 4, TRUE, FALSE), IF(BR34 = 1, TRUE, FALSE)), VLOOKUP('One-Off Entries'!H35, t_wgtssGT3, 2, FALSE), IF(AND(IF(BQ34 = 4, TRUE, FALSE), IF(BR34 = 2, TRUE, FALSE)), VLOOKUP('One-Off Entries'!H35, t_wgtssGT4, 2, FALSE), IF(AND(IF(BQ34 = 5, TRUE, FALSE), IF(BR34 = 1, TRUE, FALSE)), VLOOKUP('One-Off Entries'!H35, t_wgtmGT3P, 2, FALSE), IF(AND(IF(BQ34 = 5, TRUE, FALSE), IF(BR34 = 2, TRUE, FALSE)), VLOOKUP('One-Off Entries'!H35, t_wgtmGT3A, 2, FALSE), IF(AND(IF(BQ34 = 5, TRUE, FALSE), IF(BR34 = 3, TRUE, FALSE)), VLOOKUP('One-Off Entries'!H35, t_wgtmGT4, 2, FALSE), IF(AND(IF(BQ34 = 7, TRUE, FALSE), IF(BR34 = 1, TRUE, FALSE)), VLOOKUP('One-Off Entries'!H35, t_asmLMP3, 2, FALSE), IF(AND(IF(BQ34 = 7, TRUE, FALSE), IF(BR34 = 2, TRUE, FALSE)), VLOOKUP('One-Off Entries'!H35, t_asmGT3, 2, FALSE), IF(AND(IF(BQ34 = 7, TRUE, FALSE), IF(BR34 = 3, TRUE, FALSE)), VLOOKUP('One-Off Entries'!H35, t_asmGT4, 2, FALSE), "")))))))))))))))))))))))))))</f>
        <v/>
      </c>
      <c r="BX34" s="1" t="str">
        <f t="shared" si="11"/>
        <v/>
      </c>
      <c r="BY34" s="1" t="str">
        <f t="shared" si="12"/>
        <v/>
      </c>
      <c r="BZ34" s="1" t="str">
        <f t="shared" si="13"/>
        <v/>
      </c>
      <c r="CA34" s="1" t="str">
        <f t="shared" si="14"/>
        <v/>
      </c>
      <c r="CC34" s="1" t="str">
        <f>'One-Off Entries'!K35</f>
        <v/>
      </c>
      <c r="CD34" s="1">
        <f t="shared" si="15"/>
        <v>0</v>
      </c>
      <c r="CE34" s="1">
        <f>'One-Off Entries'!R35</f>
        <v>0</v>
      </c>
      <c r="CF34" s="1">
        <f>IF('One-Off Entries'!S35 &lt;&gt; "", REPLACE('One-Off Entries'!S35, 1, 1, "Level "), 0)</f>
        <v>0</v>
      </c>
      <c r="CG34" s="1">
        <f t="shared" si="16"/>
        <v>0</v>
      </c>
      <c r="CH34" s="1">
        <f>'One-Off Entries'!T35</f>
        <v>0</v>
      </c>
      <c r="CI34" s="1">
        <f>IF('One-Off Entries'!U35 &lt;&gt; "", REPLACE('One-Off Entries'!U35, 1, 1, "Level "), 0)</f>
        <v>0</v>
      </c>
      <c r="CJ34" s="1">
        <f>IF('One-Off Entries'!V35 &lt;&gt; "", VLOOKUP('One-Off Entries'!V35, setupCostsReliability, 2, FALSE), 0)</f>
        <v>0</v>
      </c>
    </row>
    <row r="35" spans="7:88" ht="18" customHeight="1" x14ac:dyDescent="0.3">
      <c r="G35" s="47" t="str">
        <f>IF('Car Purchase'!D35 &lt;&gt; "", VLOOKUP('Car Purchase'!D35, modelData, 3, FALSE), "")</f>
        <v/>
      </c>
      <c r="H35" s="51" t="str">
        <f>IF('Car Purchase'!I35 &lt;&gt; "", VLOOKUP('Car Purchase'!I35, modelData, 4, FALSE) * 'Car Purchase'!J35, "")</f>
        <v/>
      </c>
      <c r="I35" s="2" t="str">
        <f>IF('Car Purchase'!I35 &lt;&gt; "", VLOOKUP('Car Purchase'!I35, modelData, 5, FALSE) * 'Car Purchase'!K35, "")</f>
        <v/>
      </c>
      <c r="J35" s="52" t="str">
        <f>IF('Car Purchase'!I35 &lt;&gt; "", VLOOKUP('Car Purchase'!I35, modelData, 6, FALSE) * 'Car Purchase'!L35, "")</f>
        <v/>
      </c>
      <c r="M35" s="47" t="str">
        <f t="shared" si="0"/>
        <v/>
      </c>
      <c r="N35" s="47" t="str">
        <f t="shared" si="18"/>
        <v/>
      </c>
      <c r="O35" s="47" t="str">
        <f t="shared" si="1"/>
        <v/>
      </c>
      <c r="P35" s="51" t="str">
        <f>IF('Full Season Entries'!K36 &lt;&gt; "", IF('Full Season Entries'!K36 = "Bronze", -AJ35, VLOOKUP('Full Season Entries'!K36, driverCosts, 2, FALSE) * Z35), "")</f>
        <v/>
      </c>
      <c r="Q35" s="2" t="str">
        <f>IF('Full Season Entries'!L36 &lt;&gt; "", IF('Full Season Entries'!L36 = "Bronze", -AK35, VLOOKUP('Full Season Entries'!L36, driverCosts, 2, FALSE) * Z35), "")</f>
        <v/>
      </c>
      <c r="R35" s="2" t="str">
        <f>IF('Full Season Entries'!M36 &lt;&gt; "", IF('Full Season Entries'!M36 = "Bronze", -AL35, IF(AND(AD35 = 2, OR(AF35 = "DPi", AF35 = "GTLM")), VLOOKUP('Full Season Entries'!M36, driverCosts, 2, FALSE) * VLOOKUP(AF35, nasccEcCosts, 3, FALSE), IF(AD35 = 7, VLOOKUP('Full Season Entries'!M36, driverCosts, 2, FALSE) * VLOOKUP("ASM 210 Minutes of CoTA", oneOffs, 3, FALSE), VLOOKUP('Full Season Entries'!M36, driverCosts, 2, FALSE) * Z35))), "")</f>
        <v/>
      </c>
      <c r="S35" s="52" t="str">
        <f>IF('Full Season Entries'!N36 &lt;&gt; "", IF('Full Season Entries'!N36 = "Bronze", -AM35, VLOOKUP('Full Season Entries'!N36, driverCosts, 2, FALSE) * Z35), "")</f>
        <v/>
      </c>
      <c r="T35" s="51">
        <f t="shared" si="19"/>
        <v>0</v>
      </c>
      <c r="U35" s="2">
        <f t="shared" si="20"/>
        <v>0</v>
      </c>
      <c r="V35" s="52">
        <f t="shared" si="21"/>
        <v>0</v>
      </c>
      <c r="Y35" s="1" t="str">
        <f t="shared" si="22"/>
        <v/>
      </c>
      <c r="Z35" s="1">
        <f t="shared" si="23"/>
        <v>0</v>
      </c>
      <c r="AA35" s="1">
        <f t="shared" si="3"/>
        <v>0</v>
      </c>
      <c r="AC35" s="1" t="str">
        <f>'Full Season Entries'!J36</f>
        <v/>
      </c>
      <c r="AD35" s="1">
        <f>'Full Season Entries'!AF36</f>
        <v>0</v>
      </c>
      <c r="AE35" s="1">
        <f>'Full Season Entries'!AG36</f>
        <v>0</v>
      </c>
      <c r="AF35" s="1" t="str">
        <f>'Full Season Entries'!D36</f>
        <v/>
      </c>
      <c r="AH35" s="1" t="str">
        <f>IF(AND(IF(AD35 = 1, TRUE, FALSE), IF(AE35 = 1, TRUE, FALSE)), VLOOKUP('Full Season Entries'!G36, t_gemLMP1, 2, FALSE), IF(AND(IF(AD35 = 1, TRUE, FALSE), IF(AE35 = 2, TRUE, FALSE)), VLOOKUP('Full Season Entries'!G36, t_gemLMP2, 2, FALSE), IF(AND(IF(AD35 = 1, TRUE, FALSE), IF(AE35 = 3, TRUE, FALSE)), VLOOKUP('Full Season Entries'!G36, t_gemLMGTE, 2, FALSE), IF(AND(IF(AD35 = 1, TRUE, FALSE), IF(AE35 = 4, TRUE, FALSE)), VLOOKUP('Full Season Entries'!G36, t_gemLMGTE, 2, FALSE), IF(AND(IF(AD35 = 2, TRUE, FALSE), IF(AE35 = 1, TRUE, FALSE)), VLOOKUP('Full Season Entries'!G36, t_nasccDPi, 2, FALSE), IF(AND(IF(AD35 = 2, TRUE, FALSE), IF(AE35 = 2, TRUE, FALSE)), VLOOKUP('Full Season Entries'!G36, t_nasccLMP2, 2, FALSE), IF(AND(IF(AD35 = 2, TRUE, FALSE), IF(AE35 = 3, TRUE, FALSE)), VLOOKUP('Full Season Entries'!G36, t_nasccGTLM, 2, FALSE), IF(AND(IF(AD35 = 2, TRUE, FALSE), IF(AE35 = 4, TRUE, FALSE)), VLOOKUP('Full Season Entries'!G36, t_nasccGTD, 2, FALSE), IF(AND(IF(AD35 = 2.1, TRUE, FALSE), IF(AE35 = 1, TRUE, FALSE)), VLOOKUP('Full Season Entries'!G36, t_nasccDPi, 2, FALSE), IF(AND(IF(AD35 = 2.1, TRUE, FALSE), IF(AE35 = 2, TRUE, FALSE)), VLOOKUP('Full Season Entries'!G36, t_nasccLMP2, 2, FALSE), IF(AND(IF(AD35 = 2.1, TRUE, FALSE), IF(AE35 = 3, TRUE, FALSE)), VLOOKUP('Full Season Entries'!G36, t_nasccGTLM, 2, FALSE), IF(AND(IF(AD35 = 2.1, TRUE, FALSE), IF(AE35 = 4, TRUE, FALSE)), VLOOKUP('Full Season Entries'!G36, t_nasccGTD, 2, FALSE), IF(AND(IF(AD35 = 2.2, TRUE, FALSE), IF(AE35 = 1, TRUE, FALSE)), VLOOKUP('Full Season Entries'!G36, t_nasccDPi, 2, FALSE), IF(AND(IF(AD35 = 2.2, TRUE, FALSE), IF(AE35 = 2, TRUE, FALSE)), VLOOKUP('Full Season Entries'!G36, t_nasccLMP2, 2, FALSE), IF(AND(IF(AD35 = 2.2, TRUE, FALSE), IF(AE35 = 3, TRUE, FALSE)), VLOOKUP('Full Season Entries'!G36, t_nasccGTLM, 2, FALSE), IF(AND(IF(AD35 = 2.2, TRUE, FALSE), IF(AE35 = 4, TRUE, FALSE)), VLOOKUP('Full Season Entries'!G36, t_nasccGTD, 2, FALSE), IF(AND(IF(AD35 = 3, TRUE, FALSE), IF(AE35 = 1, TRUE, FALSE)), VLOOKUP('Full Season Entries'!G36, t_euemLMP2, 2, FALSE), IF(AND(IF(AD35 = 3, TRUE, FALSE), IF(AE35 = 2, TRUE, FALSE)), VLOOKUP('Full Season Entries'!G36, t_euemLMP3, 2, FALSE), IF(AND(IF(AD35 = 3, TRUE, FALSE), IF(AE35 = 3, TRUE, FALSE)), VLOOKUP('Full Season Entries'!G36, t_euemLMGTE, 2, FALSE), IF(AND(IF(AD35 = 4, TRUE, FALSE), IF(AE35 = 1, TRUE, FALSE)), VLOOKUP('Full Season Entries'!G36, t_wgtssGT3, 2, FALSE), IF(AND(IF(AD35 = 4, TRUE, FALSE), IF(AE35 = 2, TRUE, FALSE)), VLOOKUP('Full Season Entries'!G36, t_wgtssGT4, 2, FALSE), IF(AND(IF(AD35 = 5, TRUE, FALSE), IF(AE35 = 1, TRUE, FALSE)), VLOOKUP('Full Season Entries'!G36, t_wgtmGT3P, 2, FALSE), IF(AND(IF(AD35 = 5, TRUE, FALSE), IF(AE35 = 2, TRUE, FALSE)), VLOOKUP('Full Season Entries'!G36, t_wgtmGT3A, 2, FALSE), IF(AND(IF(AD35 = 5, TRUE, FALSE), IF(AE35 = 3, TRUE, FALSE)), VLOOKUP('Full Season Entries'!G36, t_wgtmGT4, 2, FALSE), IF(AND(IF(AD35 = 7, TRUE, FALSE), IF(AE35 = 1, TRUE, FALSE)), VLOOKUP('Full Season Entries'!G36, t_asmLMP3, 2, FALSE), IF(AND(IF(AD35 = 7, TRUE, FALSE), IF(AE35 = 2, TRUE, FALSE)), VLOOKUP('Full Season Entries'!G36, t_asmGT3, 2, FALSE), IF(AND(IF(AD35 = 7, TRUE, FALSE), IF(AE35 = 3, TRUE, FALSE)), VLOOKUP('Full Season Entries'!G36, t_asmGT4, 2, FALSE), "")))))))))))))))))))))))))))</f>
        <v/>
      </c>
      <c r="AJ35" s="1" t="str">
        <f t="shared" si="4"/>
        <v/>
      </c>
      <c r="AK35" s="1" t="str">
        <f t="shared" si="5"/>
        <v/>
      </c>
      <c r="AL35" s="1" t="str">
        <f t="shared" si="24"/>
        <v/>
      </c>
      <c r="AM35" s="1" t="str">
        <f t="shared" si="6"/>
        <v/>
      </c>
      <c r="AO35" s="1" t="str">
        <f>'Full Season Entries'!I36</f>
        <v/>
      </c>
      <c r="AQ35" s="1">
        <f t="shared" si="7"/>
        <v>0</v>
      </c>
      <c r="AR35" s="1">
        <f>'Full Season Entries'!P36</f>
        <v>0</v>
      </c>
      <c r="AS35" s="1">
        <f>IF('Full Season Entries'!Q36 &lt;&gt; "", REPLACE('Full Season Entries'!Q36, 1, 1, "Level "), 0)</f>
        <v>0</v>
      </c>
      <c r="AT35" s="1">
        <f t="shared" si="8"/>
        <v>0</v>
      </c>
      <c r="AU35" s="1">
        <f>'Full Season Entries'!R36</f>
        <v>0</v>
      </c>
      <c r="AV35" s="1">
        <f>IF('Full Season Entries'!S36 &lt;&gt; "", REPLACE('Full Season Entries'!S36, 1, 1, "Level "), 0)</f>
        <v>0</v>
      </c>
      <c r="AW35" s="1">
        <f>IF('Full Season Entries'!T36 &lt;&gt; "", VLOOKUP('Full Season Entries'!T36, setupCostsReliability, 2, FALSE), 0)</f>
        <v>0</v>
      </c>
      <c r="AZ35" s="47" t="str">
        <f>IF('One-Off Entries'!I36 = "Yes", 0, IF(BQ35 &lt;&gt; "", IF(BQ35 = 1, VLOOKUP(BT35, gemCosts, 5, FALSE), IF(BQ35 = 2, VLOOKUP(BT35, nasccCosts, 5, FALSE), IF(BQ35 = 2.1, VLOOKUP(BT35, nasccScCosts, 5, FALSE), IF(BQ35 = 2.2, VLOOKUP(BT35, nasccEcCosts, 5, FALSE), IF(BQ35 = 3, VLOOKUP(BT35, euemCosts, 5, FALSE), IF(BQ35 = 4, VLOOKUP(BT35, wgtssCosts, 5, FALSE), IF(BQ35 = 5, VLOOKUP(BT35, wgtmCosts, 5, FALSE), IF(BQ35 = 6, VLOOKUP(BT35, wpcCosts, 5, FALSE), IF(BQ35 = 7, VLOOKUP(BT35, asmCosts, 5, FALSE), "")))))))))))</f>
        <v/>
      </c>
      <c r="BA35" s="47" t="str">
        <f t="shared" si="25"/>
        <v/>
      </c>
      <c r="BB35" s="47" t="str">
        <f t="shared" si="26"/>
        <v/>
      </c>
      <c r="BC35" s="51" t="str">
        <f>IF('One-Off Entries'!M36 &lt;&gt; "", IF('One-Off Entries'!M36 = "Bronze", -BX35, VLOOKUP('One-Off Entries'!M36, driverCosts, 2, FALSE) * BM35), "")</f>
        <v/>
      </c>
      <c r="BD35" s="2" t="str">
        <f>IF('One-Off Entries'!N36 &lt;&gt; "", IF('One-Off Entries'!N36 = "Bronze", -BY35, VLOOKUP('One-Off Entries'!N36, driverCosts, 2, FALSE) * BM35), "")</f>
        <v/>
      </c>
      <c r="BE35" s="2" t="str">
        <f>IF('One-Off Entries'!O36 &lt;&gt; "", IF('One-Off Entries'!O36 = "Bronze", -BZ35, VLOOKUP('One-Off Entries'!O36, driverCosts, 2, FALSE) * BM35), "")</f>
        <v/>
      </c>
      <c r="BF35" s="52" t="str">
        <f>IF('One-Off Entries'!P36 &lt;&gt; "", IF('One-Off Entries'!P36 = "Bronze", -CA35, VLOOKUP('One-Off Entries'!P36, driverCosts, 2, FALSE) * BM35), "")</f>
        <v/>
      </c>
      <c r="BG35" s="51">
        <f t="shared" si="27"/>
        <v>0</v>
      </c>
      <c r="BH35" s="2">
        <f t="shared" si="28"/>
        <v>0</v>
      </c>
      <c r="BI35" s="52">
        <f t="shared" si="29"/>
        <v>0</v>
      </c>
      <c r="BL35" s="1" t="str">
        <f t="shared" si="9"/>
        <v/>
      </c>
      <c r="BM35" s="1" t="str">
        <f t="shared" si="10"/>
        <v/>
      </c>
      <c r="BO35" s="1">
        <f>'One-Off Entries'!C36</f>
        <v>0</v>
      </c>
      <c r="BP35" s="1" t="str">
        <f>'One-Off Entries'!L36</f>
        <v/>
      </c>
      <c r="BQ35" s="1">
        <f>'One-Off Entries'!AI36</f>
        <v>0</v>
      </c>
      <c r="BR35" s="1">
        <f>'One-Off Entries'!AJ36</f>
        <v>0</v>
      </c>
      <c r="BT35" s="1" t="str">
        <f>'One-Off Entries'!E36</f>
        <v/>
      </c>
      <c r="BV35" s="1" t="str">
        <f>IF(AND(IF(BQ35 = 1, TRUE, FALSE), IF(BR35 = 1, TRUE, FALSE)), VLOOKUP('One-Off Entries'!H36, t_gemLMP1, 2, FALSE), IF(AND(IF(BQ35 = 1, TRUE, FALSE), IF(BR35 = 2, TRUE, FALSE)), VLOOKUP('One-Off Entries'!H36, t_gemLMP2, 2, FALSE), IF(AND(IF(BQ35 = 1, TRUE, FALSE), IF(BR35 = 3, TRUE, FALSE)), VLOOKUP('One-Off Entries'!H36, t_gemLMGTE, 2, FALSE), IF(AND(IF(BQ35 = 1, TRUE, FALSE), IF(BR35 = 4, TRUE, FALSE)), VLOOKUP('One-Off Entries'!H36, t_gemLMGTE, 2, FALSE), IF(AND(IF(BQ35 = 2, TRUE, FALSE), IF(BR35 = 1, TRUE, FALSE)), VLOOKUP('One-Off Entries'!H36, t_nasccDPi, 2, FALSE), IF(AND(IF(BQ35 = 2, TRUE, FALSE), IF(BR35 = 2, TRUE, FALSE)), VLOOKUP('One-Off Entries'!H36, t_nasccLMP2, 2, FALSE), IF(AND(IF(BQ35 = 2, TRUE, FALSE), IF(BR35 = 3, TRUE, FALSE)), VLOOKUP('One-Off Entries'!H36, t_nasccGTLM, 2, FALSE), IF(AND(IF(BQ35 = 2, TRUE, FALSE), IF(BR35 = 4, TRUE, FALSE)), VLOOKUP('One-Off Entries'!H36, t_nasccGTD, 2, FALSE), IF(AND(IF(BQ35 = 2.1, TRUE, FALSE), IF(BR35 = 1, TRUE, FALSE)), VLOOKUP('One-Off Entries'!H36, t_nasccDPi, 2, FALSE), IF(AND(IF(BQ35 = 2.1, TRUE, FALSE), IF(BR35 = 2, TRUE, FALSE)), VLOOKUP('One-Off Entries'!H36, t_nasccLMP2, 2, FALSE), IF(AND(IF(BQ35 = 2.1, TRUE, FALSE), IF(BR35 = 3, TRUE, FALSE)), VLOOKUP('One-Off Entries'!H36, t_nasccGTLM, 2, FALSE), IF(AND(IF(BQ35 = 2.1, TRUE, FALSE), IF(BR35 = 4, TRUE, FALSE)), VLOOKUP('One-Off Entries'!H36, t_nasccGTD, 2, FALSE), IF(AND(IF(BQ35 = 2.2, TRUE, FALSE), IF(BR35 = 1, TRUE, FALSE)), VLOOKUP('One-Off Entries'!H36, t_nasccDPi, 2, FALSE), IF(AND(IF(BQ35 = 2.2, TRUE, FALSE), IF(BR35 = 2, TRUE, FALSE)), VLOOKUP('One-Off Entries'!H36, t_nasccLMP2, 2, FALSE), IF(AND(IF(BQ35 = 2.2, TRUE, FALSE), IF(BR35 = 3, TRUE, FALSE)), VLOOKUP('One-Off Entries'!H36, t_nasccGTLM, 2, FALSE), IF(AND(IF(BQ35 = 2.2, TRUE, FALSE), IF(BR35 = 4, TRUE, FALSE)), VLOOKUP('One-Off Entries'!H36, t_nasccGTD, 2, FALSE), IF(AND(IF(BQ35 = 3, TRUE, FALSE), IF(BR35 = 1, TRUE, FALSE)), VLOOKUP('One-Off Entries'!H36, t_euemLMP2, 2, FALSE), IF(AND(IF(BQ35 = 3, TRUE, FALSE), IF(BR35 = 2, TRUE, FALSE)), VLOOKUP('One-Off Entries'!H36, t_euemLMP3, 2, FALSE), IF(AND(IF(BQ35 = 3, TRUE, FALSE), IF(BR35 = 3, TRUE, FALSE)), VLOOKUP('One-Off Entries'!H36, t_euemLMGTE, 2, FALSE), IF(AND(IF(BQ35 = 4, TRUE, FALSE), IF(BR35 = 1, TRUE, FALSE)), VLOOKUP('One-Off Entries'!H36, t_wgtssGT3, 2, FALSE), IF(AND(IF(BQ35 = 4, TRUE, FALSE), IF(BR35 = 2, TRUE, FALSE)), VLOOKUP('One-Off Entries'!H36, t_wgtssGT4, 2, FALSE), IF(AND(IF(BQ35 = 5, TRUE, FALSE), IF(BR35 = 1, TRUE, FALSE)), VLOOKUP('One-Off Entries'!H36, t_wgtmGT3P, 2, FALSE), IF(AND(IF(BQ35 = 5, TRUE, FALSE), IF(BR35 = 2, TRUE, FALSE)), VLOOKUP('One-Off Entries'!H36, t_wgtmGT3A, 2, FALSE), IF(AND(IF(BQ35 = 5, TRUE, FALSE), IF(BR35 = 3, TRUE, FALSE)), VLOOKUP('One-Off Entries'!H36, t_wgtmGT4, 2, FALSE), IF(AND(IF(BQ35 = 7, TRUE, FALSE), IF(BR35 = 1, TRUE, FALSE)), VLOOKUP('One-Off Entries'!H36, t_asmLMP3, 2, FALSE), IF(AND(IF(BQ35 = 7, TRUE, FALSE), IF(BR35 = 2, TRUE, FALSE)), VLOOKUP('One-Off Entries'!H36, t_asmGT3, 2, FALSE), IF(AND(IF(BQ35 = 7, TRUE, FALSE), IF(BR35 = 3, TRUE, FALSE)), VLOOKUP('One-Off Entries'!H36, t_asmGT4, 2, FALSE), "")))))))))))))))))))))))))))</f>
        <v/>
      </c>
      <c r="BX35" s="1" t="str">
        <f t="shared" si="11"/>
        <v/>
      </c>
      <c r="BY35" s="1" t="str">
        <f t="shared" si="12"/>
        <v/>
      </c>
      <c r="BZ35" s="1" t="str">
        <f t="shared" si="13"/>
        <v/>
      </c>
      <c r="CA35" s="1" t="str">
        <f t="shared" si="14"/>
        <v/>
      </c>
      <c r="CC35" s="1" t="str">
        <f>'One-Off Entries'!K36</f>
        <v/>
      </c>
      <c r="CD35" s="1">
        <f t="shared" si="15"/>
        <v>0</v>
      </c>
      <c r="CE35" s="1">
        <f>'One-Off Entries'!R36</f>
        <v>0</v>
      </c>
      <c r="CF35" s="1">
        <f>IF('One-Off Entries'!S36 &lt;&gt; "", REPLACE('One-Off Entries'!S36, 1, 1, "Level "), 0)</f>
        <v>0</v>
      </c>
      <c r="CG35" s="1">
        <f t="shared" si="16"/>
        <v>0</v>
      </c>
      <c r="CH35" s="1">
        <f>'One-Off Entries'!T36</f>
        <v>0</v>
      </c>
      <c r="CI35" s="1">
        <f>IF('One-Off Entries'!U36 &lt;&gt; "", REPLACE('One-Off Entries'!U36, 1, 1, "Level "), 0)</f>
        <v>0</v>
      </c>
      <c r="CJ35" s="1">
        <f>IF('One-Off Entries'!V36 &lt;&gt; "", VLOOKUP('One-Off Entries'!V36, setupCostsReliability, 2, FALSE), 0)</f>
        <v>0</v>
      </c>
    </row>
    <row r="36" spans="7:88" ht="18" customHeight="1" x14ac:dyDescent="0.3">
      <c r="G36" s="47" t="str">
        <f>IF('Car Purchase'!D36 &lt;&gt; "", VLOOKUP('Car Purchase'!D36, modelData, 3, FALSE), "")</f>
        <v/>
      </c>
      <c r="H36" s="51" t="str">
        <f>IF('Car Purchase'!I36 &lt;&gt; "", VLOOKUP('Car Purchase'!I36, modelData, 4, FALSE) * 'Car Purchase'!J36, "")</f>
        <v/>
      </c>
      <c r="I36" s="2" t="str">
        <f>IF('Car Purchase'!I36 &lt;&gt; "", VLOOKUP('Car Purchase'!I36, modelData, 5, FALSE) * 'Car Purchase'!K36, "")</f>
        <v/>
      </c>
      <c r="J36" s="52" t="str">
        <f>IF('Car Purchase'!I36 &lt;&gt; "", VLOOKUP('Car Purchase'!I36, modelData, 6, FALSE) * 'Car Purchase'!L36, "")</f>
        <v/>
      </c>
      <c r="M36" s="47" t="str">
        <f t="shared" si="0"/>
        <v/>
      </c>
      <c r="N36" s="47" t="str">
        <f t="shared" si="18"/>
        <v/>
      </c>
      <c r="O36" s="47" t="str">
        <f t="shared" si="1"/>
        <v/>
      </c>
      <c r="P36" s="51" t="str">
        <f>IF('Full Season Entries'!K37 &lt;&gt; "", IF('Full Season Entries'!K37 = "Bronze", -AJ36, VLOOKUP('Full Season Entries'!K37, driverCosts, 2, FALSE) * Z36), "")</f>
        <v/>
      </c>
      <c r="Q36" s="2" t="str">
        <f>IF('Full Season Entries'!L37 &lt;&gt; "", IF('Full Season Entries'!L37 = "Bronze", -AK36, VLOOKUP('Full Season Entries'!L37, driverCosts, 2, FALSE) * Z36), "")</f>
        <v/>
      </c>
      <c r="R36" s="2" t="str">
        <f>IF('Full Season Entries'!M37 &lt;&gt; "", IF('Full Season Entries'!M37 = "Bronze", -AL36, IF(AND(AD36 = 2, OR(AF36 = "DPi", AF36 = "GTLM")), VLOOKUP('Full Season Entries'!M37, driverCosts, 2, FALSE) * VLOOKUP(AF36, nasccEcCosts, 3, FALSE), IF(AD36 = 7, VLOOKUP('Full Season Entries'!M37, driverCosts, 2, FALSE) * VLOOKUP("ASM 210 Minutes of CoTA", oneOffs, 3, FALSE), VLOOKUP('Full Season Entries'!M37, driverCosts, 2, FALSE) * Z36))), "")</f>
        <v/>
      </c>
      <c r="S36" s="52" t="str">
        <f>IF('Full Season Entries'!N37 &lt;&gt; "", IF('Full Season Entries'!N37 = "Bronze", -AM36, VLOOKUP('Full Season Entries'!N37, driverCosts, 2, FALSE) * Z36), "")</f>
        <v/>
      </c>
      <c r="T36" s="51">
        <f t="shared" si="19"/>
        <v>0</v>
      </c>
      <c r="U36" s="2">
        <f t="shared" si="20"/>
        <v>0</v>
      </c>
      <c r="V36" s="52">
        <f t="shared" si="21"/>
        <v>0</v>
      </c>
      <c r="Y36" s="1" t="str">
        <f t="shared" si="22"/>
        <v/>
      </c>
      <c r="Z36" s="1">
        <f t="shared" si="23"/>
        <v>0</v>
      </c>
      <c r="AA36" s="1">
        <f t="shared" si="3"/>
        <v>0</v>
      </c>
      <c r="AC36" s="1" t="str">
        <f>'Full Season Entries'!J37</f>
        <v/>
      </c>
      <c r="AD36" s="1">
        <f>'Full Season Entries'!AF37</f>
        <v>0</v>
      </c>
      <c r="AE36" s="1">
        <f>'Full Season Entries'!AG37</f>
        <v>0</v>
      </c>
      <c r="AF36" s="1" t="str">
        <f>'Full Season Entries'!D37</f>
        <v/>
      </c>
      <c r="AH36" s="1" t="str">
        <f>IF(AND(IF(AD36 = 1, TRUE, FALSE), IF(AE36 = 1, TRUE, FALSE)), VLOOKUP('Full Season Entries'!G37, t_gemLMP1, 2, FALSE), IF(AND(IF(AD36 = 1, TRUE, FALSE), IF(AE36 = 2, TRUE, FALSE)), VLOOKUP('Full Season Entries'!G37, t_gemLMP2, 2, FALSE), IF(AND(IF(AD36 = 1, TRUE, FALSE), IF(AE36 = 3, TRUE, FALSE)), VLOOKUP('Full Season Entries'!G37, t_gemLMGTE, 2, FALSE), IF(AND(IF(AD36 = 1, TRUE, FALSE), IF(AE36 = 4, TRUE, FALSE)), VLOOKUP('Full Season Entries'!G37, t_gemLMGTE, 2, FALSE), IF(AND(IF(AD36 = 2, TRUE, FALSE), IF(AE36 = 1, TRUE, FALSE)), VLOOKUP('Full Season Entries'!G37, t_nasccDPi, 2, FALSE), IF(AND(IF(AD36 = 2, TRUE, FALSE), IF(AE36 = 2, TRUE, FALSE)), VLOOKUP('Full Season Entries'!G37, t_nasccLMP2, 2, FALSE), IF(AND(IF(AD36 = 2, TRUE, FALSE), IF(AE36 = 3, TRUE, FALSE)), VLOOKUP('Full Season Entries'!G37, t_nasccGTLM, 2, FALSE), IF(AND(IF(AD36 = 2, TRUE, FALSE), IF(AE36 = 4, TRUE, FALSE)), VLOOKUP('Full Season Entries'!G37, t_nasccGTD, 2, FALSE), IF(AND(IF(AD36 = 2.1, TRUE, FALSE), IF(AE36 = 1, TRUE, FALSE)), VLOOKUP('Full Season Entries'!G37, t_nasccDPi, 2, FALSE), IF(AND(IF(AD36 = 2.1, TRUE, FALSE), IF(AE36 = 2, TRUE, FALSE)), VLOOKUP('Full Season Entries'!G37, t_nasccLMP2, 2, FALSE), IF(AND(IF(AD36 = 2.1, TRUE, FALSE), IF(AE36 = 3, TRUE, FALSE)), VLOOKUP('Full Season Entries'!G37, t_nasccGTLM, 2, FALSE), IF(AND(IF(AD36 = 2.1, TRUE, FALSE), IF(AE36 = 4, TRUE, FALSE)), VLOOKUP('Full Season Entries'!G37, t_nasccGTD, 2, FALSE), IF(AND(IF(AD36 = 2.2, TRUE, FALSE), IF(AE36 = 1, TRUE, FALSE)), VLOOKUP('Full Season Entries'!G37, t_nasccDPi, 2, FALSE), IF(AND(IF(AD36 = 2.2, TRUE, FALSE), IF(AE36 = 2, TRUE, FALSE)), VLOOKUP('Full Season Entries'!G37, t_nasccLMP2, 2, FALSE), IF(AND(IF(AD36 = 2.2, TRUE, FALSE), IF(AE36 = 3, TRUE, FALSE)), VLOOKUP('Full Season Entries'!G37, t_nasccGTLM, 2, FALSE), IF(AND(IF(AD36 = 2.2, TRUE, FALSE), IF(AE36 = 4, TRUE, FALSE)), VLOOKUP('Full Season Entries'!G37, t_nasccGTD, 2, FALSE), IF(AND(IF(AD36 = 3, TRUE, FALSE), IF(AE36 = 1, TRUE, FALSE)), VLOOKUP('Full Season Entries'!G37, t_euemLMP2, 2, FALSE), IF(AND(IF(AD36 = 3, TRUE, FALSE), IF(AE36 = 2, TRUE, FALSE)), VLOOKUP('Full Season Entries'!G37, t_euemLMP3, 2, FALSE), IF(AND(IF(AD36 = 3, TRUE, FALSE), IF(AE36 = 3, TRUE, FALSE)), VLOOKUP('Full Season Entries'!G37, t_euemLMGTE, 2, FALSE), IF(AND(IF(AD36 = 4, TRUE, FALSE), IF(AE36 = 1, TRUE, FALSE)), VLOOKUP('Full Season Entries'!G37, t_wgtssGT3, 2, FALSE), IF(AND(IF(AD36 = 4, TRUE, FALSE), IF(AE36 = 2, TRUE, FALSE)), VLOOKUP('Full Season Entries'!G37, t_wgtssGT4, 2, FALSE), IF(AND(IF(AD36 = 5, TRUE, FALSE), IF(AE36 = 1, TRUE, FALSE)), VLOOKUP('Full Season Entries'!G37, t_wgtmGT3P, 2, FALSE), IF(AND(IF(AD36 = 5, TRUE, FALSE), IF(AE36 = 2, TRUE, FALSE)), VLOOKUP('Full Season Entries'!G37, t_wgtmGT3A, 2, FALSE), IF(AND(IF(AD36 = 5, TRUE, FALSE), IF(AE36 = 3, TRUE, FALSE)), VLOOKUP('Full Season Entries'!G37, t_wgtmGT4, 2, FALSE), IF(AND(IF(AD36 = 7, TRUE, FALSE), IF(AE36 = 1, TRUE, FALSE)), VLOOKUP('Full Season Entries'!G37, t_asmLMP3, 2, FALSE), IF(AND(IF(AD36 = 7, TRUE, FALSE), IF(AE36 = 2, TRUE, FALSE)), VLOOKUP('Full Season Entries'!G37, t_asmGT3, 2, FALSE), IF(AND(IF(AD36 = 7, TRUE, FALSE), IF(AE36 = 3, TRUE, FALSE)), VLOOKUP('Full Season Entries'!G37, t_asmGT4, 2, FALSE), "")))))))))))))))))))))))))))</f>
        <v/>
      </c>
      <c r="AJ36" s="1" t="str">
        <f t="shared" si="4"/>
        <v/>
      </c>
      <c r="AK36" s="1" t="str">
        <f t="shared" si="5"/>
        <v/>
      </c>
      <c r="AL36" s="1" t="str">
        <f t="shared" si="24"/>
        <v/>
      </c>
      <c r="AM36" s="1" t="str">
        <f t="shared" si="6"/>
        <v/>
      </c>
      <c r="AO36" s="1" t="str">
        <f>'Full Season Entries'!I37</f>
        <v/>
      </c>
      <c r="AQ36" s="1">
        <f t="shared" si="7"/>
        <v>0</v>
      </c>
      <c r="AR36" s="1">
        <f>'Full Season Entries'!P37</f>
        <v>0</v>
      </c>
      <c r="AS36" s="1">
        <f>IF('Full Season Entries'!Q37 &lt;&gt; "", REPLACE('Full Season Entries'!Q37, 1, 1, "Level "), 0)</f>
        <v>0</v>
      </c>
      <c r="AT36" s="1">
        <f t="shared" si="8"/>
        <v>0</v>
      </c>
      <c r="AU36" s="1">
        <f>'Full Season Entries'!R37</f>
        <v>0</v>
      </c>
      <c r="AV36" s="1">
        <f>IF('Full Season Entries'!S37 &lt;&gt; "", REPLACE('Full Season Entries'!S37, 1, 1, "Level "), 0)</f>
        <v>0</v>
      </c>
      <c r="AW36" s="1">
        <f>IF('Full Season Entries'!T37 &lt;&gt; "", VLOOKUP('Full Season Entries'!T37, setupCostsReliability, 2, FALSE), 0)</f>
        <v>0</v>
      </c>
      <c r="AZ36" s="47" t="str">
        <f>IF('One-Off Entries'!I37 = "Yes", 0, IF(BQ36 &lt;&gt; "", IF(BQ36 = 1, VLOOKUP(BT36, gemCosts, 5, FALSE), IF(BQ36 = 2, VLOOKUP(BT36, nasccCosts, 5, FALSE), IF(BQ36 = 2.1, VLOOKUP(BT36, nasccScCosts, 5, FALSE), IF(BQ36 = 2.2, VLOOKUP(BT36, nasccEcCosts, 5, FALSE), IF(BQ36 = 3, VLOOKUP(BT36, euemCosts, 5, FALSE), IF(BQ36 = 4, VLOOKUP(BT36, wgtssCosts, 5, FALSE), IF(BQ36 = 5, VLOOKUP(BT36, wgtmCosts, 5, FALSE), IF(BQ36 = 6, VLOOKUP(BT36, wpcCosts, 5, FALSE), IF(BQ36 = 7, VLOOKUP(BT36, asmCosts, 5, FALSE), "")))))))))))</f>
        <v/>
      </c>
      <c r="BA36" s="47" t="str">
        <f t="shared" si="25"/>
        <v/>
      </c>
      <c r="BB36" s="47" t="str">
        <f t="shared" si="26"/>
        <v/>
      </c>
      <c r="BC36" s="51" t="str">
        <f>IF('One-Off Entries'!M37 &lt;&gt; "", IF('One-Off Entries'!M37 = "Bronze", -BX36, VLOOKUP('One-Off Entries'!M37, driverCosts, 2, FALSE) * BM36), "")</f>
        <v/>
      </c>
      <c r="BD36" s="2" t="str">
        <f>IF('One-Off Entries'!N37 &lt;&gt; "", IF('One-Off Entries'!N37 = "Bronze", -BY36, VLOOKUP('One-Off Entries'!N37, driverCosts, 2, FALSE) * BM36), "")</f>
        <v/>
      </c>
      <c r="BE36" s="2" t="str">
        <f>IF('One-Off Entries'!O37 &lt;&gt; "", IF('One-Off Entries'!O37 = "Bronze", -BZ36, VLOOKUP('One-Off Entries'!O37, driverCosts, 2, FALSE) * BM36), "")</f>
        <v/>
      </c>
      <c r="BF36" s="52" t="str">
        <f>IF('One-Off Entries'!P37 &lt;&gt; "", IF('One-Off Entries'!P37 = "Bronze", -CA36, VLOOKUP('One-Off Entries'!P37, driverCosts, 2, FALSE) * BM36), "")</f>
        <v/>
      </c>
      <c r="BG36" s="51">
        <f t="shared" si="27"/>
        <v>0</v>
      </c>
      <c r="BH36" s="2">
        <f t="shared" si="28"/>
        <v>0</v>
      </c>
      <c r="BI36" s="52">
        <f t="shared" si="29"/>
        <v>0</v>
      </c>
      <c r="BL36" s="1" t="str">
        <f t="shared" si="9"/>
        <v/>
      </c>
      <c r="BM36" s="1" t="str">
        <f t="shared" si="10"/>
        <v/>
      </c>
      <c r="BO36" s="1">
        <f>'One-Off Entries'!C37</f>
        <v>0</v>
      </c>
      <c r="BP36" s="1" t="str">
        <f>'One-Off Entries'!L37</f>
        <v/>
      </c>
      <c r="BQ36" s="1">
        <f>'One-Off Entries'!AI37</f>
        <v>0</v>
      </c>
      <c r="BR36" s="1">
        <f>'One-Off Entries'!AJ37</f>
        <v>0</v>
      </c>
      <c r="BT36" s="1" t="str">
        <f>'One-Off Entries'!E37</f>
        <v/>
      </c>
      <c r="BV36" s="1" t="str">
        <f>IF(AND(IF(BQ36 = 1, TRUE, FALSE), IF(BR36 = 1, TRUE, FALSE)), VLOOKUP('One-Off Entries'!H37, t_gemLMP1, 2, FALSE), IF(AND(IF(BQ36 = 1, TRUE, FALSE), IF(BR36 = 2, TRUE, FALSE)), VLOOKUP('One-Off Entries'!H37, t_gemLMP2, 2, FALSE), IF(AND(IF(BQ36 = 1, TRUE, FALSE), IF(BR36 = 3, TRUE, FALSE)), VLOOKUP('One-Off Entries'!H37, t_gemLMGTE, 2, FALSE), IF(AND(IF(BQ36 = 1, TRUE, FALSE), IF(BR36 = 4, TRUE, FALSE)), VLOOKUP('One-Off Entries'!H37, t_gemLMGTE, 2, FALSE), IF(AND(IF(BQ36 = 2, TRUE, FALSE), IF(BR36 = 1, TRUE, FALSE)), VLOOKUP('One-Off Entries'!H37, t_nasccDPi, 2, FALSE), IF(AND(IF(BQ36 = 2, TRUE, FALSE), IF(BR36 = 2, TRUE, FALSE)), VLOOKUP('One-Off Entries'!H37, t_nasccLMP2, 2, FALSE), IF(AND(IF(BQ36 = 2, TRUE, FALSE), IF(BR36 = 3, TRUE, FALSE)), VLOOKUP('One-Off Entries'!H37, t_nasccGTLM, 2, FALSE), IF(AND(IF(BQ36 = 2, TRUE, FALSE), IF(BR36 = 4, TRUE, FALSE)), VLOOKUP('One-Off Entries'!H37, t_nasccGTD, 2, FALSE), IF(AND(IF(BQ36 = 2.1, TRUE, FALSE), IF(BR36 = 1, TRUE, FALSE)), VLOOKUP('One-Off Entries'!H37, t_nasccDPi, 2, FALSE), IF(AND(IF(BQ36 = 2.1, TRUE, FALSE), IF(BR36 = 2, TRUE, FALSE)), VLOOKUP('One-Off Entries'!H37, t_nasccLMP2, 2, FALSE), IF(AND(IF(BQ36 = 2.1, TRUE, FALSE), IF(BR36 = 3, TRUE, FALSE)), VLOOKUP('One-Off Entries'!H37, t_nasccGTLM, 2, FALSE), IF(AND(IF(BQ36 = 2.1, TRUE, FALSE), IF(BR36 = 4, TRUE, FALSE)), VLOOKUP('One-Off Entries'!H37, t_nasccGTD, 2, FALSE), IF(AND(IF(BQ36 = 2.2, TRUE, FALSE), IF(BR36 = 1, TRUE, FALSE)), VLOOKUP('One-Off Entries'!H37, t_nasccDPi, 2, FALSE), IF(AND(IF(BQ36 = 2.2, TRUE, FALSE), IF(BR36 = 2, TRUE, FALSE)), VLOOKUP('One-Off Entries'!H37, t_nasccLMP2, 2, FALSE), IF(AND(IF(BQ36 = 2.2, TRUE, FALSE), IF(BR36 = 3, TRUE, FALSE)), VLOOKUP('One-Off Entries'!H37, t_nasccGTLM, 2, FALSE), IF(AND(IF(BQ36 = 2.2, TRUE, FALSE), IF(BR36 = 4, TRUE, FALSE)), VLOOKUP('One-Off Entries'!H37, t_nasccGTD, 2, FALSE), IF(AND(IF(BQ36 = 3, TRUE, FALSE), IF(BR36 = 1, TRUE, FALSE)), VLOOKUP('One-Off Entries'!H37, t_euemLMP2, 2, FALSE), IF(AND(IF(BQ36 = 3, TRUE, FALSE), IF(BR36 = 2, TRUE, FALSE)), VLOOKUP('One-Off Entries'!H37, t_euemLMP3, 2, FALSE), IF(AND(IF(BQ36 = 3, TRUE, FALSE), IF(BR36 = 3, TRUE, FALSE)), VLOOKUP('One-Off Entries'!H37, t_euemLMGTE, 2, FALSE), IF(AND(IF(BQ36 = 4, TRUE, FALSE), IF(BR36 = 1, TRUE, FALSE)), VLOOKUP('One-Off Entries'!H37, t_wgtssGT3, 2, FALSE), IF(AND(IF(BQ36 = 4, TRUE, FALSE), IF(BR36 = 2, TRUE, FALSE)), VLOOKUP('One-Off Entries'!H37, t_wgtssGT4, 2, FALSE), IF(AND(IF(BQ36 = 5, TRUE, FALSE), IF(BR36 = 1, TRUE, FALSE)), VLOOKUP('One-Off Entries'!H37, t_wgtmGT3P, 2, FALSE), IF(AND(IF(BQ36 = 5, TRUE, FALSE), IF(BR36 = 2, TRUE, FALSE)), VLOOKUP('One-Off Entries'!H37, t_wgtmGT3A, 2, FALSE), IF(AND(IF(BQ36 = 5, TRUE, FALSE), IF(BR36 = 3, TRUE, FALSE)), VLOOKUP('One-Off Entries'!H37, t_wgtmGT4, 2, FALSE), IF(AND(IF(BQ36 = 7, TRUE, FALSE), IF(BR36 = 1, TRUE, FALSE)), VLOOKUP('One-Off Entries'!H37, t_asmLMP3, 2, FALSE), IF(AND(IF(BQ36 = 7, TRUE, FALSE), IF(BR36 = 2, TRUE, FALSE)), VLOOKUP('One-Off Entries'!H37, t_asmGT3, 2, FALSE), IF(AND(IF(BQ36 = 7, TRUE, FALSE), IF(BR36 = 3, TRUE, FALSE)), VLOOKUP('One-Off Entries'!H37, t_asmGT4, 2, FALSE), "")))))))))))))))))))))))))))</f>
        <v/>
      </c>
      <c r="BX36" s="1" t="str">
        <f t="shared" si="11"/>
        <v/>
      </c>
      <c r="BY36" s="1" t="str">
        <f t="shared" si="12"/>
        <v/>
      </c>
      <c r="BZ36" s="1" t="str">
        <f t="shared" si="13"/>
        <v/>
      </c>
      <c r="CA36" s="1" t="str">
        <f t="shared" si="14"/>
        <v/>
      </c>
      <c r="CC36" s="1" t="str">
        <f>'One-Off Entries'!K37</f>
        <v/>
      </c>
      <c r="CD36" s="1">
        <f t="shared" si="15"/>
        <v>0</v>
      </c>
      <c r="CE36" s="1">
        <f>'One-Off Entries'!R37</f>
        <v>0</v>
      </c>
      <c r="CF36" s="1">
        <f>IF('One-Off Entries'!S37 &lt;&gt; "", REPLACE('One-Off Entries'!S37, 1, 1, "Level "), 0)</f>
        <v>0</v>
      </c>
      <c r="CG36" s="1">
        <f t="shared" si="16"/>
        <v>0</v>
      </c>
      <c r="CH36" s="1">
        <f>'One-Off Entries'!T37</f>
        <v>0</v>
      </c>
      <c r="CI36" s="1">
        <f>IF('One-Off Entries'!U37 &lt;&gt; "", REPLACE('One-Off Entries'!U37, 1, 1, "Level "), 0)</f>
        <v>0</v>
      </c>
      <c r="CJ36" s="1">
        <f>IF('One-Off Entries'!V37 &lt;&gt; "", VLOOKUP('One-Off Entries'!V37, setupCostsReliability, 2, FALSE), 0)</f>
        <v>0</v>
      </c>
    </row>
    <row r="37" spans="7:88" ht="18" customHeight="1" x14ac:dyDescent="0.3">
      <c r="G37" s="47" t="str">
        <f>IF('Car Purchase'!D37 &lt;&gt; "", VLOOKUP('Car Purchase'!D37, modelData, 3, FALSE), "")</f>
        <v/>
      </c>
      <c r="H37" s="51" t="str">
        <f>IF('Car Purchase'!I37 &lt;&gt; "", VLOOKUP('Car Purchase'!I37, modelData, 4, FALSE) * 'Car Purchase'!J37, "")</f>
        <v/>
      </c>
      <c r="I37" s="2" t="str">
        <f>IF('Car Purchase'!I37 &lt;&gt; "", VLOOKUP('Car Purchase'!I37, modelData, 5, FALSE) * 'Car Purchase'!K37, "")</f>
        <v/>
      </c>
      <c r="J37" s="52" t="str">
        <f>IF('Car Purchase'!I37 &lt;&gt; "", VLOOKUP('Car Purchase'!I37, modelData, 6, FALSE) * 'Car Purchase'!L37, "")</f>
        <v/>
      </c>
      <c r="M37" s="47" t="str">
        <f t="shared" si="0"/>
        <v/>
      </c>
      <c r="N37" s="47" t="str">
        <f t="shared" ref="N37:N39" si="31">IF(AND(IF(ISERROR(Y37) = FALSE, TRUE, FALSE), IF(Y37 &lt;&gt; "", TRUE, FALSE), IF(ISERROR(Z37) = FALSE, TRUE, FALSE)) = TRUE, Y37 * Z37, "")</f>
        <v/>
      </c>
      <c r="O37" s="47" t="str">
        <f t="shared" si="1"/>
        <v/>
      </c>
      <c r="P37" s="51" t="str">
        <f>IF('Full Season Entries'!K38 &lt;&gt; "", IF('Full Season Entries'!K38 = "Bronze", -AJ37, VLOOKUP('Full Season Entries'!K38, driverCosts, 2, FALSE) * Z37), "")</f>
        <v/>
      </c>
      <c r="Q37" s="2" t="str">
        <f>IF('Full Season Entries'!L38 &lt;&gt; "", IF('Full Season Entries'!L38 = "Bronze", -AK37, VLOOKUP('Full Season Entries'!L38, driverCosts, 2, FALSE) * Z37), "")</f>
        <v/>
      </c>
      <c r="R37" s="2" t="str">
        <f>IF('Full Season Entries'!M38 &lt;&gt; "", IF('Full Season Entries'!M38 = "Bronze", -AL37, IF(AND(AD37 = 2, OR(AF37 = "DPi", AF37 = "GTLM")), VLOOKUP('Full Season Entries'!M38, driverCosts, 2, FALSE) * VLOOKUP(AF37, nasccEcCosts, 3, FALSE), IF(AD37 = 7, VLOOKUP('Full Season Entries'!M38, driverCosts, 2, FALSE) * VLOOKUP("ASM 210 Minutes of CoTA", oneOffs, 3, FALSE), VLOOKUP('Full Season Entries'!M38, driverCosts, 2, FALSE) * Z37))), "")</f>
        <v/>
      </c>
      <c r="S37" s="52" t="str">
        <f>IF('Full Season Entries'!N38 &lt;&gt; "", IF('Full Season Entries'!N38 = "Bronze", -AM37, VLOOKUP('Full Season Entries'!N38, driverCosts, 2, FALSE) * Z37), "")</f>
        <v/>
      </c>
      <c r="T37" s="51">
        <f t="shared" si="19"/>
        <v>0</v>
      </c>
      <c r="U37" s="2">
        <f t="shared" si="20"/>
        <v>0</v>
      </c>
      <c r="V37" s="52">
        <f t="shared" si="21"/>
        <v>0</v>
      </c>
      <c r="Y37" s="1" t="str">
        <f t="shared" si="22"/>
        <v/>
      </c>
      <c r="Z37" s="1">
        <f t="shared" si="23"/>
        <v>0</v>
      </c>
      <c r="AA37" s="1">
        <f t="shared" si="3"/>
        <v>0</v>
      </c>
      <c r="AC37" s="1" t="str">
        <f>'Full Season Entries'!J38</f>
        <v/>
      </c>
      <c r="AD37" s="1">
        <f>'Full Season Entries'!AF38</f>
        <v>0</v>
      </c>
      <c r="AE37" s="1">
        <f>'Full Season Entries'!AG38</f>
        <v>0</v>
      </c>
      <c r="AF37" s="1" t="str">
        <f>'Full Season Entries'!D38</f>
        <v/>
      </c>
      <c r="AH37" s="1" t="str">
        <f>IF(AND(IF(AD37 = 1, TRUE, FALSE), IF(AE37 = 1, TRUE, FALSE)), VLOOKUP('Full Season Entries'!G38, t_gemLMP1, 2, FALSE), IF(AND(IF(AD37 = 1, TRUE, FALSE), IF(AE37 = 2, TRUE, FALSE)), VLOOKUP('Full Season Entries'!G38, t_gemLMP2, 2, FALSE), IF(AND(IF(AD37 = 1, TRUE, FALSE), IF(AE37 = 3, TRUE, FALSE)), VLOOKUP('Full Season Entries'!G38, t_gemLMGTE, 2, FALSE), IF(AND(IF(AD37 = 1, TRUE, FALSE), IF(AE37 = 4, TRUE, FALSE)), VLOOKUP('Full Season Entries'!G38, t_gemLMGTE, 2, FALSE), IF(AND(IF(AD37 = 2, TRUE, FALSE), IF(AE37 = 1, TRUE, FALSE)), VLOOKUP('Full Season Entries'!G38, t_nasccDPi, 2, FALSE), IF(AND(IF(AD37 = 2, TRUE, FALSE), IF(AE37 = 2, TRUE, FALSE)), VLOOKUP('Full Season Entries'!G38, t_nasccLMP2, 2, FALSE), IF(AND(IF(AD37 = 2, TRUE, FALSE), IF(AE37 = 3, TRUE, FALSE)), VLOOKUP('Full Season Entries'!G38, t_nasccGTLM, 2, FALSE), IF(AND(IF(AD37 = 2, TRUE, FALSE), IF(AE37 = 4, TRUE, FALSE)), VLOOKUP('Full Season Entries'!G38, t_nasccGTD, 2, FALSE), IF(AND(IF(AD37 = 2.1, TRUE, FALSE), IF(AE37 = 1, TRUE, FALSE)), VLOOKUP('Full Season Entries'!G38, t_nasccDPi, 2, FALSE), IF(AND(IF(AD37 = 2.1, TRUE, FALSE), IF(AE37 = 2, TRUE, FALSE)), VLOOKUP('Full Season Entries'!G38, t_nasccLMP2, 2, FALSE), IF(AND(IF(AD37 = 2.1, TRUE, FALSE), IF(AE37 = 3, TRUE, FALSE)), VLOOKUP('Full Season Entries'!G38, t_nasccGTLM, 2, FALSE), IF(AND(IF(AD37 = 2.1, TRUE, FALSE), IF(AE37 = 4, TRUE, FALSE)), VLOOKUP('Full Season Entries'!G38, t_nasccGTD, 2, FALSE), IF(AND(IF(AD37 = 2.2, TRUE, FALSE), IF(AE37 = 1, TRUE, FALSE)), VLOOKUP('Full Season Entries'!G38, t_nasccDPi, 2, FALSE), IF(AND(IF(AD37 = 2.2, TRUE, FALSE), IF(AE37 = 2, TRUE, FALSE)), VLOOKUP('Full Season Entries'!G38, t_nasccLMP2, 2, FALSE), IF(AND(IF(AD37 = 2.2, TRUE, FALSE), IF(AE37 = 3, TRUE, FALSE)), VLOOKUP('Full Season Entries'!G38, t_nasccGTLM, 2, FALSE), IF(AND(IF(AD37 = 2.2, TRUE, FALSE), IF(AE37 = 4, TRUE, FALSE)), VLOOKUP('Full Season Entries'!G38, t_nasccGTD, 2, FALSE), IF(AND(IF(AD37 = 3, TRUE, FALSE), IF(AE37 = 1, TRUE, FALSE)), VLOOKUP('Full Season Entries'!G38, t_euemLMP2, 2, FALSE), IF(AND(IF(AD37 = 3, TRUE, FALSE), IF(AE37 = 2, TRUE, FALSE)), VLOOKUP('Full Season Entries'!G38, t_euemLMP3, 2, FALSE), IF(AND(IF(AD37 = 3, TRUE, FALSE), IF(AE37 = 3, TRUE, FALSE)), VLOOKUP('Full Season Entries'!G38, t_euemLMGTE, 2, FALSE), IF(AND(IF(AD37 = 4, TRUE, FALSE), IF(AE37 = 1, TRUE, FALSE)), VLOOKUP('Full Season Entries'!G38, t_wgtssGT3, 2, FALSE), IF(AND(IF(AD37 = 4, TRUE, FALSE), IF(AE37 = 2, TRUE, FALSE)), VLOOKUP('Full Season Entries'!G38, t_wgtssGT4, 2, FALSE), IF(AND(IF(AD37 = 5, TRUE, FALSE), IF(AE37 = 1, TRUE, FALSE)), VLOOKUP('Full Season Entries'!G38, t_wgtmGT3P, 2, FALSE), IF(AND(IF(AD37 = 5, TRUE, FALSE), IF(AE37 = 2, TRUE, FALSE)), VLOOKUP('Full Season Entries'!G38, t_wgtmGT3A, 2, FALSE), IF(AND(IF(AD37 = 5, TRUE, FALSE), IF(AE37 = 3, TRUE, FALSE)), VLOOKUP('Full Season Entries'!G38, t_wgtmGT4, 2, FALSE), IF(AND(IF(AD37 = 7, TRUE, FALSE), IF(AE37 = 1, TRUE, FALSE)), VLOOKUP('Full Season Entries'!G38, t_asmLMP3, 2, FALSE), IF(AND(IF(AD37 = 7, TRUE, FALSE), IF(AE37 = 2, TRUE, FALSE)), VLOOKUP('Full Season Entries'!G38, t_asmGT3, 2, FALSE), IF(AND(IF(AD37 = 7, TRUE, FALSE), IF(AE37 = 3, TRUE, FALSE)), VLOOKUP('Full Season Entries'!G38, t_asmGT4, 2, FALSE), "")))))))))))))))))))))))))))</f>
        <v/>
      </c>
      <c r="AJ37" s="1" t="str">
        <f t="shared" si="4"/>
        <v/>
      </c>
      <c r="AK37" s="1" t="str">
        <f t="shared" si="5"/>
        <v/>
      </c>
      <c r="AL37" s="1" t="str">
        <f t="shared" si="24"/>
        <v/>
      </c>
      <c r="AM37" s="1" t="str">
        <f t="shared" si="6"/>
        <v/>
      </c>
      <c r="AO37" s="1" t="str">
        <f>'Full Season Entries'!I38</f>
        <v/>
      </c>
      <c r="AQ37" s="1">
        <f t="shared" si="7"/>
        <v>0</v>
      </c>
      <c r="AR37" s="1">
        <f>'Full Season Entries'!P38</f>
        <v>0</v>
      </c>
      <c r="AS37" s="1">
        <f>IF('Full Season Entries'!Q38 &lt;&gt; "", REPLACE('Full Season Entries'!Q38, 1, 1, "Level "), 0)</f>
        <v>0</v>
      </c>
      <c r="AT37" s="1">
        <f t="shared" si="8"/>
        <v>0</v>
      </c>
      <c r="AU37" s="1">
        <f>'Full Season Entries'!R38</f>
        <v>0</v>
      </c>
      <c r="AV37" s="1">
        <f>IF('Full Season Entries'!S38 &lt;&gt; "", REPLACE('Full Season Entries'!S38, 1, 1, "Level "), 0)</f>
        <v>0</v>
      </c>
      <c r="AW37" s="1">
        <f>IF('Full Season Entries'!T38 &lt;&gt; "", VLOOKUP('Full Season Entries'!T38, setupCostsReliability, 2, FALSE), 0)</f>
        <v>0</v>
      </c>
      <c r="AZ37" s="47" t="str">
        <f>IF('One-Off Entries'!I38 = "Yes", 0, IF(BQ37 &lt;&gt; "", IF(BQ37 = 1, VLOOKUP(BT37, gemCosts, 5, FALSE), IF(BQ37 = 2, VLOOKUP(BT37, nasccCosts, 5, FALSE), IF(BQ37 = 2.1, VLOOKUP(BT37, nasccScCosts, 5, FALSE), IF(BQ37 = 2.2, VLOOKUP(BT37, nasccEcCosts, 5, FALSE), IF(BQ37 = 3, VLOOKUP(BT37, euemCosts, 5, FALSE), IF(BQ37 = 4, VLOOKUP(BT37, wgtssCosts, 5, FALSE), IF(BQ37 = 5, VLOOKUP(BT37, wgtmCosts, 5, FALSE), IF(BQ37 = 6, VLOOKUP(BT37, wpcCosts, 5, FALSE), IF(BQ37 = 7, VLOOKUP(BT37, asmCosts, 5, FALSE), "")))))))))))</f>
        <v/>
      </c>
      <c r="BA37" s="47" t="str">
        <f t="shared" si="25"/>
        <v/>
      </c>
      <c r="BB37" s="47" t="str">
        <f t="shared" si="26"/>
        <v/>
      </c>
      <c r="BC37" s="51" t="str">
        <f>IF('One-Off Entries'!M38 &lt;&gt; "", IF('One-Off Entries'!M38 = "Bronze", -BX37, VLOOKUP('One-Off Entries'!M38, driverCosts, 2, FALSE) * BM37), "")</f>
        <v/>
      </c>
      <c r="BD37" s="2" t="str">
        <f>IF('One-Off Entries'!N38 &lt;&gt; "", IF('One-Off Entries'!N38 = "Bronze", -BY37, VLOOKUP('One-Off Entries'!N38, driverCosts, 2, FALSE) * BM37), "")</f>
        <v/>
      </c>
      <c r="BE37" s="2" t="str">
        <f>IF('One-Off Entries'!O38 &lt;&gt; "", IF('One-Off Entries'!O38 = "Bronze", -BZ37, VLOOKUP('One-Off Entries'!O38, driverCosts, 2, FALSE) * BM37), "")</f>
        <v/>
      </c>
      <c r="BF37" s="52" t="str">
        <f>IF('One-Off Entries'!P38 &lt;&gt; "", IF('One-Off Entries'!P38 = "Bronze", -CA37, VLOOKUP('One-Off Entries'!P38, driverCosts, 2, FALSE) * BM37), "")</f>
        <v/>
      </c>
      <c r="BG37" s="51">
        <f t="shared" si="27"/>
        <v>0</v>
      </c>
      <c r="BH37" s="2">
        <f t="shared" si="28"/>
        <v>0</v>
      </c>
      <c r="BI37" s="52">
        <f t="shared" si="29"/>
        <v>0</v>
      </c>
      <c r="BL37" s="1" t="str">
        <f t="shared" si="9"/>
        <v/>
      </c>
      <c r="BM37" s="1" t="str">
        <f t="shared" si="10"/>
        <v/>
      </c>
      <c r="BO37" s="1">
        <f>'One-Off Entries'!C38</f>
        <v>0</v>
      </c>
      <c r="BP37" s="1" t="str">
        <f>'One-Off Entries'!L38</f>
        <v/>
      </c>
      <c r="BQ37" s="1">
        <f>'One-Off Entries'!AI38</f>
        <v>0</v>
      </c>
      <c r="BR37" s="1">
        <f>'One-Off Entries'!AJ38</f>
        <v>0</v>
      </c>
      <c r="BT37" s="1" t="str">
        <f>'One-Off Entries'!E38</f>
        <v/>
      </c>
      <c r="BV37" s="1" t="str">
        <f>IF(AND(IF(BQ37 = 1, TRUE, FALSE), IF(BR37 = 1, TRUE, FALSE)), VLOOKUP('One-Off Entries'!H38, t_gemLMP1, 2, FALSE), IF(AND(IF(BQ37 = 1, TRUE, FALSE), IF(BR37 = 2, TRUE, FALSE)), VLOOKUP('One-Off Entries'!H38, t_gemLMP2, 2, FALSE), IF(AND(IF(BQ37 = 1, TRUE, FALSE), IF(BR37 = 3, TRUE, FALSE)), VLOOKUP('One-Off Entries'!H38, t_gemLMGTE, 2, FALSE), IF(AND(IF(BQ37 = 1, TRUE, FALSE), IF(BR37 = 4, TRUE, FALSE)), VLOOKUP('One-Off Entries'!H38, t_gemLMGTE, 2, FALSE), IF(AND(IF(BQ37 = 2, TRUE, FALSE), IF(BR37 = 1, TRUE, FALSE)), VLOOKUP('One-Off Entries'!H38, t_nasccDPi, 2, FALSE), IF(AND(IF(BQ37 = 2, TRUE, FALSE), IF(BR37 = 2, TRUE, FALSE)), VLOOKUP('One-Off Entries'!H38, t_nasccLMP2, 2, FALSE), IF(AND(IF(BQ37 = 2, TRUE, FALSE), IF(BR37 = 3, TRUE, FALSE)), VLOOKUP('One-Off Entries'!H38, t_nasccGTLM, 2, FALSE), IF(AND(IF(BQ37 = 2, TRUE, FALSE), IF(BR37 = 4, TRUE, FALSE)), VLOOKUP('One-Off Entries'!H38, t_nasccGTD, 2, FALSE), IF(AND(IF(BQ37 = 2.1, TRUE, FALSE), IF(BR37 = 1, TRUE, FALSE)), VLOOKUP('One-Off Entries'!H38, t_nasccDPi, 2, FALSE), IF(AND(IF(BQ37 = 2.1, TRUE, FALSE), IF(BR37 = 2, TRUE, FALSE)), VLOOKUP('One-Off Entries'!H38, t_nasccLMP2, 2, FALSE), IF(AND(IF(BQ37 = 2.1, TRUE, FALSE), IF(BR37 = 3, TRUE, FALSE)), VLOOKUP('One-Off Entries'!H38, t_nasccGTLM, 2, FALSE), IF(AND(IF(BQ37 = 2.1, TRUE, FALSE), IF(BR37 = 4, TRUE, FALSE)), VLOOKUP('One-Off Entries'!H38, t_nasccGTD, 2, FALSE), IF(AND(IF(BQ37 = 2.2, TRUE, FALSE), IF(BR37 = 1, TRUE, FALSE)), VLOOKUP('One-Off Entries'!H38, t_nasccDPi, 2, FALSE), IF(AND(IF(BQ37 = 2.2, TRUE, FALSE), IF(BR37 = 2, TRUE, FALSE)), VLOOKUP('One-Off Entries'!H38, t_nasccLMP2, 2, FALSE), IF(AND(IF(BQ37 = 2.2, TRUE, FALSE), IF(BR37 = 3, TRUE, FALSE)), VLOOKUP('One-Off Entries'!H38, t_nasccGTLM, 2, FALSE), IF(AND(IF(BQ37 = 2.2, TRUE, FALSE), IF(BR37 = 4, TRUE, FALSE)), VLOOKUP('One-Off Entries'!H38, t_nasccGTD, 2, FALSE), IF(AND(IF(BQ37 = 3, TRUE, FALSE), IF(BR37 = 1, TRUE, FALSE)), VLOOKUP('One-Off Entries'!H38, t_euemLMP2, 2, FALSE), IF(AND(IF(BQ37 = 3, TRUE, FALSE), IF(BR37 = 2, TRUE, FALSE)), VLOOKUP('One-Off Entries'!H38, t_euemLMP3, 2, FALSE), IF(AND(IF(BQ37 = 3, TRUE, FALSE), IF(BR37 = 3, TRUE, FALSE)), VLOOKUP('One-Off Entries'!H38, t_euemLMGTE, 2, FALSE), IF(AND(IF(BQ37 = 4, TRUE, FALSE), IF(BR37 = 1, TRUE, FALSE)), VLOOKUP('One-Off Entries'!H38, t_wgtssGT3, 2, FALSE), IF(AND(IF(BQ37 = 4, TRUE, FALSE), IF(BR37 = 2, TRUE, FALSE)), VLOOKUP('One-Off Entries'!H38, t_wgtssGT4, 2, FALSE), IF(AND(IF(BQ37 = 5, TRUE, FALSE), IF(BR37 = 1, TRUE, FALSE)), VLOOKUP('One-Off Entries'!H38, t_wgtmGT3P, 2, FALSE), IF(AND(IF(BQ37 = 5, TRUE, FALSE), IF(BR37 = 2, TRUE, FALSE)), VLOOKUP('One-Off Entries'!H38, t_wgtmGT3A, 2, FALSE), IF(AND(IF(BQ37 = 5, TRUE, FALSE), IF(BR37 = 3, TRUE, FALSE)), VLOOKUP('One-Off Entries'!H38, t_wgtmGT4, 2, FALSE), IF(AND(IF(BQ37 = 7, TRUE, FALSE), IF(BR37 = 1, TRUE, FALSE)), VLOOKUP('One-Off Entries'!H38, t_asmLMP3, 2, FALSE), IF(AND(IF(BQ37 = 7, TRUE, FALSE), IF(BR37 = 2, TRUE, FALSE)), VLOOKUP('One-Off Entries'!H38, t_asmGT3, 2, FALSE), IF(AND(IF(BQ37 = 7, TRUE, FALSE), IF(BR37 = 3, TRUE, FALSE)), VLOOKUP('One-Off Entries'!H38, t_asmGT4, 2, FALSE), "")))))))))))))))))))))))))))</f>
        <v/>
      </c>
      <c r="BX37" s="1" t="str">
        <f t="shared" si="11"/>
        <v/>
      </c>
      <c r="BY37" s="1" t="str">
        <f t="shared" si="12"/>
        <v/>
      </c>
      <c r="BZ37" s="1" t="str">
        <f t="shared" si="13"/>
        <v/>
      </c>
      <c r="CA37" s="1" t="str">
        <f t="shared" si="14"/>
        <v/>
      </c>
      <c r="CC37" s="1" t="str">
        <f>'One-Off Entries'!K38</f>
        <v/>
      </c>
      <c r="CD37" s="1">
        <f t="shared" si="15"/>
        <v>0</v>
      </c>
      <c r="CE37" s="1">
        <f>'One-Off Entries'!R38</f>
        <v>0</v>
      </c>
      <c r="CF37" s="1">
        <f>IF('One-Off Entries'!S38 &lt;&gt; "", REPLACE('One-Off Entries'!S38, 1, 1, "Level "), 0)</f>
        <v>0</v>
      </c>
      <c r="CG37" s="1">
        <f t="shared" si="16"/>
        <v>0</v>
      </c>
      <c r="CH37" s="1">
        <f>'One-Off Entries'!T38</f>
        <v>0</v>
      </c>
      <c r="CI37" s="1">
        <f>IF('One-Off Entries'!U38 &lt;&gt; "", REPLACE('One-Off Entries'!U38, 1, 1, "Level "), 0)</f>
        <v>0</v>
      </c>
      <c r="CJ37" s="1">
        <f>IF('One-Off Entries'!V38 &lt;&gt; "", VLOOKUP('One-Off Entries'!V38, setupCostsReliability, 2, FALSE), 0)</f>
        <v>0</v>
      </c>
    </row>
    <row r="38" spans="7:88" ht="18" customHeight="1" x14ac:dyDescent="0.3">
      <c r="G38" s="47" t="str">
        <f>IF('Car Purchase'!D38 &lt;&gt; "", VLOOKUP('Car Purchase'!D38, modelData, 3, FALSE), "")</f>
        <v/>
      </c>
      <c r="H38" s="51" t="str">
        <f>IF('Car Purchase'!I38 &lt;&gt; "", VLOOKUP('Car Purchase'!I38, modelData, 4, FALSE) * 'Car Purchase'!J38, "")</f>
        <v/>
      </c>
      <c r="I38" s="2" t="str">
        <f>IF('Car Purchase'!I38 &lt;&gt; "", VLOOKUP('Car Purchase'!I38, modelData, 5, FALSE) * 'Car Purchase'!K38, "")</f>
        <v/>
      </c>
      <c r="J38" s="52" t="str">
        <f>IF('Car Purchase'!I38 &lt;&gt; "", VLOOKUP('Car Purchase'!I38, modelData, 6, FALSE) * 'Car Purchase'!L38, "")</f>
        <v/>
      </c>
      <c r="M38" s="47" t="str">
        <f t="shared" si="0"/>
        <v/>
      </c>
      <c r="N38" s="47" t="str">
        <f t="shared" si="31"/>
        <v/>
      </c>
      <c r="O38" s="47" t="str">
        <f t="shared" si="1"/>
        <v/>
      </c>
      <c r="P38" s="51" t="str">
        <f>IF('Full Season Entries'!K39 &lt;&gt; "", IF('Full Season Entries'!K39 = "Bronze", -AJ38, VLOOKUP('Full Season Entries'!K39, driverCosts, 2, FALSE) * Z38), "")</f>
        <v/>
      </c>
      <c r="Q38" s="2" t="str">
        <f>IF('Full Season Entries'!L39 &lt;&gt; "", IF('Full Season Entries'!L39 = "Bronze", -AK38, VLOOKUP('Full Season Entries'!L39, driverCosts, 2, FALSE) * Z38), "")</f>
        <v/>
      </c>
      <c r="R38" s="2" t="str">
        <f>IF('Full Season Entries'!M39 &lt;&gt; "", IF('Full Season Entries'!M39 = "Bronze", -AL38, IF(AND(AD38 = 2, OR(AF38 = "DPi", AF38 = "GTLM")), VLOOKUP('Full Season Entries'!M39, driverCosts, 2, FALSE) * VLOOKUP(AF38, nasccEcCosts, 3, FALSE), IF(AD38 = 7, VLOOKUP('Full Season Entries'!M39, driverCosts, 2, FALSE) * VLOOKUP("ASM 210 Minutes of CoTA", oneOffs, 3, FALSE), VLOOKUP('Full Season Entries'!M39, driverCosts, 2, FALSE) * Z38))), "")</f>
        <v/>
      </c>
      <c r="S38" s="52" t="str">
        <f>IF('Full Season Entries'!N39 &lt;&gt; "", IF('Full Season Entries'!N39 = "Bronze", -AM38, VLOOKUP('Full Season Entries'!N39, driverCosts, 2, FALSE) * Z38), "")</f>
        <v/>
      </c>
      <c r="T38" s="51">
        <f t="shared" si="19"/>
        <v>0</v>
      </c>
      <c r="U38" s="2">
        <f t="shared" si="20"/>
        <v>0</v>
      </c>
      <c r="V38" s="52">
        <f t="shared" si="21"/>
        <v>0</v>
      </c>
      <c r="Y38" s="1" t="str">
        <f t="shared" si="22"/>
        <v/>
      </c>
      <c r="Z38" s="1">
        <f t="shared" si="23"/>
        <v>0</v>
      </c>
      <c r="AA38" s="1">
        <f t="shared" si="3"/>
        <v>0</v>
      </c>
      <c r="AC38" s="1" t="str">
        <f>'Full Season Entries'!J39</f>
        <v/>
      </c>
      <c r="AD38" s="1">
        <f>'Full Season Entries'!AF39</f>
        <v>0</v>
      </c>
      <c r="AE38" s="1">
        <f>'Full Season Entries'!AG39</f>
        <v>0</v>
      </c>
      <c r="AF38" s="1" t="str">
        <f>'Full Season Entries'!D39</f>
        <v/>
      </c>
      <c r="AH38" s="1" t="str">
        <f>IF(AND(IF(AD38 = 1, TRUE, FALSE), IF(AE38 = 1, TRUE, FALSE)), VLOOKUP('Full Season Entries'!G39, t_gemLMP1, 2, FALSE), IF(AND(IF(AD38 = 1, TRUE, FALSE), IF(AE38 = 2, TRUE, FALSE)), VLOOKUP('Full Season Entries'!G39, t_gemLMP2, 2, FALSE), IF(AND(IF(AD38 = 1, TRUE, FALSE), IF(AE38 = 3, TRUE, FALSE)), VLOOKUP('Full Season Entries'!G39, t_gemLMGTE, 2, FALSE), IF(AND(IF(AD38 = 1, TRUE, FALSE), IF(AE38 = 4, TRUE, FALSE)), VLOOKUP('Full Season Entries'!G39, t_gemLMGTE, 2, FALSE), IF(AND(IF(AD38 = 2, TRUE, FALSE), IF(AE38 = 1, TRUE, FALSE)), VLOOKUP('Full Season Entries'!G39, t_nasccDPi, 2, FALSE), IF(AND(IF(AD38 = 2, TRUE, FALSE), IF(AE38 = 2, TRUE, FALSE)), VLOOKUP('Full Season Entries'!G39, t_nasccLMP2, 2, FALSE), IF(AND(IF(AD38 = 2, TRUE, FALSE), IF(AE38 = 3, TRUE, FALSE)), VLOOKUP('Full Season Entries'!G39, t_nasccGTLM, 2, FALSE), IF(AND(IF(AD38 = 2, TRUE, FALSE), IF(AE38 = 4, TRUE, FALSE)), VLOOKUP('Full Season Entries'!G39, t_nasccGTD, 2, FALSE), IF(AND(IF(AD38 = 2.1, TRUE, FALSE), IF(AE38 = 1, TRUE, FALSE)), VLOOKUP('Full Season Entries'!G39, t_nasccDPi, 2, FALSE), IF(AND(IF(AD38 = 2.1, TRUE, FALSE), IF(AE38 = 2, TRUE, FALSE)), VLOOKUP('Full Season Entries'!G39, t_nasccLMP2, 2, FALSE), IF(AND(IF(AD38 = 2.1, TRUE, FALSE), IF(AE38 = 3, TRUE, FALSE)), VLOOKUP('Full Season Entries'!G39, t_nasccGTLM, 2, FALSE), IF(AND(IF(AD38 = 2.1, TRUE, FALSE), IF(AE38 = 4, TRUE, FALSE)), VLOOKUP('Full Season Entries'!G39, t_nasccGTD, 2, FALSE), IF(AND(IF(AD38 = 2.2, TRUE, FALSE), IF(AE38 = 1, TRUE, FALSE)), VLOOKUP('Full Season Entries'!G39, t_nasccDPi, 2, FALSE), IF(AND(IF(AD38 = 2.2, TRUE, FALSE), IF(AE38 = 2, TRUE, FALSE)), VLOOKUP('Full Season Entries'!G39, t_nasccLMP2, 2, FALSE), IF(AND(IF(AD38 = 2.2, TRUE, FALSE), IF(AE38 = 3, TRUE, FALSE)), VLOOKUP('Full Season Entries'!G39, t_nasccGTLM, 2, FALSE), IF(AND(IF(AD38 = 2.2, TRUE, FALSE), IF(AE38 = 4, TRUE, FALSE)), VLOOKUP('Full Season Entries'!G39, t_nasccGTD, 2, FALSE), IF(AND(IF(AD38 = 3, TRUE, FALSE), IF(AE38 = 1, TRUE, FALSE)), VLOOKUP('Full Season Entries'!G39, t_euemLMP2, 2, FALSE), IF(AND(IF(AD38 = 3, TRUE, FALSE), IF(AE38 = 2, TRUE, FALSE)), VLOOKUP('Full Season Entries'!G39, t_euemLMP3, 2, FALSE), IF(AND(IF(AD38 = 3, TRUE, FALSE), IF(AE38 = 3, TRUE, FALSE)), VLOOKUP('Full Season Entries'!G39, t_euemLMGTE, 2, FALSE), IF(AND(IF(AD38 = 4, TRUE, FALSE), IF(AE38 = 1, TRUE, FALSE)), VLOOKUP('Full Season Entries'!G39, t_wgtssGT3, 2, FALSE), IF(AND(IF(AD38 = 4, TRUE, FALSE), IF(AE38 = 2, TRUE, FALSE)), VLOOKUP('Full Season Entries'!G39, t_wgtssGT4, 2, FALSE), IF(AND(IF(AD38 = 5, TRUE, FALSE), IF(AE38 = 1, TRUE, FALSE)), VLOOKUP('Full Season Entries'!G39, t_wgtmGT3P, 2, FALSE), IF(AND(IF(AD38 = 5, TRUE, FALSE), IF(AE38 = 2, TRUE, FALSE)), VLOOKUP('Full Season Entries'!G39, t_wgtmGT3A, 2, FALSE), IF(AND(IF(AD38 = 5, TRUE, FALSE), IF(AE38 = 3, TRUE, FALSE)), VLOOKUP('Full Season Entries'!G39, t_wgtmGT4, 2, FALSE), IF(AND(IF(AD38 = 7, TRUE, FALSE), IF(AE38 = 1, TRUE, FALSE)), VLOOKUP('Full Season Entries'!G39, t_asmLMP3, 2, FALSE), IF(AND(IF(AD38 = 7, TRUE, FALSE), IF(AE38 = 2, TRUE, FALSE)), VLOOKUP('Full Season Entries'!G39, t_asmGT3, 2, FALSE), IF(AND(IF(AD38 = 7, TRUE, FALSE), IF(AE38 = 3, TRUE, FALSE)), VLOOKUP('Full Season Entries'!G39, t_asmGT4, 2, FALSE), "")))))))))))))))))))))))))))</f>
        <v/>
      </c>
      <c r="AJ38" s="1" t="str">
        <f t="shared" si="4"/>
        <v/>
      </c>
      <c r="AK38" s="1" t="str">
        <f t="shared" si="5"/>
        <v/>
      </c>
      <c r="AL38" s="1" t="str">
        <f t="shared" si="24"/>
        <v/>
      </c>
      <c r="AM38" s="1" t="str">
        <f t="shared" si="6"/>
        <v/>
      </c>
      <c r="AO38" s="1" t="str">
        <f>'Full Season Entries'!I39</f>
        <v/>
      </c>
      <c r="AQ38" s="1">
        <f t="shared" si="7"/>
        <v>0</v>
      </c>
      <c r="AR38" s="1">
        <f>'Full Season Entries'!P39</f>
        <v>0</v>
      </c>
      <c r="AS38" s="1">
        <f>IF('Full Season Entries'!Q39 &lt;&gt; "", REPLACE('Full Season Entries'!Q39, 1, 1, "Level "), 0)</f>
        <v>0</v>
      </c>
      <c r="AT38" s="1">
        <f t="shared" si="8"/>
        <v>0</v>
      </c>
      <c r="AU38" s="1">
        <f>'Full Season Entries'!R39</f>
        <v>0</v>
      </c>
      <c r="AV38" s="1">
        <f>IF('Full Season Entries'!S39 &lt;&gt; "", REPLACE('Full Season Entries'!S39, 1, 1, "Level "), 0)</f>
        <v>0</v>
      </c>
      <c r="AW38" s="1">
        <f>IF('Full Season Entries'!T39 &lt;&gt; "", VLOOKUP('Full Season Entries'!T39, setupCostsReliability, 2, FALSE), 0)</f>
        <v>0</v>
      </c>
      <c r="AZ38" s="47" t="str">
        <f>IF('One-Off Entries'!I39 = "Yes", 0, IF(BQ38 &lt;&gt; "", IF(BQ38 = 1, VLOOKUP(BT38, gemCosts, 5, FALSE), IF(BQ38 = 2, VLOOKUP(BT38, nasccCosts, 5, FALSE), IF(BQ38 = 2.1, VLOOKUP(BT38, nasccScCosts, 5, FALSE), IF(BQ38 = 2.2, VLOOKUP(BT38, nasccEcCosts, 5, FALSE), IF(BQ38 = 3, VLOOKUP(BT38, euemCosts, 5, FALSE), IF(BQ38 = 4, VLOOKUP(BT38, wgtssCosts, 5, FALSE), IF(BQ38 = 5, VLOOKUP(BT38, wgtmCosts, 5, FALSE), IF(BQ38 = 6, VLOOKUP(BT38, wpcCosts, 5, FALSE), IF(BQ38 = 7, VLOOKUP(BT38, asmCosts, 5, FALSE), "")))))))))))</f>
        <v/>
      </c>
      <c r="BA38" s="47" t="str">
        <f t="shared" si="25"/>
        <v/>
      </c>
      <c r="BB38" s="47" t="str">
        <f t="shared" si="26"/>
        <v/>
      </c>
      <c r="BC38" s="51" t="str">
        <f>IF('One-Off Entries'!M39 &lt;&gt; "", IF('One-Off Entries'!M39 = "Bronze", -BX38, VLOOKUP('One-Off Entries'!M39, driverCosts, 2, FALSE) * BM38), "")</f>
        <v/>
      </c>
      <c r="BD38" s="2" t="str">
        <f>IF('One-Off Entries'!N39 &lt;&gt; "", IF('One-Off Entries'!N39 = "Bronze", -BY38, VLOOKUP('One-Off Entries'!N39, driverCosts, 2, FALSE) * BM38), "")</f>
        <v/>
      </c>
      <c r="BE38" s="2" t="str">
        <f>IF('One-Off Entries'!O39 &lt;&gt; "", IF('One-Off Entries'!O39 = "Bronze", -BZ38, VLOOKUP('One-Off Entries'!O39, driverCosts, 2, FALSE) * BM38), "")</f>
        <v/>
      </c>
      <c r="BF38" s="52" t="str">
        <f>IF('One-Off Entries'!P39 &lt;&gt; "", IF('One-Off Entries'!P39 = "Bronze", -CA38, VLOOKUP('One-Off Entries'!P39, driverCosts, 2, FALSE) * BM38), "")</f>
        <v/>
      </c>
      <c r="BG38" s="51">
        <f t="shared" si="27"/>
        <v>0</v>
      </c>
      <c r="BH38" s="2">
        <f t="shared" si="28"/>
        <v>0</v>
      </c>
      <c r="BI38" s="52">
        <f t="shared" si="29"/>
        <v>0</v>
      </c>
      <c r="BL38" s="1" t="str">
        <f t="shared" si="9"/>
        <v/>
      </c>
      <c r="BM38" s="1" t="str">
        <f t="shared" si="10"/>
        <v/>
      </c>
      <c r="BO38" s="1">
        <f>'One-Off Entries'!C39</f>
        <v>0</v>
      </c>
      <c r="BP38" s="1" t="str">
        <f>'One-Off Entries'!L39</f>
        <v/>
      </c>
      <c r="BQ38" s="1">
        <f>'One-Off Entries'!AI39</f>
        <v>0</v>
      </c>
      <c r="BR38" s="1">
        <f>'One-Off Entries'!AJ39</f>
        <v>0</v>
      </c>
      <c r="BT38" s="1" t="str">
        <f>'One-Off Entries'!E39</f>
        <v/>
      </c>
      <c r="BV38" s="1" t="str">
        <f>IF(AND(IF(BQ38 = 1, TRUE, FALSE), IF(BR38 = 1, TRUE, FALSE)), VLOOKUP('One-Off Entries'!H39, t_gemLMP1, 2, FALSE), IF(AND(IF(BQ38 = 1, TRUE, FALSE), IF(BR38 = 2, TRUE, FALSE)), VLOOKUP('One-Off Entries'!H39, t_gemLMP2, 2, FALSE), IF(AND(IF(BQ38 = 1, TRUE, FALSE), IF(BR38 = 3, TRUE, FALSE)), VLOOKUP('One-Off Entries'!H39, t_gemLMGTE, 2, FALSE), IF(AND(IF(BQ38 = 1, TRUE, FALSE), IF(BR38 = 4, TRUE, FALSE)), VLOOKUP('One-Off Entries'!H39, t_gemLMGTE, 2, FALSE), IF(AND(IF(BQ38 = 2, TRUE, FALSE), IF(BR38 = 1, TRUE, FALSE)), VLOOKUP('One-Off Entries'!H39, t_nasccDPi, 2, FALSE), IF(AND(IF(BQ38 = 2, TRUE, FALSE), IF(BR38 = 2, TRUE, FALSE)), VLOOKUP('One-Off Entries'!H39, t_nasccLMP2, 2, FALSE), IF(AND(IF(BQ38 = 2, TRUE, FALSE), IF(BR38 = 3, TRUE, FALSE)), VLOOKUP('One-Off Entries'!H39, t_nasccGTLM, 2, FALSE), IF(AND(IF(BQ38 = 2, TRUE, FALSE), IF(BR38 = 4, TRUE, FALSE)), VLOOKUP('One-Off Entries'!H39, t_nasccGTD, 2, FALSE), IF(AND(IF(BQ38 = 2.1, TRUE, FALSE), IF(BR38 = 1, TRUE, FALSE)), VLOOKUP('One-Off Entries'!H39, t_nasccDPi, 2, FALSE), IF(AND(IF(BQ38 = 2.1, TRUE, FALSE), IF(BR38 = 2, TRUE, FALSE)), VLOOKUP('One-Off Entries'!H39, t_nasccLMP2, 2, FALSE), IF(AND(IF(BQ38 = 2.1, TRUE, FALSE), IF(BR38 = 3, TRUE, FALSE)), VLOOKUP('One-Off Entries'!H39, t_nasccGTLM, 2, FALSE), IF(AND(IF(BQ38 = 2.1, TRUE, FALSE), IF(BR38 = 4, TRUE, FALSE)), VLOOKUP('One-Off Entries'!H39, t_nasccGTD, 2, FALSE), IF(AND(IF(BQ38 = 2.2, TRUE, FALSE), IF(BR38 = 1, TRUE, FALSE)), VLOOKUP('One-Off Entries'!H39, t_nasccDPi, 2, FALSE), IF(AND(IF(BQ38 = 2.2, TRUE, FALSE), IF(BR38 = 2, TRUE, FALSE)), VLOOKUP('One-Off Entries'!H39, t_nasccLMP2, 2, FALSE), IF(AND(IF(BQ38 = 2.2, TRUE, FALSE), IF(BR38 = 3, TRUE, FALSE)), VLOOKUP('One-Off Entries'!H39, t_nasccGTLM, 2, FALSE), IF(AND(IF(BQ38 = 2.2, TRUE, FALSE), IF(BR38 = 4, TRUE, FALSE)), VLOOKUP('One-Off Entries'!H39, t_nasccGTD, 2, FALSE), IF(AND(IF(BQ38 = 3, TRUE, FALSE), IF(BR38 = 1, TRUE, FALSE)), VLOOKUP('One-Off Entries'!H39, t_euemLMP2, 2, FALSE), IF(AND(IF(BQ38 = 3, TRUE, FALSE), IF(BR38 = 2, TRUE, FALSE)), VLOOKUP('One-Off Entries'!H39, t_euemLMP3, 2, FALSE), IF(AND(IF(BQ38 = 3, TRUE, FALSE), IF(BR38 = 3, TRUE, FALSE)), VLOOKUP('One-Off Entries'!H39, t_euemLMGTE, 2, FALSE), IF(AND(IF(BQ38 = 4, TRUE, FALSE), IF(BR38 = 1, TRUE, FALSE)), VLOOKUP('One-Off Entries'!H39, t_wgtssGT3, 2, FALSE), IF(AND(IF(BQ38 = 4, TRUE, FALSE), IF(BR38 = 2, TRUE, FALSE)), VLOOKUP('One-Off Entries'!H39, t_wgtssGT4, 2, FALSE), IF(AND(IF(BQ38 = 5, TRUE, FALSE), IF(BR38 = 1, TRUE, FALSE)), VLOOKUP('One-Off Entries'!H39, t_wgtmGT3P, 2, FALSE), IF(AND(IF(BQ38 = 5, TRUE, FALSE), IF(BR38 = 2, TRUE, FALSE)), VLOOKUP('One-Off Entries'!H39, t_wgtmGT3A, 2, FALSE), IF(AND(IF(BQ38 = 5, TRUE, FALSE), IF(BR38 = 3, TRUE, FALSE)), VLOOKUP('One-Off Entries'!H39, t_wgtmGT4, 2, FALSE), IF(AND(IF(BQ38 = 7, TRUE, FALSE), IF(BR38 = 1, TRUE, FALSE)), VLOOKUP('One-Off Entries'!H39, t_asmLMP3, 2, FALSE), IF(AND(IF(BQ38 = 7, TRUE, FALSE), IF(BR38 = 2, TRUE, FALSE)), VLOOKUP('One-Off Entries'!H39, t_asmGT3, 2, FALSE), IF(AND(IF(BQ38 = 7, TRUE, FALSE), IF(BR38 = 3, TRUE, FALSE)), VLOOKUP('One-Off Entries'!H39, t_asmGT4, 2, FALSE), "")))))))))))))))))))))))))))</f>
        <v/>
      </c>
      <c r="BX38" s="1" t="str">
        <f t="shared" si="11"/>
        <v/>
      </c>
      <c r="BY38" s="1" t="str">
        <f t="shared" si="12"/>
        <v/>
      </c>
      <c r="BZ38" s="1" t="str">
        <f t="shared" si="13"/>
        <v/>
      </c>
      <c r="CA38" s="1" t="str">
        <f t="shared" si="14"/>
        <v/>
      </c>
      <c r="CC38" s="1" t="str">
        <f>'One-Off Entries'!K39</f>
        <v/>
      </c>
      <c r="CD38" s="1">
        <f t="shared" si="15"/>
        <v>0</v>
      </c>
      <c r="CE38" s="1">
        <f>'One-Off Entries'!R39</f>
        <v>0</v>
      </c>
      <c r="CF38" s="1">
        <f>IF('One-Off Entries'!S39 &lt;&gt; "", REPLACE('One-Off Entries'!S39, 1, 1, "Level "), 0)</f>
        <v>0</v>
      </c>
      <c r="CG38" s="1">
        <f t="shared" si="16"/>
        <v>0</v>
      </c>
      <c r="CH38" s="1">
        <f>'One-Off Entries'!T39</f>
        <v>0</v>
      </c>
      <c r="CI38" s="1">
        <f>IF('One-Off Entries'!U39 &lt;&gt; "", REPLACE('One-Off Entries'!U39, 1, 1, "Level "), 0)</f>
        <v>0</v>
      </c>
      <c r="CJ38" s="1">
        <f>IF('One-Off Entries'!V39 &lt;&gt; "", VLOOKUP('One-Off Entries'!V39, setupCostsReliability, 2, FALSE), 0)</f>
        <v>0</v>
      </c>
    </row>
    <row r="39" spans="7:88" ht="18" customHeight="1" thickBot="1" x14ac:dyDescent="0.35">
      <c r="G39" s="47" t="str">
        <f>IF('Car Purchase'!D39 &lt;&gt; "", VLOOKUP('Car Purchase'!D39, modelData, 3, FALSE), "")</f>
        <v/>
      </c>
      <c r="H39" s="51" t="str">
        <f>IF('Car Purchase'!I39 &lt;&gt; "", VLOOKUP('Car Purchase'!I39, modelData, 4, FALSE) * 'Car Purchase'!J39, "")</f>
        <v/>
      </c>
      <c r="I39" s="2" t="str">
        <f>IF('Car Purchase'!I39 &lt;&gt; "", VLOOKUP('Car Purchase'!I39, modelData, 5, FALSE) * 'Car Purchase'!K39, "")</f>
        <v/>
      </c>
      <c r="J39" s="52" t="str">
        <f>IF('Car Purchase'!I39 &lt;&gt; "", VLOOKUP('Car Purchase'!I39, modelData, 6, FALSE) * 'Car Purchase'!L39, "")</f>
        <v/>
      </c>
      <c r="M39" s="48" t="str">
        <f t="shared" si="0"/>
        <v/>
      </c>
      <c r="N39" s="48" t="str">
        <f t="shared" si="31"/>
        <v/>
      </c>
      <c r="O39" s="48" t="str">
        <f t="shared" si="1"/>
        <v/>
      </c>
      <c r="P39" s="40" t="str">
        <f>IF('Full Season Entries'!K40 &lt;&gt; "", IF('Full Season Entries'!K40 = "Bronze", -AJ39, VLOOKUP('Full Season Entries'!K40, driverCosts, 2, FALSE) * Z39), "")</f>
        <v/>
      </c>
      <c r="Q39" s="41" t="str">
        <f>IF('Full Season Entries'!L40 &lt;&gt; "", IF('Full Season Entries'!L40 = "Bronze", -AK39, VLOOKUP('Full Season Entries'!L40, driverCosts, 2, FALSE) * Z39), "")</f>
        <v/>
      </c>
      <c r="R39" s="41" t="str">
        <f>IF('Full Season Entries'!M40 &lt;&gt; "", IF('Full Season Entries'!M40 = "Bronze", -AL39, IF(AND(AD39 = 2, OR(AF39 = "DPi", AF39 = "GTLM")), VLOOKUP('Full Season Entries'!M40, driverCosts, 2, FALSE) * VLOOKUP(AF39, nasccEcCosts, 3, FALSE), IF(AD39 = 7, VLOOKUP('Full Season Entries'!M40, driverCosts, 2, FALSE) * VLOOKUP("ASM 210 Minutes of CoTA", oneOffs, 3, FALSE), VLOOKUP('Full Season Entries'!M40, driverCosts, 2, FALSE) * Z39))), "")</f>
        <v/>
      </c>
      <c r="S39" s="42" t="str">
        <f>IF('Full Season Entries'!N40 &lt;&gt; "", IF('Full Season Entries'!N40 = "Bronze", -AM39, VLOOKUP('Full Season Entries'!N40, driverCosts, 2, FALSE) * Z39), "")</f>
        <v/>
      </c>
      <c r="T39" s="40">
        <f t="shared" si="19"/>
        <v>0</v>
      </c>
      <c r="U39" s="41">
        <f t="shared" si="20"/>
        <v>0</v>
      </c>
      <c r="V39" s="42">
        <f t="shared" si="21"/>
        <v>0</v>
      </c>
      <c r="Y39" s="1" t="str">
        <f t="shared" si="22"/>
        <v/>
      </c>
      <c r="Z39" s="1">
        <f t="shared" si="23"/>
        <v>0</v>
      </c>
      <c r="AA39" s="1">
        <f t="shared" si="3"/>
        <v>0</v>
      </c>
      <c r="AC39" s="1" t="str">
        <f>'Full Season Entries'!J40</f>
        <v/>
      </c>
      <c r="AD39" s="1">
        <f>'Full Season Entries'!AF40</f>
        <v>0</v>
      </c>
      <c r="AE39" s="1">
        <f>'Full Season Entries'!AG40</f>
        <v>0</v>
      </c>
      <c r="AF39" s="1" t="str">
        <f>'Full Season Entries'!D40</f>
        <v/>
      </c>
      <c r="AH39" s="1" t="str">
        <f>IF(AND(IF(AD39 = 1, TRUE, FALSE), IF(AE39 = 1, TRUE, FALSE)), VLOOKUP('Full Season Entries'!G40, t_gemLMP1, 2, FALSE), IF(AND(IF(AD39 = 1, TRUE, FALSE), IF(AE39 = 2, TRUE, FALSE)), VLOOKUP('Full Season Entries'!G40, t_gemLMP2, 2, FALSE), IF(AND(IF(AD39 = 1, TRUE, FALSE), IF(AE39 = 3, TRUE, FALSE)), VLOOKUP('Full Season Entries'!G40, t_gemLMGTE, 2, FALSE), IF(AND(IF(AD39 = 1, TRUE, FALSE), IF(AE39 = 4, TRUE, FALSE)), VLOOKUP('Full Season Entries'!G40, t_gemLMGTE, 2, FALSE), IF(AND(IF(AD39 = 2, TRUE, FALSE), IF(AE39 = 1, TRUE, FALSE)), VLOOKUP('Full Season Entries'!G40, t_nasccDPi, 2, FALSE), IF(AND(IF(AD39 = 2, TRUE, FALSE), IF(AE39 = 2, TRUE, FALSE)), VLOOKUP('Full Season Entries'!G40, t_nasccLMP2, 2, FALSE), IF(AND(IF(AD39 = 2, TRUE, FALSE), IF(AE39 = 3, TRUE, FALSE)), VLOOKUP('Full Season Entries'!G40, t_nasccGTLM, 2, FALSE), IF(AND(IF(AD39 = 2, TRUE, FALSE), IF(AE39 = 4, TRUE, FALSE)), VLOOKUP('Full Season Entries'!G40, t_nasccGTD, 2, FALSE), IF(AND(IF(AD39 = 2.1, TRUE, FALSE), IF(AE39 = 1, TRUE, FALSE)), VLOOKUP('Full Season Entries'!G40, t_nasccDPi, 2, FALSE), IF(AND(IF(AD39 = 2.1, TRUE, FALSE), IF(AE39 = 2, TRUE, FALSE)), VLOOKUP('Full Season Entries'!G40, t_nasccLMP2, 2, FALSE), IF(AND(IF(AD39 = 2.1, TRUE, FALSE), IF(AE39 = 3, TRUE, FALSE)), VLOOKUP('Full Season Entries'!G40, t_nasccGTLM, 2, FALSE), IF(AND(IF(AD39 = 2.1, TRUE, FALSE), IF(AE39 = 4, TRUE, FALSE)), VLOOKUP('Full Season Entries'!G40, t_nasccGTD, 2, FALSE), IF(AND(IF(AD39 = 2.2, TRUE, FALSE), IF(AE39 = 1, TRUE, FALSE)), VLOOKUP('Full Season Entries'!G40, t_nasccDPi, 2, FALSE), IF(AND(IF(AD39 = 2.2, TRUE, FALSE), IF(AE39 = 2, TRUE, FALSE)), VLOOKUP('Full Season Entries'!G40, t_nasccLMP2, 2, FALSE), IF(AND(IF(AD39 = 2.2, TRUE, FALSE), IF(AE39 = 3, TRUE, FALSE)), VLOOKUP('Full Season Entries'!G40, t_nasccGTLM, 2, FALSE), IF(AND(IF(AD39 = 2.2, TRUE, FALSE), IF(AE39 = 4, TRUE, FALSE)), VLOOKUP('Full Season Entries'!G40, t_nasccGTD, 2, FALSE), IF(AND(IF(AD39 = 3, TRUE, FALSE), IF(AE39 = 1, TRUE, FALSE)), VLOOKUP('Full Season Entries'!G40, t_euemLMP2, 2, FALSE), IF(AND(IF(AD39 = 3, TRUE, FALSE), IF(AE39 = 2, TRUE, FALSE)), VLOOKUP('Full Season Entries'!G40, t_euemLMP3, 2, FALSE), IF(AND(IF(AD39 = 3, TRUE, FALSE), IF(AE39 = 3, TRUE, FALSE)), VLOOKUP('Full Season Entries'!G40, t_euemLMGTE, 2, FALSE), IF(AND(IF(AD39 = 4, TRUE, FALSE), IF(AE39 = 1, TRUE, FALSE)), VLOOKUP('Full Season Entries'!G40, t_wgtssGT3, 2, FALSE), IF(AND(IF(AD39 = 4, TRUE, FALSE), IF(AE39 = 2, TRUE, FALSE)), VLOOKUP('Full Season Entries'!G40, t_wgtssGT4, 2, FALSE), IF(AND(IF(AD39 = 5, TRUE, FALSE), IF(AE39 = 1, TRUE, FALSE)), VLOOKUP('Full Season Entries'!G40, t_wgtmGT3P, 2, FALSE), IF(AND(IF(AD39 = 5, TRUE, FALSE), IF(AE39 = 2, TRUE, FALSE)), VLOOKUP('Full Season Entries'!G40, t_wgtmGT3A, 2, FALSE), IF(AND(IF(AD39 = 5, TRUE, FALSE), IF(AE39 = 3, TRUE, FALSE)), VLOOKUP('Full Season Entries'!G40, t_wgtmGT4, 2, FALSE), IF(AND(IF(AD39 = 7, TRUE, FALSE), IF(AE39 = 1, TRUE, FALSE)), VLOOKUP('Full Season Entries'!G40, t_asmLMP3, 2, FALSE), IF(AND(IF(AD39 = 7, TRUE, FALSE), IF(AE39 = 2, TRUE, FALSE)), VLOOKUP('Full Season Entries'!G40, t_asmGT3, 2, FALSE), IF(AND(IF(AD39 = 7, TRUE, FALSE), IF(AE39 = 3, TRUE, FALSE)), VLOOKUP('Full Season Entries'!G40, t_asmGT4, 2, FALSE), "")))))))))))))))))))))))))))</f>
        <v/>
      </c>
      <c r="AJ39" s="1" t="str">
        <f t="shared" si="4"/>
        <v/>
      </c>
      <c r="AK39" s="1" t="str">
        <f t="shared" si="5"/>
        <v/>
      </c>
      <c r="AL39" s="1" t="str">
        <f t="shared" si="24"/>
        <v/>
      </c>
      <c r="AM39" s="1" t="str">
        <f t="shared" si="6"/>
        <v/>
      </c>
      <c r="AO39" s="1" t="str">
        <f>'Full Season Entries'!I40</f>
        <v/>
      </c>
      <c r="AQ39" s="1">
        <f t="shared" si="7"/>
        <v>0</v>
      </c>
      <c r="AR39" s="1">
        <f>'Full Season Entries'!P40</f>
        <v>0</v>
      </c>
      <c r="AS39" s="1">
        <f>IF('Full Season Entries'!Q40 &lt;&gt; "", REPLACE('Full Season Entries'!Q40, 1, 1, "Level "), 0)</f>
        <v>0</v>
      </c>
      <c r="AT39" s="1">
        <f t="shared" si="8"/>
        <v>0</v>
      </c>
      <c r="AU39" s="1">
        <f>'Full Season Entries'!R40</f>
        <v>0</v>
      </c>
      <c r="AV39" s="1">
        <f>IF('Full Season Entries'!S40 &lt;&gt; "", REPLACE('Full Season Entries'!S40, 1, 1, "Level "), 0)</f>
        <v>0</v>
      </c>
      <c r="AW39" s="1">
        <f>IF('Full Season Entries'!T40 &lt;&gt; "", VLOOKUP('Full Season Entries'!T40, setupCostsReliability, 2, FALSE), 0)</f>
        <v>0</v>
      </c>
      <c r="AZ39" s="48" t="str">
        <f>IF('One-Off Entries'!I40 = "Yes", 0, IF(BQ39 &lt;&gt; "", IF(BQ39 = 1, VLOOKUP(BT39, gemCosts, 5, FALSE), IF(BQ39 = 2, VLOOKUP(BT39, nasccCosts, 5, FALSE), IF(BQ39 = 2.1, VLOOKUP(BT39, nasccScCosts, 5, FALSE), IF(BQ39 = 2.2, VLOOKUP(BT39, nasccEcCosts, 5, FALSE), IF(BQ39 = 3, VLOOKUP(BT39, euemCosts, 5, FALSE), IF(BQ39 = 4, VLOOKUP(BT39, wgtssCosts, 5, FALSE), IF(BQ39 = 5, VLOOKUP(BT39, wgtmCosts, 5, FALSE), IF(BQ39 = 6, VLOOKUP(BT39, wpcCosts, 5, FALSE), IF(BQ39 = 7, VLOOKUP(BT39, asmCosts, 5, FALSE), "")))))))))))</f>
        <v/>
      </c>
      <c r="BA39" s="48" t="str">
        <f t="shared" si="25"/>
        <v/>
      </c>
      <c r="BB39" s="48" t="str">
        <f t="shared" si="26"/>
        <v/>
      </c>
      <c r="BC39" s="40" t="str">
        <f>IF('One-Off Entries'!M40 &lt;&gt; "", IF('One-Off Entries'!M40 = "Bronze", -BX39, VLOOKUP('One-Off Entries'!M40, driverCosts, 2, FALSE) * BM39), "")</f>
        <v/>
      </c>
      <c r="BD39" s="41" t="str">
        <f>IF('One-Off Entries'!N40 &lt;&gt; "", IF('One-Off Entries'!N40 = "Bronze", -BY39, VLOOKUP('One-Off Entries'!N40, driverCosts, 2, FALSE) * BM39), "")</f>
        <v/>
      </c>
      <c r="BE39" s="41" t="str">
        <f>IF('One-Off Entries'!O40 &lt;&gt; "", IF('One-Off Entries'!O40 = "Bronze", -BZ39, VLOOKUP('One-Off Entries'!O40, driverCosts, 2, FALSE) * BM39), "")</f>
        <v/>
      </c>
      <c r="BF39" s="42" t="str">
        <f>IF('One-Off Entries'!P40 &lt;&gt; "", IF('One-Off Entries'!P40 = "Bronze", -CA39, VLOOKUP('One-Off Entries'!P40, driverCosts, 2, FALSE) * BM39), "")</f>
        <v/>
      </c>
      <c r="BG39" s="40">
        <f t="shared" si="27"/>
        <v>0</v>
      </c>
      <c r="BH39" s="41">
        <f t="shared" si="28"/>
        <v>0</v>
      </c>
      <c r="BI39" s="42">
        <f t="shared" si="29"/>
        <v>0</v>
      </c>
      <c r="BL39" s="1" t="str">
        <f t="shared" si="9"/>
        <v/>
      </c>
      <c r="BM39" s="1" t="str">
        <f t="shared" si="10"/>
        <v/>
      </c>
      <c r="BO39" s="1">
        <f>'One-Off Entries'!C40</f>
        <v>0</v>
      </c>
      <c r="BP39" s="1" t="str">
        <f>'One-Off Entries'!L40</f>
        <v/>
      </c>
      <c r="BQ39" s="1">
        <f>'One-Off Entries'!AI40</f>
        <v>0</v>
      </c>
      <c r="BR39" s="1">
        <f>'One-Off Entries'!AJ40</f>
        <v>0</v>
      </c>
      <c r="BT39" s="1" t="str">
        <f>'One-Off Entries'!E40</f>
        <v/>
      </c>
      <c r="BV39" s="1" t="str">
        <f>IF(AND(IF(BQ39 = 1, TRUE, FALSE), IF(BR39 = 1, TRUE, FALSE)), VLOOKUP('One-Off Entries'!H40, t_gemLMP1, 2, FALSE), IF(AND(IF(BQ39 = 1, TRUE, FALSE), IF(BR39 = 2, TRUE, FALSE)), VLOOKUP('One-Off Entries'!H40, t_gemLMP2, 2, FALSE), IF(AND(IF(BQ39 = 1, TRUE, FALSE), IF(BR39 = 3, TRUE, FALSE)), VLOOKUP('One-Off Entries'!H40, t_gemLMGTE, 2, FALSE), IF(AND(IF(BQ39 = 1, TRUE, FALSE), IF(BR39 = 4, TRUE, FALSE)), VLOOKUP('One-Off Entries'!H40, t_gemLMGTE, 2, FALSE), IF(AND(IF(BQ39 = 2, TRUE, FALSE), IF(BR39 = 1, TRUE, FALSE)), VLOOKUP('One-Off Entries'!H40, t_nasccDPi, 2, FALSE), IF(AND(IF(BQ39 = 2, TRUE, FALSE), IF(BR39 = 2, TRUE, FALSE)), VLOOKUP('One-Off Entries'!H40, t_nasccLMP2, 2, FALSE), IF(AND(IF(BQ39 = 2, TRUE, FALSE), IF(BR39 = 3, TRUE, FALSE)), VLOOKUP('One-Off Entries'!H40, t_nasccGTLM, 2, FALSE), IF(AND(IF(BQ39 = 2, TRUE, FALSE), IF(BR39 = 4, TRUE, FALSE)), VLOOKUP('One-Off Entries'!H40, t_nasccGTD, 2, FALSE), IF(AND(IF(BQ39 = 2.1, TRUE, FALSE), IF(BR39 = 1, TRUE, FALSE)), VLOOKUP('One-Off Entries'!H40, t_nasccDPi, 2, FALSE), IF(AND(IF(BQ39 = 2.1, TRUE, FALSE), IF(BR39 = 2, TRUE, FALSE)), VLOOKUP('One-Off Entries'!H40, t_nasccLMP2, 2, FALSE), IF(AND(IF(BQ39 = 2.1, TRUE, FALSE), IF(BR39 = 3, TRUE, FALSE)), VLOOKUP('One-Off Entries'!H40, t_nasccGTLM, 2, FALSE), IF(AND(IF(BQ39 = 2.1, TRUE, FALSE), IF(BR39 = 4, TRUE, FALSE)), VLOOKUP('One-Off Entries'!H40, t_nasccGTD, 2, FALSE), IF(AND(IF(BQ39 = 2.2, TRUE, FALSE), IF(BR39 = 1, TRUE, FALSE)), VLOOKUP('One-Off Entries'!H40, t_nasccDPi, 2, FALSE), IF(AND(IF(BQ39 = 2.2, TRUE, FALSE), IF(BR39 = 2, TRUE, FALSE)), VLOOKUP('One-Off Entries'!H40, t_nasccLMP2, 2, FALSE), IF(AND(IF(BQ39 = 2.2, TRUE, FALSE), IF(BR39 = 3, TRUE, FALSE)), VLOOKUP('One-Off Entries'!H40, t_nasccGTLM, 2, FALSE), IF(AND(IF(BQ39 = 2.2, TRUE, FALSE), IF(BR39 = 4, TRUE, FALSE)), VLOOKUP('One-Off Entries'!H40, t_nasccGTD, 2, FALSE), IF(AND(IF(BQ39 = 3, TRUE, FALSE), IF(BR39 = 1, TRUE, FALSE)), VLOOKUP('One-Off Entries'!H40, t_euemLMP2, 2, FALSE), IF(AND(IF(BQ39 = 3, TRUE, FALSE), IF(BR39 = 2, TRUE, FALSE)), VLOOKUP('One-Off Entries'!H40, t_euemLMP3, 2, FALSE), IF(AND(IF(BQ39 = 3, TRUE, FALSE), IF(BR39 = 3, TRUE, FALSE)), VLOOKUP('One-Off Entries'!H40, t_euemLMGTE, 2, FALSE), IF(AND(IF(BQ39 = 4, TRUE, FALSE), IF(BR39 = 1, TRUE, FALSE)), VLOOKUP('One-Off Entries'!H40, t_wgtssGT3, 2, FALSE), IF(AND(IF(BQ39 = 4, TRUE, FALSE), IF(BR39 = 2, TRUE, FALSE)), VLOOKUP('One-Off Entries'!H40, t_wgtssGT4, 2, FALSE), IF(AND(IF(BQ39 = 5, TRUE, FALSE), IF(BR39 = 1, TRUE, FALSE)), VLOOKUP('One-Off Entries'!H40, t_wgtmGT3P, 2, FALSE), IF(AND(IF(BQ39 = 5, TRUE, FALSE), IF(BR39 = 2, TRUE, FALSE)), VLOOKUP('One-Off Entries'!H40, t_wgtmGT3A, 2, FALSE), IF(AND(IF(BQ39 = 5, TRUE, FALSE), IF(BR39 = 3, TRUE, FALSE)), VLOOKUP('One-Off Entries'!H40, t_wgtmGT4, 2, FALSE), IF(AND(IF(BQ39 = 7, TRUE, FALSE), IF(BR39 = 1, TRUE, FALSE)), VLOOKUP('One-Off Entries'!H40, t_asmLMP3, 2, FALSE), IF(AND(IF(BQ39 = 7, TRUE, FALSE), IF(BR39 = 2, TRUE, FALSE)), VLOOKUP('One-Off Entries'!H40, t_asmGT3, 2, FALSE), IF(AND(IF(BQ39 = 7, TRUE, FALSE), IF(BR39 = 3, TRUE, FALSE)), VLOOKUP('One-Off Entries'!H40, t_asmGT4, 2, FALSE), "")))))))))))))))))))))))))))</f>
        <v/>
      </c>
      <c r="BX39" s="1" t="str">
        <f t="shared" si="11"/>
        <v/>
      </c>
      <c r="BY39" s="1" t="str">
        <f t="shared" si="12"/>
        <v/>
      </c>
      <c r="BZ39" s="1" t="str">
        <f t="shared" si="13"/>
        <v/>
      </c>
      <c r="CA39" s="1" t="str">
        <f t="shared" si="14"/>
        <v/>
      </c>
      <c r="CC39" s="1" t="str">
        <f>'One-Off Entries'!K40</f>
        <v/>
      </c>
      <c r="CD39" s="1">
        <f t="shared" si="15"/>
        <v>0</v>
      </c>
      <c r="CE39" s="1">
        <f>'One-Off Entries'!R40</f>
        <v>0</v>
      </c>
      <c r="CF39" s="1">
        <f>IF('One-Off Entries'!S40 &lt;&gt; "", REPLACE('One-Off Entries'!S40, 1, 1, "Level "), 0)</f>
        <v>0</v>
      </c>
      <c r="CG39" s="1">
        <f t="shared" si="16"/>
        <v>0</v>
      </c>
      <c r="CH39" s="1">
        <f>'One-Off Entries'!T40</f>
        <v>0</v>
      </c>
      <c r="CI39" s="1">
        <f>IF('One-Off Entries'!U40 &lt;&gt; "", REPLACE('One-Off Entries'!U40, 1, 1, "Level "), 0)</f>
        <v>0</v>
      </c>
      <c r="CJ39" s="1">
        <f>IF('One-Off Entries'!V40 &lt;&gt; "", VLOOKUP('One-Off Entries'!V40, setupCostsReliability, 2, FALSE), 0)</f>
        <v>0</v>
      </c>
    </row>
    <row r="40" spans="7:88" ht="18" customHeight="1" x14ac:dyDescent="0.3">
      <c r="G40" s="47" t="str">
        <f>IF('Car Purchase'!D40 &lt;&gt; "", VLOOKUP('Car Purchase'!D40, modelData, 3, FALSE), "")</f>
        <v/>
      </c>
      <c r="H40" s="51" t="str">
        <f>IF('Car Purchase'!I40 &lt;&gt; "", VLOOKUP('Car Purchase'!I40, modelData, 4, FALSE) * 'Car Purchase'!J40, "")</f>
        <v/>
      </c>
      <c r="I40" s="2" t="str">
        <f>IF('Car Purchase'!I40 &lt;&gt; "", VLOOKUP('Car Purchase'!I40, modelData, 5, FALSE) * 'Car Purchase'!K40, "")</f>
        <v/>
      </c>
      <c r="J40" s="52" t="str">
        <f>IF('Car Purchase'!I40 &lt;&gt; "", VLOOKUP('Car Purchase'!I40, modelData, 6, FALSE) * 'Car Purchase'!L40, "")</f>
        <v/>
      </c>
    </row>
    <row r="41" spans="7:88" ht="18" customHeight="1" x14ac:dyDescent="0.3">
      <c r="G41" s="47" t="str">
        <f>IF('Car Purchase'!D41 &lt;&gt; "", VLOOKUP('Car Purchase'!D41, modelData, 3, FALSE), "")</f>
        <v/>
      </c>
      <c r="H41" s="51" t="str">
        <f>IF('Car Purchase'!I41 &lt;&gt; "", VLOOKUP('Car Purchase'!I41, modelData, 4, FALSE) * 'Car Purchase'!J41, "")</f>
        <v/>
      </c>
      <c r="I41" s="2" t="str">
        <f>IF('Car Purchase'!I41 &lt;&gt; "", VLOOKUP('Car Purchase'!I41, modelData, 5, FALSE) * 'Car Purchase'!K41, "")</f>
        <v/>
      </c>
      <c r="J41" s="52" t="str">
        <f>IF('Car Purchase'!I41 &lt;&gt; "", VLOOKUP('Car Purchase'!I41, modelData, 6, FALSE) * 'Car Purchase'!L41, "")</f>
        <v/>
      </c>
    </row>
    <row r="42" spans="7:88" ht="18" customHeight="1" x14ac:dyDescent="0.3">
      <c r="G42" s="47" t="str">
        <f>IF('Car Purchase'!D42 &lt;&gt; "", VLOOKUP('Car Purchase'!D42, modelData, 3, FALSE), "")</f>
        <v/>
      </c>
      <c r="H42" s="51" t="str">
        <f>IF('Car Purchase'!I42 &lt;&gt; "", VLOOKUP('Car Purchase'!I42, modelData, 4, FALSE) * 'Car Purchase'!J42, "")</f>
        <v/>
      </c>
      <c r="I42" s="2" t="str">
        <f>IF('Car Purchase'!I42 &lt;&gt; "", VLOOKUP('Car Purchase'!I42, modelData, 5, FALSE) * 'Car Purchase'!K42, "")</f>
        <v/>
      </c>
      <c r="J42" s="52" t="str">
        <f>IF('Car Purchase'!I42 &lt;&gt; "", VLOOKUP('Car Purchase'!I42, modelData, 6, FALSE) * 'Car Purchase'!L42, "")</f>
        <v/>
      </c>
    </row>
    <row r="43" spans="7:88" ht="18" customHeight="1" x14ac:dyDescent="0.3">
      <c r="G43" s="47" t="str">
        <f>IF('Car Purchase'!D43 &lt;&gt; "", VLOOKUP('Car Purchase'!D43, modelData, 3, FALSE), "")</f>
        <v/>
      </c>
      <c r="H43" s="51" t="str">
        <f>IF('Car Purchase'!I43 &lt;&gt; "", VLOOKUP('Car Purchase'!I43, modelData, 4, FALSE) * 'Car Purchase'!J43, "")</f>
        <v/>
      </c>
      <c r="I43" s="2" t="str">
        <f>IF('Car Purchase'!I43 &lt;&gt; "", VLOOKUP('Car Purchase'!I43, modelData, 5, FALSE) * 'Car Purchase'!K43, "")</f>
        <v/>
      </c>
      <c r="J43" s="52" t="str">
        <f>IF('Car Purchase'!I43 &lt;&gt; "", VLOOKUP('Car Purchase'!I43, modelData, 6, FALSE) * 'Car Purchase'!L43, "")</f>
        <v/>
      </c>
    </row>
    <row r="44" spans="7:88" ht="18" customHeight="1" x14ac:dyDescent="0.3">
      <c r="G44" s="47" t="str">
        <f>IF('Car Purchase'!D44 &lt;&gt; "", VLOOKUP('Car Purchase'!D44, modelData, 3, FALSE), "")</f>
        <v/>
      </c>
      <c r="H44" s="51" t="str">
        <f>IF('Car Purchase'!I44 &lt;&gt; "", VLOOKUP('Car Purchase'!I44, modelData, 4, FALSE) * 'Car Purchase'!J44, "")</f>
        <v/>
      </c>
      <c r="I44" s="2" t="str">
        <f>IF('Car Purchase'!I44 &lt;&gt; "", VLOOKUP('Car Purchase'!I44, modelData, 5, FALSE) * 'Car Purchase'!K44, "")</f>
        <v/>
      </c>
      <c r="J44" s="52" t="str">
        <f>IF('Car Purchase'!I44 &lt;&gt; "", VLOOKUP('Car Purchase'!I44, modelData, 6, FALSE) * 'Car Purchase'!L44, "")</f>
        <v/>
      </c>
    </row>
    <row r="45" spans="7:88" ht="18" customHeight="1" x14ac:dyDescent="0.3">
      <c r="G45" s="47" t="str">
        <f>IF('Car Purchase'!D45 &lt;&gt; "", VLOOKUP('Car Purchase'!D45, modelData, 3, FALSE), "")</f>
        <v/>
      </c>
      <c r="H45" s="51" t="str">
        <f>IF('Car Purchase'!I45 &lt;&gt; "", VLOOKUP('Car Purchase'!I45, modelData, 4, FALSE) * 'Car Purchase'!J45, "")</f>
        <v/>
      </c>
      <c r="I45" s="2" t="str">
        <f>IF('Car Purchase'!I45 &lt;&gt; "", VLOOKUP('Car Purchase'!I45, modelData, 5, FALSE) * 'Car Purchase'!K45, "")</f>
        <v/>
      </c>
      <c r="J45" s="52" t="str">
        <f>IF('Car Purchase'!I45 &lt;&gt; "", VLOOKUP('Car Purchase'!I45, modelData, 6, FALSE) * 'Car Purchase'!L45, "")</f>
        <v/>
      </c>
    </row>
    <row r="46" spans="7:88" ht="18" customHeight="1" x14ac:dyDescent="0.3">
      <c r="G46" s="47" t="str">
        <f>IF('Car Purchase'!D46 &lt;&gt; "", VLOOKUP('Car Purchase'!D46, modelData, 3, FALSE), "")</f>
        <v/>
      </c>
      <c r="H46" s="51" t="str">
        <f>IF('Car Purchase'!I46 &lt;&gt; "", VLOOKUP('Car Purchase'!I46, modelData, 4, FALSE) * 'Car Purchase'!J46, "")</f>
        <v/>
      </c>
      <c r="I46" s="2" t="str">
        <f>IF('Car Purchase'!I46 &lt;&gt; "", VLOOKUP('Car Purchase'!I46, modelData, 5, FALSE) * 'Car Purchase'!K46, "")</f>
        <v/>
      </c>
      <c r="J46" s="52" t="str">
        <f>IF('Car Purchase'!I46 &lt;&gt; "", VLOOKUP('Car Purchase'!I46, modelData, 6, FALSE) * 'Car Purchase'!L46, "")</f>
        <v/>
      </c>
    </row>
    <row r="47" spans="7:88" ht="18" customHeight="1" x14ac:dyDescent="0.3">
      <c r="G47" s="47" t="str">
        <f>IF('Car Purchase'!D47 &lt;&gt; "", VLOOKUP('Car Purchase'!D47, modelData, 3, FALSE), "")</f>
        <v/>
      </c>
      <c r="H47" s="51" t="str">
        <f>IF('Car Purchase'!I47 &lt;&gt; "", VLOOKUP('Car Purchase'!I47, modelData, 4, FALSE) * 'Car Purchase'!J47, "")</f>
        <v/>
      </c>
      <c r="I47" s="2" t="str">
        <f>IF('Car Purchase'!I47 &lt;&gt; "", VLOOKUP('Car Purchase'!I47, modelData, 5, FALSE) * 'Car Purchase'!K47, "")</f>
        <v/>
      </c>
      <c r="J47" s="52" t="str">
        <f>IF('Car Purchase'!I47 &lt;&gt; "", VLOOKUP('Car Purchase'!I47, modelData, 6, FALSE) * 'Car Purchase'!L47, "")</f>
        <v/>
      </c>
    </row>
    <row r="48" spans="7:88" ht="18" customHeight="1" x14ac:dyDescent="0.3">
      <c r="G48" s="47" t="str">
        <f>IF('Car Purchase'!D48 &lt;&gt; "", VLOOKUP('Car Purchase'!D48, modelData, 3, FALSE), "")</f>
        <v/>
      </c>
      <c r="H48" s="51" t="str">
        <f>IF('Car Purchase'!I48 &lt;&gt; "", VLOOKUP('Car Purchase'!I48, modelData, 4, FALSE) * 'Car Purchase'!J48, "")</f>
        <v/>
      </c>
      <c r="I48" s="2" t="str">
        <f>IF('Car Purchase'!I48 &lt;&gt; "", VLOOKUP('Car Purchase'!I48, modelData, 5, FALSE) * 'Car Purchase'!K48, "")</f>
        <v/>
      </c>
      <c r="J48" s="52" t="str">
        <f>IF('Car Purchase'!I48 &lt;&gt; "", VLOOKUP('Car Purchase'!I48, modelData, 6, FALSE) * 'Car Purchase'!L48, "")</f>
        <v/>
      </c>
    </row>
    <row r="49" spans="7:10" ht="18" customHeight="1" thickBot="1" x14ac:dyDescent="0.35">
      <c r="G49" s="48" t="str">
        <f>IF('Car Purchase'!D49 &lt;&gt; "", VLOOKUP('Car Purchase'!D49, modelData, 3, FALSE), "")</f>
        <v/>
      </c>
      <c r="H49" s="40" t="str">
        <f>IF('Car Purchase'!I49 &lt;&gt; "", VLOOKUP('Car Purchase'!I49, modelData, 4, FALSE) * 'Car Purchase'!J49, "")</f>
        <v/>
      </c>
      <c r="I49" s="41" t="str">
        <f>IF('Car Purchase'!I49 &lt;&gt; "", VLOOKUP('Car Purchase'!I49, modelData, 5, FALSE) * 'Car Purchase'!K49, "")</f>
        <v/>
      </c>
      <c r="J49" s="42" t="str">
        <f>IF('Car Purchase'!I49 &lt;&gt; "", VLOOKUP('Car Purchase'!I49, modelData, 6, FALSE) * 'Car Purchase'!L49, "")</f>
        <v/>
      </c>
    </row>
  </sheetData>
  <mergeCells count="17">
    <mergeCell ref="P4:S4"/>
    <mergeCell ref="AQ4:AS4"/>
    <mergeCell ref="AT4:AV4"/>
    <mergeCell ref="T4:V4"/>
    <mergeCell ref="M2:V2"/>
    <mergeCell ref="M3:V3"/>
    <mergeCell ref="B2:D2"/>
    <mergeCell ref="B3:D3"/>
    <mergeCell ref="G3:G4"/>
    <mergeCell ref="H3:J3"/>
    <mergeCell ref="G2:J2"/>
    <mergeCell ref="CD4:CF4"/>
    <mergeCell ref="CG4:CI4"/>
    <mergeCell ref="BG4:BI4"/>
    <mergeCell ref="AZ2:BI2"/>
    <mergeCell ref="AZ3:BI3"/>
    <mergeCell ref="BC4:BF4"/>
  </mergeCells>
  <phoneticPr fontId="16" type="noConversion"/>
  <conditionalFormatting sqref="D15">
    <cfRule type="expression" dxfId="3" priority="1">
      <formula>IF($C$15&gt;$C$4 * 1.15, TRUE)</formula>
    </cfRule>
    <cfRule type="expression" dxfId="2" priority="2">
      <formula>IF($C$15&gt;$C$4, TRUE)</formula>
    </cfRule>
    <cfRule type="expression" dxfId="1" priority="3">
      <formula>IF($C$15&lt;=(0.85*$C$4), TRUE)</formula>
    </cfRule>
    <cfRule type="expression" dxfId="0" priority="4">
      <formula>IF($C$15&gt;(0.85*$C$4), TRUE)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56</vt:i4>
      </vt:variant>
    </vt:vector>
  </HeadingPairs>
  <TitlesOfParts>
    <vt:vector size="70" baseType="lpstr">
      <vt:lpstr>Costs (2)</vt:lpstr>
      <vt:lpstr>Costs</vt:lpstr>
      <vt:lpstr>Miscellaneous</vt:lpstr>
      <vt:lpstr>Series + Driver Rules</vt:lpstr>
      <vt:lpstr>Series + Driver Rules (2)</vt:lpstr>
      <vt:lpstr>Calendars</vt:lpstr>
      <vt:lpstr>Calendars (2)</vt:lpstr>
      <vt:lpstr>Car Purchase</vt:lpstr>
      <vt:lpstr>Full Season Entries</vt:lpstr>
      <vt:lpstr>One-Off Entries</vt:lpstr>
      <vt:lpstr>Lineup Legality - FS</vt:lpstr>
      <vt:lpstr>Lineup Legality - OOE</vt:lpstr>
      <vt:lpstr>Setup Bonuses</vt:lpstr>
      <vt:lpstr>Total Costs</vt:lpstr>
      <vt:lpstr>asmClasses</vt:lpstr>
      <vt:lpstr>asmCosts</vt:lpstr>
      <vt:lpstr>asmSupplier</vt:lpstr>
      <vt:lpstr>'Costs (2)'!bronzePayments</vt:lpstr>
      <vt:lpstr>bronzePayments</vt:lpstr>
      <vt:lpstr>classIndexes</vt:lpstr>
      <vt:lpstr>'Costs (2)'!driverCosts</vt:lpstr>
      <vt:lpstr>driverCosts</vt:lpstr>
      <vt:lpstr>euemClasses</vt:lpstr>
      <vt:lpstr>euemCosts</vt:lpstr>
      <vt:lpstr>euemSupplier</vt:lpstr>
      <vt:lpstr>gemClasses</vt:lpstr>
      <vt:lpstr>gemCosts</vt:lpstr>
      <vt:lpstr>gemSupplier</vt:lpstr>
      <vt:lpstr>'Costs (2)'!modelData</vt:lpstr>
      <vt:lpstr>modelData</vt:lpstr>
      <vt:lpstr>nasccClasses</vt:lpstr>
      <vt:lpstr>nasccCosts</vt:lpstr>
      <vt:lpstr>nasccEcCosts</vt:lpstr>
      <vt:lpstr>nasccScCosts</vt:lpstr>
      <vt:lpstr>nasccSupplier</vt:lpstr>
      <vt:lpstr>oneOffs</vt:lpstr>
      <vt:lpstr>purchasedCars</vt:lpstr>
      <vt:lpstr>seriesClasses</vt:lpstr>
      <vt:lpstr>seriesCodeClasses</vt:lpstr>
      <vt:lpstr>setupCostsAero</vt:lpstr>
      <vt:lpstr>setupCostsChassis</vt:lpstr>
      <vt:lpstr>setupCostsFrontSusp</vt:lpstr>
      <vt:lpstr>setupCostsGeneral</vt:lpstr>
      <vt:lpstr>setupCostsRearSusp</vt:lpstr>
      <vt:lpstr>setupCostsReliability</vt:lpstr>
      <vt:lpstr>setupCostsTyres</vt:lpstr>
      <vt:lpstr>t_asmGT3</vt:lpstr>
      <vt:lpstr>t_asmGT4</vt:lpstr>
      <vt:lpstr>t_asmLMP3</vt:lpstr>
      <vt:lpstr>t_euemLMGTE</vt:lpstr>
      <vt:lpstr>t_euemLMP2</vt:lpstr>
      <vt:lpstr>t_euemLMP3</vt:lpstr>
      <vt:lpstr>t_gemLMGTE</vt:lpstr>
      <vt:lpstr>t_gemLMP1</vt:lpstr>
      <vt:lpstr>t_gemLMP2</vt:lpstr>
      <vt:lpstr>t_nasccDPi</vt:lpstr>
      <vt:lpstr>t_nasccGTD</vt:lpstr>
      <vt:lpstr>t_nasccGTLM</vt:lpstr>
      <vt:lpstr>t_nasccLMP2</vt:lpstr>
      <vt:lpstr>t_wgtmGT3A</vt:lpstr>
      <vt:lpstr>t_wgtmGT3P</vt:lpstr>
      <vt:lpstr>t_wgtmGT4</vt:lpstr>
      <vt:lpstr>t_wgtssGT3</vt:lpstr>
      <vt:lpstr>t_wgtssGT4</vt:lpstr>
      <vt:lpstr>wgtmClasses</vt:lpstr>
      <vt:lpstr>wgtmCosts</vt:lpstr>
      <vt:lpstr>wgtmSupplier</vt:lpstr>
      <vt:lpstr>wgtssClasses</vt:lpstr>
      <vt:lpstr>wgtssCosts</vt:lpstr>
      <vt:lpstr>wgtssSupplier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Lankshear (S.Lankshear.23)</dc:creator>
  <cp:lastModifiedBy>Stephen Lankshear (S.Lankshear.23)</cp:lastModifiedBy>
  <dcterms:created xsi:type="dcterms:W3CDTF">2025-06-16T14:55:29Z</dcterms:created>
  <dcterms:modified xsi:type="dcterms:W3CDTF">2026-07-14T18:29:55Z</dcterms:modified>
</cp:coreProperties>
</file>